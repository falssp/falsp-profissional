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Visa\"/>
    </mc:Choice>
  </mc:AlternateContent>
  <xr:revisionPtr revIDLastSave="0" documentId="8_{90E296B8-B5FB-4266-A7DB-C80F6E2F56F3}" xr6:coauthVersionLast="41" xr6:coauthVersionMax="41" xr10:uidLastSave="{00000000-0000-0000-0000-000000000000}"/>
  <bookViews>
    <workbookView xWindow="-120" yWindow="-120" windowWidth="20730" windowHeight="1116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dados'!$A$1:$J$4199</definedName>
    <definedName name="_xlnm._FilterDatabase" localSheetId="2" hidden="1">'Report DCM'!$A:$N</definedName>
    <definedName name="_xlnm._FilterDatabase" localSheetId="3" hidden="1">Resumo!$A$19:$O$1224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8" l="1"/>
  <c r="E7" i="8" s="1"/>
  <c r="D9" i="8"/>
  <c r="E9" i="8" s="1"/>
  <c r="E801" i="6"/>
  <c r="G5" i="8"/>
  <c r="E2" i="6"/>
  <c r="L2" i="6" s="1"/>
  <c r="I2" i="6"/>
  <c r="J2" i="6"/>
  <c r="D4" i="8"/>
  <c r="E4" i="8" s="1"/>
  <c r="H5" i="8"/>
  <c r="E6905" i="6"/>
  <c r="E6904" i="6"/>
  <c r="E6903" i="6"/>
  <c r="E6902" i="6"/>
  <c r="E6901" i="6"/>
  <c r="E6900" i="6"/>
  <c r="E6899" i="6"/>
  <c r="E6898" i="6"/>
  <c r="E6897" i="6"/>
  <c r="E6896" i="6"/>
  <c r="E6895" i="6"/>
  <c r="E6894" i="6"/>
  <c r="E6893" i="6"/>
  <c r="E6892" i="6"/>
  <c r="E6891" i="6"/>
  <c r="E6890" i="6"/>
  <c r="E6889" i="6"/>
  <c r="E6888" i="6"/>
  <c r="E6887" i="6"/>
  <c r="E6886" i="6"/>
  <c r="E6885" i="6"/>
  <c r="E6884" i="6"/>
  <c r="E6883" i="6"/>
  <c r="E6882" i="6"/>
  <c r="E6881" i="6"/>
  <c r="E6880" i="6"/>
  <c r="E6879" i="6"/>
  <c r="E6878" i="6"/>
  <c r="E6877" i="6"/>
  <c r="E6876" i="6"/>
  <c r="E6875" i="6"/>
  <c r="E6874" i="6"/>
  <c r="E6873" i="6"/>
  <c r="E6872" i="6"/>
  <c r="E6871" i="6"/>
  <c r="E6870" i="6"/>
  <c r="E6869" i="6"/>
  <c r="E6868" i="6"/>
  <c r="E6867" i="6"/>
  <c r="E6866" i="6"/>
  <c r="E6865" i="6"/>
  <c r="E6864" i="6"/>
  <c r="E6863" i="6"/>
  <c r="E6862" i="6"/>
  <c r="E6861" i="6"/>
  <c r="E6860" i="6"/>
  <c r="E6859" i="6"/>
  <c r="E6858" i="6"/>
  <c r="E6857" i="6"/>
  <c r="E6856" i="6"/>
  <c r="E6855" i="6"/>
  <c r="E6854" i="6"/>
  <c r="E6853" i="6"/>
  <c r="E6852" i="6"/>
  <c r="E6851" i="6"/>
  <c r="E6850" i="6"/>
  <c r="E6849" i="6"/>
  <c r="E6848" i="6"/>
  <c r="E6847" i="6"/>
  <c r="E6846" i="6"/>
  <c r="E6845" i="6"/>
  <c r="E6844" i="6"/>
  <c r="E6843" i="6"/>
  <c r="E6842" i="6"/>
  <c r="E6841" i="6"/>
  <c r="E6840" i="6"/>
  <c r="E6839" i="6"/>
  <c r="E6838" i="6"/>
  <c r="E6837" i="6"/>
  <c r="E6836" i="6"/>
  <c r="E6835" i="6"/>
  <c r="E6834" i="6"/>
  <c r="E6833" i="6"/>
  <c r="E6832" i="6"/>
  <c r="E6831" i="6"/>
  <c r="E6830" i="6"/>
  <c r="E6829" i="6"/>
  <c r="E6828" i="6"/>
  <c r="E6827" i="6"/>
  <c r="E6826" i="6"/>
  <c r="E6825" i="6"/>
  <c r="E6824" i="6"/>
  <c r="E6823" i="6"/>
  <c r="E6822" i="6"/>
  <c r="E6821" i="6"/>
  <c r="E6820" i="6"/>
  <c r="E6819" i="6"/>
  <c r="E6818" i="6"/>
  <c r="E6817" i="6"/>
  <c r="E6816" i="6"/>
  <c r="E6815" i="6"/>
  <c r="E6814" i="6"/>
  <c r="E6813" i="6"/>
  <c r="E6812" i="6"/>
  <c r="E6811" i="6"/>
  <c r="E6810" i="6"/>
  <c r="E6809" i="6"/>
  <c r="E6808" i="6"/>
  <c r="E6807" i="6"/>
  <c r="E6806" i="6"/>
  <c r="E6805" i="6"/>
  <c r="E6804" i="6"/>
  <c r="E6803" i="6"/>
  <c r="E6802" i="6"/>
  <c r="E6801" i="6"/>
  <c r="E6800" i="6"/>
  <c r="E6799" i="6"/>
  <c r="E6798" i="6"/>
  <c r="E6797" i="6"/>
  <c r="E6796" i="6"/>
  <c r="E6795" i="6"/>
  <c r="E6794" i="6"/>
  <c r="E6793" i="6"/>
  <c r="E6792" i="6"/>
  <c r="E6791" i="6"/>
  <c r="E6790" i="6"/>
  <c r="E6789" i="6"/>
  <c r="E6788" i="6"/>
  <c r="E6787" i="6"/>
  <c r="E6786" i="6"/>
  <c r="E6785" i="6"/>
  <c r="E6784" i="6"/>
  <c r="E6783" i="6"/>
  <c r="E6782" i="6"/>
  <c r="E6781" i="6"/>
  <c r="E6780" i="6"/>
  <c r="E6779" i="6"/>
  <c r="E6778" i="6"/>
  <c r="E6777" i="6"/>
  <c r="E6776" i="6"/>
  <c r="E6775" i="6"/>
  <c r="E6774" i="6"/>
  <c r="E6773" i="6"/>
  <c r="E6772" i="6"/>
  <c r="E6771" i="6"/>
  <c r="E6770" i="6"/>
  <c r="E6769" i="6"/>
  <c r="E6768" i="6"/>
  <c r="E6767" i="6"/>
  <c r="E6766" i="6"/>
  <c r="E6765" i="6"/>
  <c r="E6764" i="6"/>
  <c r="E6763" i="6"/>
  <c r="E6762" i="6"/>
  <c r="E6761" i="6"/>
  <c r="E6760" i="6"/>
  <c r="E6759" i="6"/>
  <c r="E6758" i="6"/>
  <c r="E6757" i="6"/>
  <c r="E6756" i="6"/>
  <c r="E6755" i="6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E6736" i="6"/>
  <c r="E6735" i="6"/>
  <c r="E6734" i="6"/>
  <c r="E6733" i="6"/>
  <c r="E6732" i="6"/>
  <c r="E6731" i="6"/>
  <c r="E6730" i="6"/>
  <c r="E6729" i="6"/>
  <c r="E6728" i="6"/>
  <c r="E6727" i="6"/>
  <c r="E6726" i="6"/>
  <c r="E6725" i="6"/>
  <c r="E6724" i="6"/>
  <c r="E6723" i="6"/>
  <c r="E6722" i="6"/>
  <c r="E6721" i="6"/>
  <c r="E6720" i="6"/>
  <c r="E6719" i="6"/>
  <c r="E6718" i="6"/>
  <c r="E6717" i="6"/>
  <c r="E6716" i="6"/>
  <c r="E6715" i="6"/>
  <c r="E6714" i="6"/>
  <c r="E6713" i="6"/>
  <c r="E6712" i="6"/>
  <c r="E6711" i="6"/>
  <c r="E6710" i="6"/>
  <c r="E6709" i="6"/>
  <c r="E6708" i="6"/>
  <c r="E6707" i="6"/>
  <c r="E6706" i="6"/>
  <c r="E6705" i="6"/>
  <c r="E6704" i="6"/>
  <c r="E6703" i="6"/>
  <c r="E6702" i="6"/>
  <c r="E6701" i="6"/>
  <c r="E6700" i="6"/>
  <c r="E6699" i="6"/>
  <c r="E6698" i="6"/>
  <c r="E6697" i="6"/>
  <c r="E6696" i="6"/>
  <c r="E6695" i="6"/>
  <c r="E6694" i="6"/>
  <c r="E6693" i="6"/>
  <c r="E6692" i="6"/>
  <c r="E6691" i="6"/>
  <c r="E6690" i="6"/>
  <c r="E6689" i="6"/>
  <c r="E6688" i="6"/>
  <c r="E6687" i="6"/>
  <c r="E6686" i="6"/>
  <c r="E6685" i="6"/>
  <c r="E6684" i="6"/>
  <c r="E6683" i="6"/>
  <c r="E6682" i="6"/>
  <c r="E6681" i="6"/>
  <c r="E6680" i="6"/>
  <c r="E6679" i="6"/>
  <c r="E6678" i="6"/>
  <c r="E6677" i="6"/>
  <c r="E6676" i="6"/>
  <c r="E6675" i="6"/>
  <c r="E6674" i="6"/>
  <c r="E6673" i="6"/>
  <c r="E6672" i="6"/>
  <c r="E6671" i="6"/>
  <c r="E6670" i="6"/>
  <c r="E6669" i="6"/>
  <c r="E6668" i="6"/>
  <c r="E6667" i="6"/>
  <c r="E6666" i="6"/>
  <c r="E6665" i="6"/>
  <c r="E6664" i="6"/>
  <c r="E6663" i="6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E6650" i="6"/>
  <c r="E6649" i="6"/>
  <c r="E6648" i="6"/>
  <c r="E6647" i="6"/>
  <c r="E6646" i="6"/>
  <c r="E6645" i="6"/>
  <c r="E6644" i="6"/>
  <c r="E6643" i="6"/>
  <c r="E6642" i="6"/>
  <c r="E6641" i="6"/>
  <c r="E6640" i="6"/>
  <c r="E6639" i="6"/>
  <c r="E6638" i="6"/>
  <c r="E6637" i="6"/>
  <c r="E6636" i="6"/>
  <c r="E6635" i="6"/>
  <c r="E6634" i="6"/>
  <c r="E6633" i="6"/>
  <c r="E6632" i="6"/>
  <c r="E6631" i="6"/>
  <c r="E6630" i="6"/>
  <c r="E6629" i="6"/>
  <c r="E6628" i="6"/>
  <c r="E6627" i="6"/>
  <c r="E6626" i="6"/>
  <c r="E6625" i="6"/>
  <c r="E6624" i="6"/>
  <c r="E6623" i="6"/>
  <c r="E6622" i="6"/>
  <c r="E6621" i="6"/>
  <c r="E6620" i="6"/>
  <c r="E6619" i="6"/>
  <c r="E6618" i="6"/>
  <c r="E6617" i="6"/>
  <c r="E6616" i="6"/>
  <c r="E6615" i="6"/>
  <c r="E6614" i="6"/>
  <c r="E6613" i="6"/>
  <c r="E6612" i="6"/>
  <c r="E6611" i="6"/>
  <c r="E6610" i="6"/>
  <c r="E6609" i="6"/>
  <c r="E6608" i="6"/>
  <c r="E6607" i="6"/>
  <c r="E6606" i="6"/>
  <c r="E6605" i="6"/>
  <c r="E6604" i="6"/>
  <c r="E6603" i="6"/>
  <c r="E6602" i="6"/>
  <c r="E6601" i="6"/>
  <c r="E6600" i="6"/>
  <c r="E6599" i="6"/>
  <c r="E6598" i="6"/>
  <c r="E6597" i="6"/>
  <c r="E6596" i="6"/>
  <c r="E6595" i="6"/>
  <c r="E6594" i="6"/>
  <c r="E6593" i="6"/>
  <c r="E6592" i="6"/>
  <c r="E6591" i="6"/>
  <c r="E6590" i="6"/>
  <c r="E6589" i="6"/>
  <c r="E6588" i="6"/>
  <c r="E6587" i="6"/>
  <c r="E6586" i="6"/>
  <c r="E6585" i="6"/>
  <c r="E6584" i="6"/>
  <c r="E6583" i="6"/>
  <c r="E6582" i="6"/>
  <c r="E6581" i="6"/>
  <c r="E6580" i="6"/>
  <c r="E6579" i="6"/>
  <c r="E6578" i="6"/>
  <c r="E6577" i="6"/>
  <c r="E6576" i="6"/>
  <c r="E6575" i="6"/>
  <c r="E6574" i="6"/>
  <c r="E6573" i="6"/>
  <c r="E6572" i="6"/>
  <c r="E6571" i="6"/>
  <c r="E6570" i="6"/>
  <c r="E6569" i="6"/>
  <c r="E6568" i="6"/>
  <c r="E6567" i="6"/>
  <c r="E6566" i="6"/>
  <c r="E6565" i="6"/>
  <c r="E6564" i="6"/>
  <c r="E6563" i="6"/>
  <c r="E6562" i="6"/>
  <c r="E6561" i="6"/>
  <c r="E6560" i="6"/>
  <c r="E6559" i="6"/>
  <c r="E6558" i="6"/>
  <c r="E6557" i="6"/>
  <c r="E6556" i="6"/>
  <c r="E6555" i="6"/>
  <c r="E6554" i="6"/>
  <c r="E6553" i="6"/>
  <c r="E6552" i="6"/>
  <c r="E6551" i="6"/>
  <c r="E6550" i="6"/>
  <c r="E6549" i="6"/>
  <c r="E6548" i="6"/>
  <c r="E6547" i="6"/>
  <c r="E6546" i="6"/>
  <c r="E6545" i="6"/>
  <c r="E6544" i="6"/>
  <c r="E6543" i="6"/>
  <c r="E6542" i="6"/>
  <c r="E6541" i="6"/>
  <c r="E6540" i="6"/>
  <c r="E6539" i="6"/>
  <c r="E6538" i="6"/>
  <c r="E6537" i="6"/>
  <c r="E6536" i="6"/>
  <c r="E6535" i="6"/>
  <c r="E6534" i="6"/>
  <c r="E6533" i="6"/>
  <c r="E6532" i="6"/>
  <c r="E6531" i="6"/>
  <c r="E6530" i="6"/>
  <c r="E6529" i="6"/>
  <c r="E6528" i="6"/>
  <c r="E6527" i="6"/>
  <c r="E6526" i="6"/>
  <c r="E6525" i="6"/>
  <c r="E6524" i="6"/>
  <c r="E6523" i="6"/>
  <c r="E6522" i="6"/>
  <c r="E6521" i="6"/>
  <c r="E6520" i="6"/>
  <c r="E6519" i="6"/>
  <c r="E6518" i="6"/>
  <c r="E6517" i="6"/>
  <c r="E6516" i="6"/>
  <c r="E6515" i="6"/>
  <c r="E6514" i="6"/>
  <c r="E6513" i="6"/>
  <c r="E6512" i="6"/>
  <c r="E6511" i="6"/>
  <c r="E6510" i="6"/>
  <c r="E6509" i="6"/>
  <c r="E6508" i="6"/>
  <c r="E6507" i="6"/>
  <c r="E6506" i="6"/>
  <c r="E6505" i="6"/>
  <c r="E6504" i="6"/>
  <c r="E6503" i="6"/>
  <c r="E6502" i="6"/>
  <c r="E6501" i="6"/>
  <c r="E6500" i="6"/>
  <c r="E6499" i="6"/>
  <c r="E6498" i="6"/>
  <c r="E6497" i="6"/>
  <c r="E6496" i="6"/>
  <c r="E6495" i="6"/>
  <c r="E6494" i="6"/>
  <c r="E6493" i="6"/>
  <c r="E6492" i="6"/>
  <c r="E6491" i="6"/>
  <c r="E6490" i="6"/>
  <c r="E6489" i="6"/>
  <c r="E6488" i="6"/>
  <c r="E6487" i="6"/>
  <c r="E6486" i="6"/>
  <c r="E6485" i="6"/>
  <c r="E6484" i="6"/>
  <c r="E6483" i="6"/>
  <c r="E6482" i="6"/>
  <c r="E6481" i="6"/>
  <c r="E6480" i="6"/>
  <c r="E6479" i="6"/>
  <c r="E6478" i="6"/>
  <c r="E6477" i="6"/>
  <c r="E6476" i="6"/>
  <c r="E6475" i="6"/>
  <c r="E6474" i="6"/>
  <c r="E6473" i="6"/>
  <c r="E6472" i="6"/>
  <c r="E6471" i="6"/>
  <c r="E6470" i="6"/>
  <c r="E6469" i="6"/>
  <c r="E6468" i="6"/>
  <c r="E6467" i="6"/>
  <c r="E6466" i="6"/>
  <c r="E6465" i="6"/>
  <c r="E6464" i="6"/>
  <c r="E6463" i="6"/>
  <c r="E6462" i="6"/>
  <c r="E6461" i="6"/>
  <c r="E6460" i="6"/>
  <c r="E6459" i="6"/>
  <c r="E6458" i="6"/>
  <c r="E6457" i="6"/>
  <c r="E6456" i="6"/>
  <c r="E6455" i="6"/>
  <c r="E6454" i="6"/>
  <c r="E6453" i="6"/>
  <c r="E6452" i="6"/>
  <c r="E6451" i="6"/>
  <c r="E6450" i="6"/>
  <c r="E6449" i="6"/>
  <c r="E6448" i="6"/>
  <c r="E6447" i="6"/>
  <c r="E6446" i="6"/>
  <c r="E6445" i="6"/>
  <c r="E6444" i="6"/>
  <c r="E6443" i="6"/>
  <c r="E6442" i="6"/>
  <c r="E6441" i="6"/>
  <c r="E6440" i="6"/>
  <c r="E6439" i="6"/>
  <c r="E6438" i="6"/>
  <c r="E6437" i="6"/>
  <c r="E6436" i="6"/>
  <c r="E6435" i="6"/>
  <c r="E6434" i="6"/>
  <c r="E6433" i="6"/>
  <c r="E6432" i="6"/>
  <c r="E6431" i="6"/>
  <c r="E6430" i="6"/>
  <c r="E6429" i="6"/>
  <c r="E6428" i="6"/>
  <c r="E6427" i="6"/>
  <c r="E6426" i="6"/>
  <c r="E6425" i="6"/>
  <c r="E6424" i="6"/>
  <c r="E6423" i="6"/>
  <c r="E6422" i="6"/>
  <c r="E6421" i="6"/>
  <c r="E6420" i="6"/>
  <c r="E6419" i="6"/>
  <c r="E6418" i="6"/>
  <c r="E6417" i="6"/>
  <c r="E6416" i="6"/>
  <c r="E6415" i="6"/>
  <c r="E6414" i="6"/>
  <c r="E6413" i="6"/>
  <c r="E6412" i="6"/>
  <c r="E6411" i="6"/>
  <c r="E6410" i="6"/>
  <c r="E6409" i="6"/>
  <c r="E6408" i="6"/>
  <c r="E6407" i="6"/>
  <c r="E6406" i="6"/>
  <c r="E6405" i="6"/>
  <c r="E6404" i="6"/>
  <c r="E6403" i="6"/>
  <c r="E6402" i="6"/>
  <c r="E6401" i="6"/>
  <c r="E6400" i="6"/>
  <c r="E6399" i="6"/>
  <c r="E6398" i="6"/>
  <c r="E6397" i="6"/>
  <c r="E6396" i="6"/>
  <c r="E6395" i="6"/>
  <c r="E6394" i="6"/>
  <c r="E6393" i="6"/>
  <c r="E6392" i="6"/>
  <c r="E6391" i="6"/>
  <c r="E6390" i="6"/>
  <c r="E6389" i="6"/>
  <c r="E6388" i="6"/>
  <c r="E6387" i="6"/>
  <c r="E6386" i="6"/>
  <c r="E6385" i="6"/>
  <c r="E6384" i="6"/>
  <c r="E6383" i="6"/>
  <c r="E6382" i="6"/>
  <c r="E6381" i="6"/>
  <c r="E6380" i="6"/>
  <c r="E6379" i="6"/>
  <c r="E6378" i="6"/>
  <c r="E6377" i="6"/>
  <c r="E6376" i="6"/>
  <c r="E6375" i="6"/>
  <c r="E6374" i="6"/>
  <c r="E6373" i="6"/>
  <c r="E6372" i="6"/>
  <c r="E6371" i="6"/>
  <c r="E6370" i="6"/>
  <c r="E6369" i="6"/>
  <c r="E6368" i="6"/>
  <c r="E6367" i="6"/>
  <c r="E6366" i="6"/>
  <c r="E6365" i="6"/>
  <c r="E6364" i="6"/>
  <c r="E6363" i="6"/>
  <c r="E6362" i="6"/>
  <c r="E6361" i="6"/>
  <c r="E6360" i="6"/>
  <c r="E6359" i="6"/>
  <c r="E6358" i="6"/>
  <c r="E6357" i="6"/>
  <c r="E6356" i="6"/>
  <c r="E6355" i="6"/>
  <c r="E6354" i="6"/>
  <c r="E6353" i="6"/>
  <c r="E6352" i="6"/>
  <c r="E6351" i="6"/>
  <c r="E6350" i="6"/>
  <c r="E6349" i="6"/>
  <c r="E6348" i="6"/>
  <c r="E6347" i="6"/>
  <c r="E6346" i="6"/>
  <c r="E6345" i="6"/>
  <c r="E6344" i="6"/>
  <c r="E6343" i="6"/>
  <c r="E6342" i="6"/>
  <c r="E6341" i="6"/>
  <c r="E6340" i="6"/>
  <c r="E6339" i="6"/>
  <c r="E6338" i="6"/>
  <c r="E6337" i="6"/>
  <c r="E6336" i="6"/>
  <c r="E6335" i="6"/>
  <c r="E6334" i="6"/>
  <c r="E6333" i="6"/>
  <c r="E6332" i="6"/>
  <c r="E6331" i="6"/>
  <c r="E6330" i="6"/>
  <c r="E6329" i="6"/>
  <c r="E6328" i="6"/>
  <c r="E6327" i="6"/>
  <c r="E6326" i="6"/>
  <c r="E6325" i="6"/>
  <c r="E6324" i="6"/>
  <c r="E6323" i="6"/>
  <c r="E6322" i="6"/>
  <c r="E6321" i="6"/>
  <c r="E6320" i="6"/>
  <c r="E6319" i="6"/>
  <c r="E6318" i="6"/>
  <c r="E6317" i="6"/>
  <c r="E6316" i="6"/>
  <c r="E6315" i="6"/>
  <c r="E6314" i="6"/>
  <c r="E6313" i="6"/>
  <c r="E6312" i="6"/>
  <c r="E6311" i="6"/>
  <c r="E6310" i="6"/>
  <c r="E6309" i="6"/>
  <c r="E6308" i="6"/>
  <c r="E6307" i="6"/>
  <c r="E6306" i="6"/>
  <c r="E6305" i="6"/>
  <c r="E6304" i="6"/>
  <c r="E6303" i="6"/>
  <c r="E6302" i="6"/>
  <c r="E6301" i="6"/>
  <c r="E6300" i="6"/>
  <c r="E6299" i="6"/>
  <c r="E6298" i="6"/>
  <c r="E6297" i="6"/>
  <c r="E6296" i="6"/>
  <c r="E6295" i="6"/>
  <c r="E6294" i="6"/>
  <c r="E6293" i="6"/>
  <c r="E6292" i="6"/>
  <c r="E6291" i="6"/>
  <c r="E6290" i="6"/>
  <c r="E6289" i="6"/>
  <c r="E6288" i="6"/>
  <c r="E6287" i="6"/>
  <c r="E6286" i="6"/>
  <c r="E6285" i="6"/>
  <c r="E6284" i="6"/>
  <c r="E6283" i="6"/>
  <c r="E6282" i="6"/>
  <c r="E6281" i="6"/>
  <c r="E6280" i="6"/>
  <c r="E6279" i="6"/>
  <c r="E6278" i="6"/>
  <c r="E6277" i="6"/>
  <c r="E6276" i="6"/>
  <c r="E6275" i="6"/>
  <c r="E6274" i="6"/>
  <c r="E6273" i="6"/>
  <c r="E6272" i="6"/>
  <c r="E6271" i="6"/>
  <c r="E6270" i="6"/>
  <c r="E6269" i="6"/>
  <c r="E6268" i="6"/>
  <c r="E6267" i="6"/>
  <c r="E6266" i="6"/>
  <c r="E6265" i="6"/>
  <c r="E6264" i="6"/>
  <c r="E6263" i="6"/>
  <c r="E6262" i="6"/>
  <c r="E6261" i="6"/>
  <c r="E6260" i="6"/>
  <c r="E6259" i="6"/>
  <c r="E6258" i="6"/>
  <c r="E6257" i="6"/>
  <c r="E6256" i="6"/>
  <c r="E6255" i="6"/>
  <c r="E6254" i="6"/>
  <c r="E6253" i="6"/>
  <c r="E6252" i="6"/>
  <c r="E6251" i="6"/>
  <c r="E6250" i="6"/>
  <c r="E6249" i="6"/>
  <c r="E6248" i="6"/>
  <c r="E6247" i="6"/>
  <c r="E6246" i="6"/>
  <c r="E6245" i="6"/>
  <c r="E6244" i="6"/>
  <c r="E6243" i="6"/>
  <c r="E6242" i="6"/>
  <c r="E6241" i="6"/>
  <c r="E6240" i="6"/>
  <c r="E6239" i="6"/>
  <c r="E6238" i="6"/>
  <c r="E6237" i="6"/>
  <c r="E6236" i="6"/>
  <c r="E6235" i="6"/>
  <c r="E6234" i="6"/>
  <c r="E6233" i="6"/>
  <c r="E6232" i="6"/>
  <c r="E6231" i="6"/>
  <c r="E6230" i="6"/>
  <c r="E6229" i="6"/>
  <c r="E6228" i="6"/>
  <c r="E6227" i="6"/>
  <c r="E6226" i="6"/>
  <c r="E6225" i="6"/>
  <c r="E6224" i="6"/>
  <c r="E6223" i="6"/>
  <c r="E6222" i="6"/>
  <c r="E6221" i="6"/>
  <c r="E6220" i="6"/>
  <c r="E6219" i="6"/>
  <c r="E6218" i="6"/>
  <c r="E6217" i="6"/>
  <c r="E6216" i="6"/>
  <c r="E6215" i="6"/>
  <c r="E6214" i="6"/>
  <c r="E6213" i="6"/>
  <c r="E6212" i="6"/>
  <c r="E6211" i="6"/>
  <c r="E6210" i="6"/>
  <c r="E6209" i="6"/>
  <c r="E6208" i="6"/>
  <c r="E6207" i="6"/>
  <c r="E6206" i="6"/>
  <c r="E6205" i="6"/>
  <c r="E6204" i="6"/>
  <c r="E6203" i="6"/>
  <c r="E6202" i="6"/>
  <c r="E6201" i="6"/>
  <c r="E6200" i="6"/>
  <c r="E6199" i="6"/>
  <c r="E6198" i="6"/>
  <c r="E6197" i="6"/>
  <c r="E6196" i="6"/>
  <c r="E6195" i="6"/>
  <c r="E6194" i="6"/>
  <c r="E6193" i="6"/>
  <c r="E6192" i="6"/>
  <c r="E6191" i="6"/>
  <c r="E6190" i="6"/>
  <c r="E6189" i="6"/>
  <c r="E6188" i="6"/>
  <c r="E6187" i="6"/>
  <c r="E6186" i="6"/>
  <c r="E6185" i="6"/>
  <c r="E6184" i="6"/>
  <c r="E6183" i="6"/>
  <c r="E6182" i="6"/>
  <c r="E6181" i="6"/>
  <c r="E6180" i="6"/>
  <c r="E6179" i="6"/>
  <c r="E6178" i="6"/>
  <c r="E6177" i="6"/>
  <c r="E6176" i="6"/>
  <c r="E6175" i="6"/>
  <c r="E6174" i="6"/>
  <c r="E6173" i="6"/>
  <c r="E6172" i="6"/>
  <c r="E6171" i="6"/>
  <c r="E6170" i="6"/>
  <c r="E6169" i="6"/>
  <c r="E6168" i="6"/>
  <c r="E6167" i="6"/>
  <c r="E6166" i="6"/>
  <c r="E6165" i="6"/>
  <c r="E6164" i="6"/>
  <c r="E6163" i="6"/>
  <c r="E6162" i="6"/>
  <c r="E6161" i="6"/>
  <c r="E6160" i="6"/>
  <c r="E6159" i="6"/>
  <c r="E6158" i="6"/>
  <c r="E6157" i="6"/>
  <c r="E6156" i="6"/>
  <c r="E6155" i="6"/>
  <c r="E6154" i="6"/>
  <c r="E6153" i="6"/>
  <c r="E6152" i="6"/>
  <c r="E6151" i="6"/>
  <c r="E6150" i="6"/>
  <c r="E6149" i="6"/>
  <c r="E6148" i="6"/>
  <c r="E6147" i="6"/>
  <c r="E6146" i="6"/>
  <c r="E6145" i="6"/>
  <c r="E6144" i="6"/>
  <c r="E6143" i="6"/>
  <c r="E6142" i="6"/>
  <c r="E6141" i="6"/>
  <c r="E6140" i="6"/>
  <c r="E6139" i="6"/>
  <c r="E6138" i="6"/>
  <c r="E6137" i="6"/>
  <c r="E6136" i="6"/>
  <c r="E6135" i="6"/>
  <c r="E6134" i="6"/>
  <c r="E6133" i="6"/>
  <c r="E6132" i="6"/>
  <c r="E6131" i="6"/>
  <c r="E6130" i="6"/>
  <c r="E6129" i="6"/>
  <c r="E6128" i="6"/>
  <c r="E6127" i="6"/>
  <c r="E6126" i="6"/>
  <c r="E6125" i="6"/>
  <c r="E6124" i="6"/>
  <c r="E6123" i="6"/>
  <c r="E6122" i="6"/>
  <c r="E6121" i="6"/>
  <c r="E6120" i="6"/>
  <c r="E6119" i="6"/>
  <c r="E6118" i="6"/>
  <c r="E6117" i="6"/>
  <c r="E6116" i="6"/>
  <c r="E6115" i="6"/>
  <c r="E6114" i="6"/>
  <c r="E6113" i="6"/>
  <c r="E6112" i="6"/>
  <c r="E6111" i="6"/>
  <c r="E6110" i="6"/>
  <c r="E6109" i="6"/>
  <c r="E6108" i="6"/>
  <c r="E6107" i="6"/>
  <c r="E6106" i="6"/>
  <c r="E6105" i="6"/>
  <c r="E6104" i="6"/>
  <c r="E6103" i="6"/>
  <c r="E6102" i="6"/>
  <c r="E6101" i="6"/>
  <c r="E6100" i="6"/>
  <c r="E6099" i="6"/>
  <c r="E6098" i="6"/>
  <c r="E6097" i="6"/>
  <c r="E6096" i="6"/>
  <c r="E6095" i="6"/>
  <c r="E6094" i="6"/>
  <c r="E6093" i="6"/>
  <c r="E6092" i="6"/>
  <c r="E6091" i="6"/>
  <c r="E6090" i="6"/>
  <c r="E6089" i="6"/>
  <c r="E6088" i="6"/>
  <c r="E6087" i="6"/>
  <c r="E6086" i="6"/>
  <c r="E6085" i="6"/>
  <c r="E6084" i="6"/>
  <c r="E6083" i="6"/>
  <c r="E6082" i="6"/>
  <c r="E6081" i="6"/>
  <c r="E6080" i="6"/>
  <c r="E6079" i="6"/>
  <c r="E6078" i="6"/>
  <c r="E6077" i="6"/>
  <c r="E6076" i="6"/>
  <c r="E6075" i="6"/>
  <c r="E6074" i="6"/>
  <c r="E6073" i="6"/>
  <c r="E6072" i="6"/>
  <c r="E6071" i="6"/>
  <c r="E6070" i="6"/>
  <c r="E6069" i="6"/>
  <c r="E6068" i="6"/>
  <c r="E6067" i="6"/>
  <c r="E6066" i="6"/>
  <c r="E6065" i="6"/>
  <c r="E6064" i="6"/>
  <c r="E6063" i="6"/>
  <c r="E6062" i="6"/>
  <c r="E6061" i="6"/>
  <c r="E6060" i="6"/>
  <c r="E6059" i="6"/>
  <c r="E6058" i="6"/>
  <c r="E6057" i="6"/>
  <c r="E6056" i="6"/>
  <c r="E6055" i="6"/>
  <c r="E6054" i="6"/>
  <c r="E6053" i="6"/>
  <c r="E6052" i="6"/>
  <c r="E6051" i="6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E5990" i="6"/>
  <c r="E5989" i="6"/>
  <c r="E5988" i="6"/>
  <c r="E5987" i="6"/>
  <c r="E5986" i="6"/>
  <c r="E5985" i="6"/>
  <c r="E5984" i="6"/>
  <c r="E5983" i="6"/>
  <c r="E5982" i="6"/>
  <c r="E5981" i="6"/>
  <c r="E5980" i="6"/>
  <c r="E5979" i="6"/>
  <c r="E5978" i="6"/>
  <c r="E5977" i="6"/>
  <c r="E5976" i="6"/>
  <c r="E5975" i="6"/>
  <c r="E5974" i="6"/>
  <c r="E5973" i="6"/>
  <c r="E5972" i="6"/>
  <c r="E5971" i="6"/>
  <c r="E5970" i="6"/>
  <c r="E5969" i="6"/>
  <c r="E5968" i="6"/>
  <c r="E5967" i="6"/>
  <c r="E5966" i="6"/>
  <c r="E5965" i="6"/>
  <c r="E5964" i="6"/>
  <c r="E5963" i="6"/>
  <c r="E5962" i="6"/>
  <c r="E5961" i="6"/>
  <c r="E5960" i="6"/>
  <c r="E5959" i="6"/>
  <c r="E5958" i="6"/>
  <c r="E5957" i="6"/>
  <c r="E5956" i="6"/>
  <c r="E5955" i="6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E5906" i="6"/>
  <c r="E5905" i="6"/>
  <c r="E5904" i="6"/>
  <c r="E5903" i="6"/>
  <c r="E5902" i="6"/>
  <c r="E5901" i="6"/>
  <c r="E5900" i="6"/>
  <c r="E5899" i="6"/>
  <c r="E5898" i="6"/>
  <c r="E5897" i="6"/>
  <c r="E5896" i="6"/>
  <c r="E5895" i="6"/>
  <c r="E5894" i="6"/>
  <c r="E5893" i="6"/>
  <c r="E5892" i="6"/>
  <c r="E5891" i="6"/>
  <c r="E5890" i="6"/>
  <c r="E5889" i="6"/>
  <c r="E5888" i="6"/>
  <c r="E5887" i="6"/>
  <c r="E5886" i="6"/>
  <c r="E5885" i="6"/>
  <c r="E5884" i="6"/>
  <c r="E5883" i="6"/>
  <c r="E5882" i="6"/>
  <c r="E5881" i="6"/>
  <c r="E5880" i="6"/>
  <c r="E5879" i="6"/>
  <c r="E5878" i="6"/>
  <c r="E5877" i="6"/>
  <c r="E5876" i="6"/>
  <c r="E5875" i="6"/>
  <c r="E5874" i="6"/>
  <c r="E5873" i="6"/>
  <c r="E5872" i="6"/>
  <c r="E5871" i="6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E5858" i="6"/>
  <c r="E5857" i="6"/>
  <c r="E5856" i="6"/>
  <c r="E5855" i="6"/>
  <c r="E5854" i="6"/>
  <c r="E5853" i="6"/>
  <c r="E5852" i="6"/>
  <c r="E5851" i="6"/>
  <c r="E5850" i="6"/>
  <c r="E5849" i="6"/>
  <c r="E5848" i="6"/>
  <c r="E5847" i="6"/>
  <c r="E5846" i="6"/>
  <c r="E5845" i="6"/>
  <c r="E5844" i="6"/>
  <c r="E5843" i="6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E5830" i="6"/>
  <c r="E5829" i="6"/>
  <c r="E5828" i="6"/>
  <c r="E5827" i="6"/>
  <c r="E5826" i="6"/>
  <c r="E5825" i="6"/>
  <c r="E5824" i="6"/>
  <c r="E5823" i="6"/>
  <c r="E5822" i="6"/>
  <c r="E5821" i="6"/>
  <c r="E5820" i="6"/>
  <c r="E5819" i="6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E5806" i="6"/>
  <c r="E5805" i="6"/>
  <c r="E5804" i="6"/>
  <c r="E5803" i="6"/>
  <c r="E5802" i="6"/>
  <c r="E5801" i="6"/>
  <c r="E5800" i="6"/>
  <c r="E5799" i="6"/>
  <c r="E5798" i="6"/>
  <c r="E5797" i="6"/>
  <c r="E5796" i="6"/>
  <c r="E5795" i="6"/>
  <c r="E5794" i="6"/>
  <c r="E5793" i="6"/>
  <c r="E5792" i="6"/>
  <c r="E5791" i="6"/>
  <c r="E5790" i="6"/>
  <c r="E5789" i="6"/>
  <c r="E5788" i="6"/>
  <c r="E5787" i="6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57" i="6"/>
  <c r="E5756" i="6"/>
  <c r="E5755" i="6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722" i="6"/>
  <c r="E5721" i="6"/>
  <c r="E5720" i="6"/>
  <c r="E5719" i="6"/>
  <c r="E5718" i="6"/>
  <c r="E5717" i="6"/>
  <c r="E5716" i="6"/>
  <c r="E5715" i="6"/>
  <c r="E5714" i="6"/>
  <c r="E5713" i="6"/>
  <c r="E5712" i="6"/>
  <c r="E5711" i="6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E5674" i="6"/>
  <c r="E5673" i="6"/>
  <c r="E5672" i="6"/>
  <c r="E5671" i="6"/>
  <c r="E5670" i="6"/>
  <c r="E5669" i="6"/>
  <c r="E5668" i="6"/>
  <c r="E5667" i="6"/>
  <c r="E5666" i="6"/>
  <c r="E5665" i="6"/>
  <c r="E5664" i="6"/>
  <c r="E5663" i="6"/>
  <c r="E5662" i="6"/>
  <c r="E5661" i="6"/>
  <c r="E5660" i="6"/>
  <c r="E5659" i="6"/>
  <c r="E5658" i="6"/>
  <c r="E5657" i="6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E5644" i="6"/>
  <c r="E5643" i="6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E5620" i="6"/>
  <c r="E5619" i="6"/>
  <c r="E5618" i="6"/>
  <c r="E5617" i="6"/>
  <c r="E5616" i="6"/>
  <c r="E5615" i="6"/>
  <c r="E5614" i="6"/>
  <c r="E5613" i="6"/>
  <c r="E5612" i="6"/>
  <c r="E5611" i="6"/>
  <c r="E5610" i="6"/>
  <c r="E5609" i="6"/>
  <c r="E5608" i="6"/>
  <c r="E5607" i="6"/>
  <c r="E5606" i="6"/>
  <c r="E5605" i="6"/>
  <c r="E5604" i="6"/>
  <c r="E5603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90" i="6"/>
  <c r="E5589" i="6"/>
  <c r="E5588" i="6"/>
  <c r="E5587" i="6"/>
  <c r="E5586" i="6"/>
  <c r="E5585" i="6"/>
  <c r="E5584" i="6"/>
  <c r="E5583" i="6"/>
  <c r="E5582" i="6"/>
  <c r="E5581" i="6"/>
  <c r="E5580" i="6"/>
  <c r="E5579" i="6"/>
  <c r="E5578" i="6"/>
  <c r="E5577" i="6"/>
  <c r="E5576" i="6"/>
  <c r="E5575" i="6"/>
  <c r="E5574" i="6"/>
  <c r="E5573" i="6"/>
  <c r="E5572" i="6"/>
  <c r="E5571" i="6"/>
  <c r="E5570" i="6"/>
  <c r="E5569" i="6"/>
  <c r="E5568" i="6"/>
  <c r="E5567" i="6"/>
  <c r="E5566" i="6"/>
  <c r="E5565" i="6"/>
  <c r="E5564" i="6"/>
  <c r="E5563" i="6"/>
  <c r="E5562" i="6"/>
  <c r="E5561" i="6"/>
  <c r="E5560" i="6"/>
  <c r="E5559" i="6"/>
  <c r="E5558" i="6"/>
  <c r="E5557" i="6"/>
  <c r="E5556" i="6"/>
  <c r="E5555" i="6"/>
  <c r="E5554" i="6"/>
  <c r="E5553" i="6"/>
  <c r="E5552" i="6"/>
  <c r="E5551" i="6"/>
  <c r="E5550" i="6"/>
  <c r="E5549" i="6"/>
  <c r="E5548" i="6"/>
  <c r="E5547" i="6"/>
  <c r="E5546" i="6"/>
  <c r="E5545" i="6"/>
  <c r="E5544" i="6"/>
  <c r="E5543" i="6"/>
  <c r="E5542" i="6"/>
  <c r="E5541" i="6"/>
  <c r="E5540" i="6"/>
  <c r="E5539" i="6"/>
  <c r="E5538" i="6"/>
  <c r="E5537" i="6"/>
  <c r="E5536" i="6"/>
  <c r="E5535" i="6"/>
  <c r="E5534" i="6"/>
  <c r="E5533" i="6"/>
  <c r="E5532" i="6"/>
  <c r="E5531" i="6"/>
  <c r="E5530" i="6"/>
  <c r="E5529" i="6"/>
  <c r="E5528" i="6"/>
  <c r="E5527" i="6"/>
  <c r="E5526" i="6"/>
  <c r="E5525" i="6"/>
  <c r="E5524" i="6"/>
  <c r="E5523" i="6"/>
  <c r="E5522" i="6"/>
  <c r="E5521" i="6"/>
  <c r="E5520" i="6"/>
  <c r="E5519" i="6"/>
  <c r="E5518" i="6"/>
  <c r="E5517" i="6"/>
  <c r="E5516" i="6"/>
  <c r="E5515" i="6"/>
  <c r="E5514" i="6"/>
  <c r="E5513" i="6"/>
  <c r="E5512" i="6"/>
  <c r="E5511" i="6"/>
  <c r="E5510" i="6"/>
  <c r="E5509" i="6"/>
  <c r="E5508" i="6"/>
  <c r="E5507" i="6"/>
  <c r="E5506" i="6"/>
  <c r="E5505" i="6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E5478" i="6"/>
  <c r="E5477" i="6"/>
  <c r="E5476" i="6"/>
  <c r="E5475" i="6"/>
  <c r="E5474" i="6"/>
  <c r="E5473" i="6"/>
  <c r="E5472" i="6"/>
  <c r="E5471" i="6"/>
  <c r="E5470" i="6"/>
  <c r="E5469" i="6"/>
  <c r="E5468" i="6"/>
  <c r="E5467" i="6"/>
  <c r="E5466" i="6"/>
  <c r="E5465" i="6"/>
  <c r="E5464" i="6"/>
  <c r="E5463" i="6"/>
  <c r="E5462" i="6"/>
  <c r="E5461" i="6"/>
  <c r="E5460" i="6"/>
  <c r="E5459" i="6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E5446" i="6"/>
  <c r="E5445" i="6"/>
  <c r="E5444" i="6"/>
  <c r="E544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30" i="6"/>
  <c r="E5429" i="6"/>
  <c r="E5428" i="6"/>
  <c r="E5427" i="6"/>
  <c r="E5426" i="6"/>
  <c r="E5425" i="6"/>
  <c r="E5424" i="6"/>
  <c r="E5423" i="6"/>
  <c r="E5422" i="6"/>
  <c r="E5421" i="6"/>
  <c r="E5420" i="6"/>
  <c r="E5419" i="6"/>
  <c r="E5418" i="6"/>
  <c r="E5417" i="6"/>
  <c r="E5416" i="6"/>
  <c r="E5415" i="6"/>
  <c r="E5414" i="6"/>
  <c r="E5413" i="6"/>
  <c r="E5412" i="6"/>
  <c r="E541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98" i="6"/>
  <c r="E5397" i="6"/>
  <c r="E5396" i="6"/>
  <c r="E5395" i="6"/>
  <c r="E5394" i="6"/>
  <c r="E5393" i="6"/>
  <c r="E5392" i="6"/>
  <c r="E5391" i="6"/>
  <c r="E5390" i="6"/>
  <c r="E5389" i="6"/>
  <c r="E5388" i="6"/>
  <c r="E5387" i="6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E5332" i="6"/>
  <c r="E5331" i="6"/>
  <c r="E5330" i="6"/>
  <c r="E5329" i="6"/>
  <c r="E5328" i="6"/>
  <c r="E5327" i="6"/>
  <c r="E5326" i="6"/>
  <c r="E5325" i="6"/>
  <c r="E5324" i="6"/>
  <c r="E5323" i="6"/>
  <c r="E5322" i="6"/>
  <c r="E5321" i="6"/>
  <c r="E5320" i="6"/>
  <c r="E5319" i="6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E5306" i="6"/>
  <c r="E5305" i="6"/>
  <c r="E5304" i="6"/>
  <c r="E5303" i="6"/>
  <c r="E5302" i="6"/>
  <c r="E5301" i="6"/>
  <c r="E5300" i="6"/>
  <c r="E5299" i="6"/>
  <c r="E5298" i="6"/>
  <c r="E5297" i="6"/>
  <c r="E5296" i="6"/>
  <c r="E5295" i="6"/>
  <c r="E5294" i="6"/>
  <c r="E5293" i="6"/>
  <c r="E5292" i="6"/>
  <c r="E5291" i="6"/>
  <c r="E5290" i="6"/>
  <c r="E5289" i="6"/>
  <c r="E5288" i="6"/>
  <c r="E5287" i="6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E5272" i="6"/>
  <c r="E5271" i="6"/>
  <c r="E5270" i="6"/>
  <c r="E5269" i="6"/>
  <c r="E5268" i="6"/>
  <c r="E5267" i="6"/>
  <c r="E5266" i="6"/>
  <c r="E5265" i="6"/>
  <c r="E5264" i="6"/>
  <c r="E5263" i="6"/>
  <c r="E5262" i="6"/>
  <c r="E5261" i="6"/>
  <c r="E5260" i="6"/>
  <c r="E5259" i="6"/>
  <c r="E5258" i="6"/>
  <c r="E5257" i="6"/>
  <c r="E5256" i="6"/>
  <c r="E5255" i="6"/>
  <c r="E5254" i="6"/>
  <c r="E5253" i="6"/>
  <c r="E5252" i="6"/>
  <c r="E5251" i="6"/>
  <c r="E5250" i="6"/>
  <c r="E5249" i="6"/>
  <c r="E5248" i="6"/>
  <c r="E5247" i="6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E5234" i="6"/>
  <c r="E5233" i="6"/>
  <c r="E5232" i="6"/>
  <c r="E5231" i="6"/>
  <c r="E5230" i="6"/>
  <c r="E5229" i="6"/>
  <c r="E5228" i="6"/>
  <c r="E5227" i="6"/>
  <c r="E5226" i="6"/>
  <c r="E5225" i="6"/>
  <c r="E5224" i="6"/>
  <c r="E5223" i="6"/>
  <c r="E5222" i="6"/>
  <c r="E5221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206" i="6"/>
  <c r="E5205" i="6"/>
  <c r="E5204" i="6"/>
  <c r="E5203" i="6"/>
  <c r="E5202" i="6"/>
  <c r="E5201" i="6"/>
  <c r="E5200" i="6"/>
  <c r="E519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E5160" i="6"/>
  <c r="E5159" i="6"/>
  <c r="E5158" i="6"/>
  <c r="E5157" i="6"/>
  <c r="E5156" i="6"/>
  <c r="E5155" i="6"/>
  <c r="E5154" i="6"/>
  <c r="E5153" i="6"/>
  <c r="E5152" i="6"/>
  <c r="E5151" i="6"/>
  <c r="E5150" i="6"/>
  <c r="E5149" i="6"/>
  <c r="E5148" i="6"/>
  <c r="E5147" i="6"/>
  <c r="E5146" i="6"/>
  <c r="E5145" i="6"/>
  <c r="E5144" i="6"/>
  <c r="E5143" i="6"/>
  <c r="E5142" i="6"/>
  <c r="E5141" i="6"/>
  <c r="E5140" i="6"/>
  <c r="E5139" i="6"/>
  <c r="E5138" i="6"/>
  <c r="E5137" i="6"/>
  <c r="E5136" i="6"/>
  <c r="E5135" i="6"/>
  <c r="E5134" i="6"/>
  <c r="E5133" i="6"/>
  <c r="E5132" i="6"/>
  <c r="E5131" i="6"/>
  <c r="E5130" i="6"/>
  <c r="E5129" i="6"/>
  <c r="E5128" i="6"/>
  <c r="E5127" i="6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E5096" i="6"/>
  <c r="E5095" i="6"/>
  <c r="E5094" i="6"/>
  <c r="E5093" i="6"/>
  <c r="E5092" i="6"/>
  <c r="E5091" i="6"/>
  <c r="E5090" i="6"/>
  <c r="E5089" i="6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E5052" i="6"/>
  <c r="E5051" i="6"/>
  <c r="E5050" i="6"/>
  <c r="E5049" i="6"/>
  <c r="E5048" i="6"/>
  <c r="E5047" i="6"/>
  <c r="E5046" i="6"/>
  <c r="E5045" i="6"/>
  <c r="E5044" i="6"/>
  <c r="E5043" i="6"/>
  <c r="E5042" i="6"/>
  <c r="E5041" i="6"/>
  <c r="E5040" i="6"/>
  <c r="E5039" i="6"/>
  <c r="E5038" i="6"/>
  <c r="E5037" i="6"/>
  <c r="E5036" i="6"/>
  <c r="E5035" i="6"/>
  <c r="E5034" i="6"/>
  <c r="E5033" i="6"/>
  <c r="E5032" i="6"/>
  <c r="E5031" i="6"/>
  <c r="E5030" i="6"/>
  <c r="E5029" i="6"/>
  <c r="E5028" i="6"/>
  <c r="E502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14" i="6"/>
  <c r="E5013" i="6"/>
  <c r="E5012" i="6"/>
  <c r="E5011" i="6"/>
  <c r="E5010" i="6"/>
  <c r="E5009" i="6"/>
  <c r="E5008" i="6"/>
  <c r="E5007" i="6"/>
  <c r="E5006" i="6"/>
  <c r="E5005" i="6"/>
  <c r="E5004" i="6"/>
  <c r="E5003" i="6"/>
  <c r="E5002" i="6"/>
  <c r="E5001" i="6"/>
  <c r="E5000" i="6"/>
  <c r="E4999" i="6"/>
  <c r="E4998" i="6"/>
  <c r="E4997" i="6"/>
  <c r="E4996" i="6"/>
  <c r="E4995" i="6"/>
  <c r="E4994" i="6"/>
  <c r="E4993" i="6"/>
  <c r="E4992" i="6"/>
  <c r="E4991" i="6"/>
  <c r="E4990" i="6"/>
  <c r="E4989" i="6"/>
  <c r="E4988" i="6"/>
  <c r="E4987" i="6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47" i="6"/>
  <c r="E4946" i="6"/>
  <c r="E4945" i="6"/>
  <c r="E4944" i="6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E4910" i="6"/>
  <c r="E4909" i="6"/>
  <c r="E4908" i="6"/>
  <c r="E4907" i="6"/>
  <c r="E4906" i="6"/>
  <c r="E4905" i="6"/>
  <c r="E4904" i="6"/>
  <c r="E4903" i="6"/>
  <c r="E4902" i="6"/>
  <c r="E4901" i="6"/>
  <c r="E4900" i="6"/>
  <c r="E4899" i="6"/>
  <c r="E4898" i="6"/>
  <c r="E4897" i="6"/>
  <c r="E4896" i="6"/>
  <c r="E4895" i="6"/>
  <c r="E4894" i="6"/>
  <c r="E4893" i="6"/>
  <c r="E4892" i="6"/>
  <c r="E4891" i="6"/>
  <c r="E4890" i="6"/>
  <c r="E4889" i="6"/>
  <c r="E4888" i="6"/>
  <c r="E4887" i="6"/>
  <c r="E4886" i="6"/>
  <c r="E4885" i="6"/>
  <c r="E4884" i="6"/>
  <c r="E4883" i="6"/>
  <c r="E4882" i="6"/>
  <c r="E4881" i="6"/>
  <c r="E4880" i="6"/>
  <c r="E4879" i="6"/>
  <c r="E4878" i="6"/>
  <c r="E4877" i="6"/>
  <c r="E4876" i="6"/>
  <c r="E4875" i="6"/>
  <c r="E4874" i="6"/>
  <c r="E4873" i="6"/>
  <c r="E4872" i="6"/>
  <c r="E4871" i="6"/>
  <c r="E4870" i="6"/>
  <c r="E4869" i="6"/>
  <c r="E4868" i="6"/>
  <c r="E4867" i="6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E4851" i="6"/>
  <c r="E4850" i="6"/>
  <c r="E4849" i="6"/>
  <c r="E4848" i="6"/>
  <c r="E4847" i="6"/>
  <c r="E4846" i="6"/>
  <c r="E4845" i="6"/>
  <c r="E4844" i="6"/>
  <c r="E4843" i="6"/>
  <c r="E4842" i="6"/>
  <c r="E4841" i="6"/>
  <c r="E4840" i="6"/>
  <c r="E4839" i="6"/>
  <c r="E4838" i="6"/>
  <c r="E4837" i="6"/>
  <c r="E4836" i="6"/>
  <c r="E4835" i="6"/>
  <c r="E4834" i="6"/>
  <c r="E4833" i="6"/>
  <c r="E4832" i="6"/>
  <c r="E4831" i="6"/>
  <c r="E4830" i="6"/>
  <c r="E4829" i="6"/>
  <c r="E4828" i="6"/>
  <c r="E4827" i="6"/>
  <c r="E4826" i="6"/>
  <c r="E4825" i="6"/>
  <c r="E4824" i="6"/>
  <c r="E4823" i="6"/>
  <c r="E4822" i="6"/>
  <c r="E4821" i="6"/>
  <c r="E4820" i="6"/>
  <c r="E4819" i="6"/>
  <c r="E4818" i="6"/>
  <c r="E4817" i="6"/>
  <c r="E4816" i="6"/>
  <c r="E4815" i="6"/>
  <c r="E4814" i="6"/>
  <c r="E4813" i="6"/>
  <c r="E4812" i="6"/>
  <c r="E4811" i="6"/>
  <c r="E4810" i="6"/>
  <c r="E4809" i="6"/>
  <c r="E4808" i="6"/>
  <c r="E4807" i="6"/>
  <c r="E4806" i="6"/>
  <c r="E4805" i="6"/>
  <c r="E4804" i="6"/>
  <c r="E4803" i="6"/>
  <c r="E4802" i="6"/>
  <c r="E4801" i="6"/>
  <c r="E4800" i="6"/>
  <c r="E4799" i="6"/>
  <c r="E4798" i="6"/>
  <c r="E4797" i="6"/>
  <c r="E4796" i="6"/>
  <c r="E4795" i="6"/>
  <c r="E4794" i="6"/>
  <c r="E4793" i="6"/>
  <c r="E4792" i="6"/>
  <c r="E4791" i="6"/>
  <c r="E4790" i="6"/>
  <c r="E4789" i="6"/>
  <c r="E4788" i="6"/>
  <c r="E4787" i="6"/>
  <c r="E4786" i="6"/>
  <c r="E4785" i="6"/>
  <c r="E4784" i="6"/>
  <c r="E4783" i="6"/>
  <c r="E4782" i="6"/>
  <c r="E4781" i="6"/>
  <c r="E4780" i="6"/>
  <c r="E4779" i="6"/>
  <c r="E4778" i="6"/>
  <c r="E4777" i="6"/>
  <c r="E4776" i="6"/>
  <c r="E4775" i="6"/>
  <c r="E4774" i="6"/>
  <c r="E4773" i="6"/>
  <c r="E4772" i="6"/>
  <c r="E4771" i="6"/>
  <c r="E4770" i="6"/>
  <c r="E4769" i="6"/>
  <c r="E4768" i="6"/>
  <c r="E4767" i="6"/>
  <c r="E4766" i="6"/>
  <c r="E4765" i="6"/>
  <c r="E4764" i="6"/>
  <c r="E4763" i="6"/>
  <c r="E4762" i="6"/>
  <c r="E4761" i="6"/>
  <c r="E4760" i="6"/>
  <c r="E4759" i="6"/>
  <c r="E4758" i="6"/>
  <c r="E4757" i="6"/>
  <c r="E4756" i="6"/>
  <c r="E4755" i="6"/>
  <c r="E4754" i="6"/>
  <c r="E4753" i="6"/>
  <c r="E4752" i="6"/>
  <c r="E4751" i="6"/>
  <c r="E4750" i="6"/>
  <c r="E4749" i="6"/>
  <c r="E4748" i="6"/>
  <c r="E4747" i="6"/>
  <c r="E4746" i="6"/>
  <c r="E4745" i="6"/>
  <c r="E4744" i="6"/>
  <c r="E4743" i="6"/>
  <c r="E4742" i="6"/>
  <c r="E4741" i="6"/>
  <c r="E4740" i="6"/>
  <c r="E4739" i="6"/>
  <c r="E4738" i="6"/>
  <c r="E4737" i="6"/>
  <c r="E4736" i="6"/>
  <c r="E4735" i="6"/>
  <c r="E4734" i="6"/>
  <c r="E4733" i="6"/>
  <c r="E4732" i="6"/>
  <c r="E4731" i="6"/>
  <c r="E4730" i="6"/>
  <c r="E4729" i="6"/>
  <c r="E4728" i="6"/>
  <c r="E4727" i="6"/>
  <c r="E4726" i="6"/>
  <c r="E4725" i="6"/>
  <c r="E4724" i="6"/>
  <c r="E4723" i="6"/>
  <c r="E4722" i="6"/>
  <c r="E4721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E4686" i="6"/>
  <c r="E4685" i="6"/>
  <c r="E4684" i="6"/>
  <c r="E4683" i="6"/>
  <c r="E4682" i="6"/>
  <c r="E4681" i="6"/>
  <c r="E4680" i="6"/>
  <c r="E4679" i="6"/>
  <c r="E4678" i="6"/>
  <c r="E4677" i="6"/>
  <c r="E4676" i="6"/>
  <c r="E4675" i="6"/>
  <c r="E4674" i="6"/>
  <c r="E4673" i="6"/>
  <c r="E4672" i="6"/>
  <c r="E4671" i="6"/>
  <c r="E4670" i="6"/>
  <c r="E4669" i="6"/>
  <c r="E4668" i="6"/>
  <c r="E4667" i="6"/>
  <c r="E4666" i="6"/>
  <c r="E4665" i="6"/>
  <c r="E4664" i="6"/>
  <c r="E4663" i="6"/>
  <c r="E4662" i="6"/>
  <c r="E4661" i="6"/>
  <c r="E4660" i="6"/>
  <c r="E4659" i="6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E4646" i="6"/>
  <c r="E4645" i="6"/>
  <c r="E4644" i="6"/>
  <c r="E4643" i="6"/>
  <c r="E4642" i="6"/>
  <c r="E4641" i="6"/>
  <c r="E4640" i="6"/>
  <c r="E4639" i="6"/>
  <c r="E4638" i="6"/>
  <c r="E4637" i="6"/>
  <c r="E4636" i="6"/>
  <c r="E4635" i="6"/>
  <c r="E4634" i="6"/>
  <c r="E4633" i="6"/>
  <c r="E4632" i="6"/>
  <c r="E4631" i="6"/>
  <c r="E4630" i="6"/>
  <c r="E4629" i="6"/>
  <c r="E4628" i="6"/>
  <c r="E4627" i="6"/>
  <c r="E4626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610" i="6"/>
  <c r="E4609" i="6"/>
  <c r="E4608" i="6"/>
  <c r="E4607" i="6"/>
  <c r="E4606" i="6"/>
  <c r="E4605" i="6"/>
  <c r="E4604" i="6"/>
  <c r="E4603" i="6"/>
  <c r="E4602" i="6"/>
  <c r="E4601" i="6"/>
  <c r="E4600" i="6"/>
  <c r="E4599" i="6"/>
  <c r="E4598" i="6"/>
  <c r="E4597" i="6"/>
  <c r="E4596" i="6"/>
  <c r="E4595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66" i="6"/>
  <c r="E4565" i="6"/>
  <c r="E4564" i="6"/>
  <c r="E4563" i="6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E4548" i="6"/>
  <c r="E4547" i="6"/>
  <c r="E4546" i="6"/>
  <c r="E4545" i="6"/>
  <c r="E4544" i="6"/>
  <c r="E4543" i="6"/>
  <c r="E4542" i="6"/>
  <c r="E4541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8" i="6"/>
  <c r="E4467" i="6"/>
  <c r="E4466" i="6"/>
  <c r="E4465" i="6"/>
  <c r="E4464" i="6"/>
  <c r="E4463" i="6"/>
  <c r="E4462" i="6"/>
  <c r="E4461" i="6"/>
  <c r="E4460" i="6"/>
  <c r="E4459" i="6"/>
  <c r="E4458" i="6"/>
  <c r="E4457" i="6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92" i="6"/>
  <c r="E4291" i="6"/>
  <c r="E4290" i="6"/>
  <c r="E4289" i="6"/>
  <c r="E4288" i="6"/>
  <c r="E4287" i="6"/>
  <c r="E4286" i="6"/>
  <c r="E4285" i="6"/>
  <c r="E4284" i="6"/>
  <c r="E4283" i="6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E4270" i="6"/>
  <c r="E4269" i="6"/>
  <c r="E4268" i="6"/>
  <c r="E4267" i="6"/>
  <c r="E4266" i="6"/>
  <c r="E4265" i="6"/>
  <c r="E4264" i="6"/>
  <c r="E4263" i="6"/>
  <c r="E4262" i="6"/>
  <c r="E4261" i="6"/>
  <c r="E4260" i="6"/>
  <c r="E4259" i="6"/>
  <c r="E4258" i="6"/>
  <c r="E4257" i="6"/>
  <c r="E4256" i="6"/>
  <c r="E4255" i="6"/>
  <c r="E4254" i="6"/>
  <c r="E4253" i="6"/>
  <c r="E4252" i="6"/>
  <c r="E4251" i="6"/>
  <c r="E4250" i="6"/>
  <c r="E4249" i="6"/>
  <c r="E4248" i="6"/>
  <c r="E4247" i="6"/>
  <c r="E4246" i="6"/>
  <c r="E4245" i="6"/>
  <c r="E4244" i="6"/>
  <c r="E4243" i="6"/>
  <c r="E4242" i="6"/>
  <c r="E4241" i="6"/>
  <c r="E4240" i="6"/>
  <c r="E4239" i="6"/>
  <c r="E4238" i="6"/>
  <c r="E4237" i="6"/>
  <c r="E4236" i="6"/>
  <c r="E4235" i="6"/>
  <c r="E4234" i="6"/>
  <c r="E4233" i="6"/>
  <c r="E4232" i="6"/>
  <c r="E4231" i="6"/>
  <c r="E4230" i="6"/>
  <c r="E4229" i="6"/>
  <c r="E4228" i="6"/>
  <c r="E4227" i="6"/>
  <c r="E4226" i="6"/>
  <c r="E4225" i="6"/>
  <c r="E4224" i="6"/>
  <c r="E4223" i="6"/>
  <c r="E4222" i="6"/>
  <c r="E4221" i="6"/>
  <c r="E4220" i="6"/>
  <c r="E4219" i="6"/>
  <c r="E4218" i="6"/>
  <c r="E4217" i="6"/>
  <c r="E4216" i="6"/>
  <c r="E4215" i="6"/>
  <c r="E4214" i="6"/>
  <c r="E4213" i="6"/>
  <c r="E4212" i="6"/>
  <c r="E4211" i="6"/>
  <c r="E4210" i="6"/>
  <c r="E4209" i="6"/>
  <c r="E4208" i="6"/>
  <c r="E4207" i="6"/>
  <c r="E4206" i="6"/>
  <c r="E4205" i="6"/>
  <c r="E4204" i="6"/>
  <c r="E4203" i="6"/>
  <c r="E4202" i="6"/>
  <c r="E4201" i="6"/>
  <c r="E4200" i="6"/>
  <c r="E4199" i="6"/>
  <c r="E4198" i="6"/>
  <c r="E4197" i="6"/>
  <c r="E4196" i="6"/>
  <c r="E4195" i="6"/>
  <c r="E4194" i="6"/>
  <c r="E4193" i="6"/>
  <c r="E4192" i="6"/>
  <c r="E4191" i="6"/>
  <c r="E4190" i="6"/>
  <c r="E4189" i="6"/>
  <c r="E4188" i="6"/>
  <c r="E4187" i="6"/>
  <c r="E4186" i="6"/>
  <c r="E4185" i="6"/>
  <c r="E4184" i="6"/>
  <c r="E4183" i="6"/>
  <c r="E4182" i="6"/>
  <c r="E4181" i="6"/>
  <c r="E4180" i="6"/>
  <c r="E4179" i="6"/>
  <c r="E4178" i="6"/>
  <c r="E4177" i="6"/>
  <c r="E4176" i="6"/>
  <c r="E4175" i="6"/>
  <c r="E4174" i="6"/>
  <c r="E4173" i="6"/>
  <c r="E4172" i="6"/>
  <c r="E4171" i="6"/>
  <c r="E4170" i="6"/>
  <c r="E4169" i="6"/>
  <c r="E4168" i="6"/>
  <c r="E4167" i="6"/>
  <c r="E4166" i="6"/>
  <c r="E4165" i="6"/>
  <c r="E4164" i="6"/>
  <c r="E4163" i="6"/>
  <c r="E4162" i="6"/>
  <c r="E4161" i="6"/>
  <c r="E4160" i="6"/>
  <c r="E4159" i="6"/>
  <c r="E4158" i="6"/>
  <c r="E4157" i="6"/>
  <c r="E4156" i="6"/>
  <c r="E4155" i="6"/>
  <c r="E4154" i="6"/>
  <c r="E4153" i="6"/>
  <c r="E4152" i="6"/>
  <c r="E4151" i="6"/>
  <c r="E4150" i="6"/>
  <c r="E4149" i="6"/>
  <c r="E4148" i="6"/>
  <c r="E4147" i="6"/>
  <c r="E4146" i="6"/>
  <c r="E4145" i="6"/>
  <c r="E4144" i="6"/>
  <c r="E4143" i="6"/>
  <c r="E4142" i="6"/>
  <c r="E4141" i="6"/>
  <c r="E4140" i="6"/>
  <c r="E4139" i="6"/>
  <c r="E4138" i="6"/>
  <c r="E4137" i="6"/>
  <c r="E4136" i="6"/>
  <c r="E4135" i="6"/>
  <c r="E4134" i="6"/>
  <c r="E4133" i="6"/>
  <c r="E4132" i="6"/>
  <c r="E4131" i="6"/>
  <c r="E4130" i="6"/>
  <c r="E4129" i="6"/>
  <c r="E4128" i="6"/>
  <c r="E4127" i="6"/>
  <c r="E4126" i="6"/>
  <c r="E4125" i="6"/>
  <c r="E4124" i="6"/>
  <c r="E4123" i="6"/>
  <c r="E4122" i="6"/>
  <c r="E4121" i="6"/>
  <c r="E4120" i="6"/>
  <c r="E4119" i="6"/>
  <c r="E4118" i="6"/>
  <c r="E4117" i="6"/>
  <c r="E4116" i="6"/>
  <c r="E4115" i="6"/>
  <c r="E4114" i="6"/>
  <c r="E4113" i="6"/>
  <c r="E4112" i="6"/>
  <c r="E4111" i="6"/>
  <c r="E4110" i="6"/>
  <c r="E4109" i="6"/>
  <c r="E4108" i="6"/>
  <c r="E4107" i="6"/>
  <c r="E4106" i="6"/>
  <c r="E4105" i="6"/>
  <c r="E4104" i="6"/>
  <c r="E4103" i="6"/>
  <c r="E4102" i="6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E4086" i="6"/>
  <c r="E4085" i="6"/>
  <c r="E4084" i="6"/>
  <c r="E4083" i="6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67" i="6"/>
  <c r="E4066" i="6"/>
  <c r="E4065" i="6"/>
  <c r="E4064" i="6"/>
  <c r="E4063" i="6"/>
  <c r="E4062" i="6"/>
  <c r="E4061" i="6"/>
  <c r="E4060" i="6"/>
  <c r="E4059" i="6"/>
  <c r="E4058" i="6"/>
  <c r="E4057" i="6"/>
  <c r="E4056" i="6"/>
  <c r="E4055" i="6"/>
  <c r="E4054" i="6"/>
  <c r="E4053" i="6"/>
  <c r="E4052" i="6"/>
  <c r="E4051" i="6"/>
  <c r="E4050" i="6"/>
  <c r="E4049" i="6"/>
  <c r="E4048" i="6"/>
  <c r="E4047" i="6"/>
  <c r="E4046" i="6"/>
  <c r="E4045" i="6"/>
  <c r="E4044" i="6"/>
  <c r="E4043" i="6"/>
  <c r="E4042" i="6"/>
  <c r="E4041" i="6"/>
  <c r="E4040" i="6"/>
  <c r="E4039" i="6"/>
  <c r="E4038" i="6"/>
  <c r="E4037" i="6"/>
  <c r="E4036" i="6"/>
  <c r="E4035" i="6"/>
  <c r="E4034" i="6"/>
  <c r="E4033" i="6"/>
  <c r="E4032" i="6"/>
  <c r="E4031" i="6"/>
  <c r="E4030" i="6"/>
  <c r="E4029" i="6"/>
  <c r="E4028" i="6"/>
  <c r="E4027" i="6"/>
  <c r="E4026" i="6"/>
  <c r="E4025" i="6"/>
  <c r="E4024" i="6"/>
  <c r="E4023" i="6"/>
  <c r="E4022" i="6"/>
  <c r="E4021" i="6"/>
  <c r="E4020" i="6"/>
  <c r="E4019" i="6"/>
  <c r="E4018" i="6"/>
  <c r="E4017" i="6"/>
  <c r="E4016" i="6"/>
  <c r="E4015" i="6"/>
  <c r="E4014" i="6"/>
  <c r="E4013" i="6"/>
  <c r="E4012" i="6"/>
  <c r="E4011" i="6"/>
  <c r="E4010" i="6"/>
  <c r="E4009" i="6"/>
  <c r="E4008" i="6"/>
  <c r="E4007" i="6"/>
  <c r="E4006" i="6"/>
  <c r="E4005" i="6"/>
  <c r="E4004" i="6"/>
  <c r="E4003" i="6"/>
  <c r="E4002" i="6"/>
  <c r="E4001" i="6"/>
  <c r="E4000" i="6"/>
  <c r="E3999" i="6"/>
  <c r="E3998" i="6"/>
  <c r="E3997" i="6"/>
  <c r="E3996" i="6"/>
  <c r="E3995" i="6"/>
  <c r="E3994" i="6"/>
  <c r="E3993" i="6"/>
  <c r="E3992" i="6"/>
  <c r="E3991" i="6"/>
  <c r="E3990" i="6"/>
  <c r="E3989" i="6"/>
  <c r="E3988" i="6"/>
  <c r="E3987" i="6"/>
  <c r="E3986" i="6"/>
  <c r="E3985" i="6"/>
  <c r="E3984" i="6"/>
  <c r="E3983" i="6"/>
  <c r="E3982" i="6"/>
  <c r="E3981" i="6"/>
  <c r="E3980" i="6"/>
  <c r="E3979" i="6"/>
  <c r="E3978" i="6"/>
  <c r="E3977" i="6"/>
  <c r="E3976" i="6"/>
  <c r="E3975" i="6"/>
  <c r="E3974" i="6"/>
  <c r="E3973" i="6"/>
  <c r="E3972" i="6"/>
  <c r="E3971" i="6"/>
  <c r="E3970" i="6"/>
  <c r="E3969" i="6"/>
  <c r="E3968" i="6"/>
  <c r="E3967" i="6"/>
  <c r="E3966" i="6"/>
  <c r="E3965" i="6"/>
  <c r="E3964" i="6"/>
  <c r="E3963" i="6"/>
  <c r="E3962" i="6"/>
  <c r="E3961" i="6"/>
  <c r="E3960" i="6"/>
  <c r="E3959" i="6"/>
  <c r="E3958" i="6"/>
  <c r="E3957" i="6"/>
  <c r="E3956" i="6"/>
  <c r="E3955" i="6"/>
  <c r="E3954" i="6"/>
  <c r="E3953" i="6"/>
  <c r="E3952" i="6"/>
  <c r="E3951" i="6"/>
  <c r="E3950" i="6"/>
  <c r="E3949" i="6"/>
  <c r="E3948" i="6"/>
  <c r="E3947" i="6"/>
  <c r="E3946" i="6"/>
  <c r="E3945" i="6"/>
  <c r="E3944" i="6"/>
  <c r="E3943" i="6"/>
  <c r="E3942" i="6"/>
  <c r="E3941" i="6"/>
  <c r="E3940" i="6"/>
  <c r="E3939" i="6"/>
  <c r="E3938" i="6"/>
  <c r="E3937" i="6"/>
  <c r="E3936" i="6"/>
  <c r="E3935" i="6"/>
  <c r="E3934" i="6"/>
  <c r="E3933" i="6"/>
  <c r="E3932" i="6"/>
  <c r="E3931" i="6"/>
  <c r="E3930" i="6"/>
  <c r="E3929" i="6"/>
  <c r="E3928" i="6"/>
  <c r="E3927" i="6"/>
  <c r="E3926" i="6"/>
  <c r="E3925" i="6"/>
  <c r="E3924" i="6"/>
  <c r="E3923" i="6"/>
  <c r="E3922" i="6"/>
  <c r="E3921" i="6"/>
  <c r="E3920" i="6"/>
  <c r="E3919" i="6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E3871" i="6"/>
  <c r="E3870" i="6"/>
  <c r="E3869" i="6"/>
  <c r="E3868" i="6"/>
  <c r="E3867" i="6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E3720" i="6"/>
  <c r="E3719" i="6"/>
  <c r="E3718" i="6"/>
  <c r="E3717" i="6"/>
  <c r="E3716" i="6"/>
  <c r="E3715" i="6"/>
  <c r="E3714" i="6"/>
  <c r="E3713" i="6"/>
  <c r="E3712" i="6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E3668" i="6"/>
  <c r="E3667" i="6"/>
  <c r="E3666" i="6"/>
  <c r="E3665" i="6"/>
  <c r="E3664" i="6"/>
  <c r="E3663" i="6"/>
  <c r="E3662" i="6"/>
  <c r="E3661" i="6"/>
  <c r="E3660" i="6"/>
  <c r="E3659" i="6"/>
  <c r="E3658" i="6"/>
  <c r="E3657" i="6"/>
  <c r="E3656" i="6"/>
  <c r="E3655" i="6"/>
  <c r="E3654" i="6"/>
  <c r="E3653" i="6"/>
  <c r="E3652" i="6"/>
  <c r="E3651" i="6"/>
  <c r="E3650" i="6"/>
  <c r="E3649" i="6"/>
  <c r="E3648" i="6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E3600" i="6"/>
  <c r="E3599" i="6"/>
  <c r="E3598" i="6"/>
  <c r="E3597" i="6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E3568" i="6"/>
  <c r="E3567" i="6"/>
  <c r="E3566" i="6"/>
  <c r="E3565" i="6"/>
  <c r="E3564" i="6"/>
  <c r="E3563" i="6"/>
  <c r="E3562" i="6"/>
  <c r="E3561" i="6"/>
  <c r="E3560" i="6"/>
  <c r="E3559" i="6"/>
  <c r="E3558" i="6"/>
  <c r="E3557" i="6"/>
  <c r="E3556" i="6"/>
  <c r="E3555" i="6"/>
  <c r="E3554" i="6"/>
  <c r="E3553" i="6"/>
  <c r="E3552" i="6"/>
  <c r="E3551" i="6"/>
  <c r="E3550" i="6"/>
  <c r="E3549" i="6"/>
  <c r="E3548" i="6"/>
  <c r="E3547" i="6"/>
  <c r="E3546" i="6"/>
  <c r="E3545" i="6"/>
  <c r="E3544" i="6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E3519" i="6"/>
  <c r="E3518" i="6"/>
  <c r="E3517" i="6"/>
  <c r="E3516" i="6"/>
  <c r="E3515" i="6"/>
  <c r="E3514" i="6"/>
  <c r="E3513" i="6"/>
  <c r="E3512" i="6"/>
  <c r="E3511" i="6"/>
  <c r="E3510" i="6"/>
  <c r="E3509" i="6"/>
  <c r="E3508" i="6"/>
  <c r="E3507" i="6"/>
  <c r="E3506" i="6"/>
  <c r="E3505" i="6"/>
  <c r="E3504" i="6"/>
  <c r="E3503" i="6"/>
  <c r="E3502" i="6"/>
  <c r="E3501" i="6"/>
  <c r="E3500" i="6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E3428" i="6"/>
  <c r="E3427" i="6"/>
  <c r="E3426" i="6"/>
  <c r="E3425" i="6"/>
  <c r="E3424" i="6"/>
  <c r="E3423" i="6"/>
  <c r="E3422" i="6"/>
  <c r="E3421" i="6"/>
  <c r="E3420" i="6"/>
  <c r="E3419" i="6"/>
  <c r="E3418" i="6"/>
  <c r="E3417" i="6"/>
  <c r="E3416" i="6"/>
  <c r="E3415" i="6"/>
  <c r="E3414" i="6"/>
  <c r="E3413" i="6"/>
  <c r="E3412" i="6"/>
  <c r="E3411" i="6"/>
  <c r="E3410" i="6"/>
  <c r="E3409" i="6"/>
  <c r="E3408" i="6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E3389" i="6"/>
  <c r="E3388" i="6"/>
  <c r="E3387" i="6"/>
  <c r="E3386" i="6"/>
  <c r="E3385" i="6"/>
  <c r="E3384" i="6"/>
  <c r="E3383" i="6"/>
  <c r="E3382" i="6"/>
  <c r="E3381" i="6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E3359" i="6"/>
  <c r="E3358" i="6"/>
  <c r="E3357" i="6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E3330" i="6"/>
  <c r="E3329" i="6"/>
  <c r="E3328" i="6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E3306" i="6"/>
  <c r="E3305" i="6"/>
  <c r="E3304" i="6"/>
  <c r="E3303" i="6"/>
  <c r="E3302" i="6"/>
  <c r="E3301" i="6"/>
  <c r="E3300" i="6"/>
  <c r="E3299" i="6"/>
  <c r="E3298" i="6"/>
  <c r="E3297" i="6"/>
  <c r="E3296" i="6"/>
  <c r="E3295" i="6"/>
  <c r="E3294" i="6"/>
  <c r="E3293" i="6"/>
  <c r="E3292" i="6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E3278" i="6"/>
  <c r="E3277" i="6"/>
  <c r="E3276" i="6"/>
  <c r="E3275" i="6"/>
  <c r="E3274" i="6"/>
  <c r="E3273" i="6"/>
  <c r="E3272" i="6"/>
  <c r="E3271" i="6"/>
  <c r="E3270" i="6"/>
  <c r="E3269" i="6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E3254" i="6"/>
  <c r="E3253" i="6"/>
  <c r="E3252" i="6"/>
  <c r="E3251" i="6"/>
  <c r="E3250" i="6"/>
  <c r="E3249" i="6"/>
  <c r="E3248" i="6"/>
  <c r="E3247" i="6"/>
  <c r="E3246" i="6"/>
  <c r="E3245" i="6"/>
  <c r="E3244" i="6"/>
  <c r="E3243" i="6"/>
  <c r="E3242" i="6"/>
  <c r="E3241" i="6"/>
  <c r="E3240" i="6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E3222" i="6"/>
  <c r="E3221" i="6"/>
  <c r="E3220" i="6"/>
  <c r="E3219" i="6"/>
  <c r="E3218" i="6"/>
  <c r="E3217" i="6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E3198" i="6"/>
  <c r="E3197" i="6"/>
  <c r="E3196" i="6"/>
  <c r="E3195" i="6"/>
  <c r="E3194" i="6"/>
  <c r="E3193" i="6"/>
  <c r="E3192" i="6"/>
  <c r="E3191" i="6"/>
  <c r="E3190" i="6"/>
  <c r="E3189" i="6"/>
  <c r="E3188" i="6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E3166" i="6"/>
  <c r="E3165" i="6"/>
  <c r="E3164" i="6"/>
  <c r="E3163" i="6"/>
  <c r="E3162" i="6"/>
  <c r="E3161" i="6"/>
  <c r="E3160" i="6"/>
  <c r="E3159" i="6"/>
  <c r="E3158" i="6"/>
  <c r="E3157" i="6"/>
  <c r="E3156" i="6"/>
  <c r="E3155" i="6"/>
  <c r="E3154" i="6"/>
  <c r="E3153" i="6"/>
  <c r="E3152" i="6"/>
  <c r="E3151" i="6"/>
  <c r="E3150" i="6"/>
  <c r="E3149" i="6"/>
  <c r="E3148" i="6"/>
  <c r="E3147" i="6"/>
  <c r="E3146" i="6"/>
  <c r="E3145" i="6"/>
  <c r="E3144" i="6"/>
  <c r="E3143" i="6"/>
  <c r="E3142" i="6"/>
  <c r="E3141" i="6"/>
  <c r="E3140" i="6"/>
  <c r="E3139" i="6"/>
  <c r="E3138" i="6"/>
  <c r="E3137" i="6"/>
  <c r="E3136" i="6"/>
  <c r="E3135" i="6"/>
  <c r="E3134" i="6"/>
  <c r="E3133" i="6"/>
  <c r="E3132" i="6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E3118" i="6"/>
  <c r="E3117" i="6"/>
  <c r="E3116" i="6"/>
  <c r="E3115" i="6"/>
  <c r="E3114" i="6"/>
  <c r="E3113" i="6"/>
  <c r="E3112" i="6"/>
  <c r="E3111" i="6"/>
  <c r="E3110" i="6"/>
  <c r="E3109" i="6"/>
  <c r="E3108" i="6"/>
  <c r="E3107" i="6"/>
  <c r="E3106" i="6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E3059" i="6"/>
  <c r="E3058" i="6"/>
  <c r="E3057" i="6"/>
  <c r="E3056" i="6"/>
  <c r="E3055" i="6"/>
  <c r="E3054" i="6"/>
  <c r="E3053" i="6"/>
  <c r="E3052" i="6"/>
  <c r="E3051" i="6"/>
  <c r="E3050" i="6"/>
  <c r="E3049" i="6"/>
  <c r="E3048" i="6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E3020" i="6"/>
  <c r="E3019" i="6"/>
  <c r="E3018" i="6"/>
  <c r="E3017" i="6"/>
  <c r="E3016" i="6"/>
  <c r="E3015" i="6"/>
  <c r="E3014" i="6"/>
  <c r="E3013" i="6"/>
  <c r="E3012" i="6"/>
  <c r="E3011" i="6"/>
  <c r="E3010" i="6"/>
  <c r="E3009" i="6"/>
  <c r="E3008" i="6"/>
  <c r="E3007" i="6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E950" i="6"/>
  <c r="E949" i="6"/>
  <c r="E948" i="6"/>
  <c r="E947" i="6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E916" i="6"/>
  <c r="E915" i="6"/>
  <c r="E914" i="6"/>
  <c r="E913" i="6"/>
  <c r="E912" i="6"/>
  <c r="E911" i="6"/>
  <c r="E910" i="6"/>
  <c r="E909" i="6"/>
  <c r="E908" i="6"/>
  <c r="E907" i="6"/>
  <c r="E906" i="6"/>
  <c r="E905" i="6"/>
  <c r="E904" i="6"/>
  <c r="E903" i="6"/>
  <c r="E902" i="6"/>
  <c r="E901" i="6"/>
  <c r="E900" i="6"/>
  <c r="E899" i="6"/>
  <c r="E898" i="6"/>
  <c r="E897" i="6"/>
  <c r="E896" i="6"/>
  <c r="E895" i="6"/>
  <c r="E894" i="6"/>
  <c r="E893" i="6"/>
  <c r="E892" i="6"/>
  <c r="E891" i="6"/>
  <c r="E890" i="6"/>
  <c r="E889" i="6"/>
  <c r="E888" i="6"/>
  <c r="E887" i="6"/>
  <c r="E886" i="6"/>
  <c r="E885" i="6"/>
  <c r="E884" i="6"/>
  <c r="E883" i="6"/>
  <c r="E882" i="6"/>
  <c r="E881" i="6"/>
  <c r="E880" i="6"/>
  <c r="E879" i="6"/>
  <c r="E878" i="6"/>
  <c r="E877" i="6"/>
  <c r="E876" i="6"/>
  <c r="E875" i="6"/>
  <c r="E874" i="6"/>
  <c r="E873" i="6"/>
  <c r="E872" i="6"/>
  <c r="E871" i="6"/>
  <c r="E870" i="6"/>
  <c r="E869" i="6"/>
  <c r="E868" i="6"/>
  <c r="E867" i="6"/>
  <c r="E866" i="6"/>
  <c r="E865" i="6"/>
  <c r="E864" i="6"/>
  <c r="E863" i="6"/>
  <c r="E862" i="6"/>
  <c r="E861" i="6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0" i="6"/>
  <c r="E799" i="6"/>
  <c r="E798" i="6"/>
  <c r="E797" i="6"/>
  <c r="E796" i="6"/>
  <c r="E795" i="6"/>
  <c r="E794" i="6"/>
  <c r="E793" i="6"/>
  <c r="E792" i="6"/>
  <c r="E791" i="6"/>
  <c r="E790" i="6"/>
  <c r="E789" i="6"/>
  <c r="E788" i="6"/>
  <c r="E787" i="6"/>
  <c r="E786" i="6"/>
  <c r="E785" i="6"/>
  <c r="E784" i="6"/>
  <c r="E783" i="6"/>
  <c r="E782" i="6"/>
  <c r="E781" i="6"/>
  <c r="E780" i="6"/>
  <c r="E779" i="6"/>
  <c r="E778" i="6"/>
  <c r="E777" i="6"/>
  <c r="E776" i="6"/>
  <c r="E775" i="6"/>
  <c r="E774" i="6"/>
  <c r="E773" i="6"/>
  <c r="E772" i="6"/>
  <c r="E771" i="6"/>
  <c r="E770" i="6"/>
  <c r="E769" i="6"/>
  <c r="E768" i="6"/>
  <c r="E767" i="6"/>
  <c r="E766" i="6"/>
  <c r="E765" i="6"/>
  <c r="E764" i="6"/>
  <c r="E763" i="6"/>
  <c r="E762" i="6"/>
  <c r="E761" i="6"/>
  <c r="E760" i="6"/>
  <c r="E759" i="6"/>
  <c r="E758" i="6"/>
  <c r="E757" i="6"/>
  <c r="E756" i="6"/>
  <c r="E755" i="6"/>
  <c r="E754" i="6"/>
  <c r="E753" i="6"/>
  <c r="E752" i="6"/>
  <c r="E751" i="6"/>
  <c r="E750" i="6"/>
  <c r="E749" i="6"/>
  <c r="E748" i="6"/>
  <c r="E747" i="6"/>
  <c r="E746" i="6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L654" i="6" s="1"/>
  <c r="E653" i="6"/>
  <c r="E652" i="6"/>
  <c r="E651" i="6"/>
  <c r="E650" i="6"/>
  <c r="E649" i="6"/>
  <c r="E648" i="6"/>
  <c r="E647" i="6"/>
  <c r="E646" i="6"/>
  <c r="L646" i="6" s="1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L610" i="6" s="1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L586" i="6" s="1"/>
  <c r="E585" i="6"/>
  <c r="E584" i="6"/>
  <c r="E583" i="6"/>
  <c r="E582" i="6"/>
  <c r="E581" i="6"/>
  <c r="E580" i="6"/>
  <c r="E579" i="6"/>
  <c r="E578" i="6"/>
  <c r="L578" i="6" s="1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L562" i="6" s="1"/>
  <c r="E561" i="6"/>
  <c r="E560" i="6"/>
  <c r="E559" i="6"/>
  <c r="E558" i="6"/>
  <c r="E557" i="6"/>
  <c r="E556" i="6"/>
  <c r="E555" i="6"/>
  <c r="E554" i="6"/>
  <c r="L554" i="6" s="1"/>
  <c r="E553" i="6"/>
  <c r="E552" i="6"/>
  <c r="E551" i="6"/>
  <c r="E550" i="6"/>
  <c r="E549" i="6"/>
  <c r="E548" i="6"/>
  <c r="E547" i="6"/>
  <c r="E546" i="6"/>
  <c r="L546" i="6" s="1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L530" i="6" s="1"/>
  <c r="E529" i="6"/>
  <c r="E528" i="6"/>
  <c r="E527" i="6"/>
  <c r="E526" i="6"/>
  <c r="E525" i="6"/>
  <c r="E524" i="6"/>
  <c r="E523" i="6"/>
  <c r="E522" i="6"/>
  <c r="L522" i="6" s="1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L506" i="6" s="1"/>
  <c r="E505" i="6"/>
  <c r="E504" i="6"/>
  <c r="E503" i="6"/>
  <c r="E502" i="6"/>
  <c r="E501" i="6"/>
  <c r="E500" i="6"/>
  <c r="E499" i="6"/>
  <c r="E498" i="6"/>
  <c r="L498" i="6" s="1"/>
  <c r="E497" i="6"/>
  <c r="E496" i="6"/>
  <c r="E495" i="6"/>
  <c r="E494" i="6"/>
  <c r="E493" i="6"/>
  <c r="E492" i="6"/>
  <c r="E491" i="6"/>
  <c r="E490" i="6"/>
  <c r="L490" i="6" s="1"/>
  <c r="E489" i="6"/>
  <c r="E488" i="6"/>
  <c r="E487" i="6"/>
  <c r="E486" i="6"/>
  <c r="E485" i="6"/>
  <c r="E484" i="6"/>
  <c r="E483" i="6"/>
  <c r="E482" i="6"/>
  <c r="L482" i="6" s="1"/>
  <c r="E481" i="6"/>
  <c r="E480" i="6"/>
  <c r="E479" i="6"/>
  <c r="E478" i="6"/>
  <c r="E477" i="6"/>
  <c r="E476" i="6"/>
  <c r="E475" i="6"/>
  <c r="E474" i="6"/>
  <c r="L474" i="6" s="1"/>
  <c r="E473" i="6"/>
  <c r="E472" i="6"/>
  <c r="E471" i="6"/>
  <c r="E470" i="6"/>
  <c r="E469" i="6"/>
  <c r="E468" i="6"/>
  <c r="E467" i="6"/>
  <c r="E466" i="6"/>
  <c r="L466" i="6" s="1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L450" i="6" s="1"/>
  <c r="E449" i="6"/>
  <c r="E448" i="6"/>
  <c r="E447" i="6"/>
  <c r="E446" i="6"/>
  <c r="E445" i="6"/>
  <c r="E444" i="6"/>
  <c r="E443" i="6"/>
  <c r="E442" i="6"/>
  <c r="L442" i="6" s="1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L346" i="6" s="1"/>
  <c r="E345" i="6"/>
  <c r="E344" i="6"/>
  <c r="E343" i="6"/>
  <c r="E342" i="6"/>
  <c r="L342" i="6" s="1"/>
  <c r="E341" i="6"/>
  <c r="E340" i="6"/>
  <c r="E339" i="6"/>
  <c r="E338" i="6"/>
  <c r="L338" i="6" s="1"/>
  <c r="E337" i="6"/>
  <c r="E336" i="6"/>
  <c r="E335" i="6"/>
  <c r="E334" i="6"/>
  <c r="L334" i="6" s="1"/>
  <c r="E333" i="6"/>
  <c r="E332" i="6"/>
  <c r="E331" i="6"/>
  <c r="E330" i="6"/>
  <c r="L330" i="6" s="1"/>
  <c r="E329" i="6"/>
  <c r="E328" i="6"/>
  <c r="E327" i="6"/>
  <c r="E326" i="6"/>
  <c r="L326" i="6" s="1"/>
  <c r="E325" i="6"/>
  <c r="E324" i="6"/>
  <c r="E323" i="6"/>
  <c r="E322" i="6"/>
  <c r="L322" i="6" s="1"/>
  <c r="E321" i="6"/>
  <c r="E320" i="6"/>
  <c r="E319" i="6"/>
  <c r="E318" i="6"/>
  <c r="L318" i="6" s="1"/>
  <c r="E317" i="6"/>
  <c r="E316" i="6"/>
  <c r="E315" i="6"/>
  <c r="E314" i="6"/>
  <c r="L314" i="6" s="1"/>
  <c r="E313" i="6"/>
  <c r="E312" i="6"/>
  <c r="E311" i="6"/>
  <c r="E310" i="6"/>
  <c r="L310" i="6" s="1"/>
  <c r="E309" i="6"/>
  <c r="E308" i="6"/>
  <c r="E307" i="6"/>
  <c r="E306" i="6"/>
  <c r="L306" i="6" s="1"/>
  <c r="E305" i="6"/>
  <c r="E304" i="6"/>
  <c r="E303" i="6"/>
  <c r="E302" i="6"/>
  <c r="L302" i="6" s="1"/>
  <c r="E301" i="6"/>
  <c r="E300" i="6"/>
  <c r="E299" i="6"/>
  <c r="E298" i="6"/>
  <c r="L298" i="6" s="1"/>
  <c r="E297" i="6"/>
  <c r="E296" i="6"/>
  <c r="E295" i="6"/>
  <c r="E294" i="6"/>
  <c r="L294" i="6" s="1"/>
  <c r="E293" i="6"/>
  <c r="E292" i="6"/>
  <c r="E291" i="6"/>
  <c r="E290" i="6"/>
  <c r="L290" i="6" s="1"/>
  <c r="E289" i="6"/>
  <c r="E288" i="6"/>
  <c r="E287" i="6"/>
  <c r="E286" i="6"/>
  <c r="L286" i="6" s="1"/>
  <c r="E285" i="6"/>
  <c r="E284" i="6"/>
  <c r="E283" i="6"/>
  <c r="E282" i="6"/>
  <c r="L282" i="6" s="1"/>
  <c r="E281" i="6"/>
  <c r="E280" i="6"/>
  <c r="E279" i="6"/>
  <c r="E278" i="6"/>
  <c r="L278" i="6" s="1"/>
  <c r="E277" i="6"/>
  <c r="E276" i="6"/>
  <c r="E275" i="6"/>
  <c r="E274" i="6"/>
  <c r="L274" i="6" s="1"/>
  <c r="E273" i="6"/>
  <c r="E272" i="6"/>
  <c r="E271" i="6"/>
  <c r="E270" i="6"/>
  <c r="L270" i="6" s="1"/>
  <c r="E269" i="6"/>
  <c r="E268" i="6"/>
  <c r="E267" i="6"/>
  <c r="E266" i="6"/>
  <c r="L266" i="6" s="1"/>
  <c r="E265" i="6"/>
  <c r="E264" i="6"/>
  <c r="E263" i="6"/>
  <c r="E262" i="6"/>
  <c r="L262" i="6" s="1"/>
  <c r="E261" i="6"/>
  <c r="E260" i="6"/>
  <c r="E259" i="6"/>
  <c r="E258" i="6"/>
  <c r="L258" i="6" s="1"/>
  <c r="E257" i="6"/>
  <c r="E256" i="6"/>
  <c r="E255" i="6"/>
  <c r="E254" i="6"/>
  <c r="L254" i="6" s="1"/>
  <c r="E253" i="6"/>
  <c r="E252" i="6"/>
  <c r="E251" i="6"/>
  <c r="E250" i="6"/>
  <c r="L250" i="6" s="1"/>
  <c r="E249" i="6"/>
  <c r="E248" i="6"/>
  <c r="E247" i="6"/>
  <c r="E246" i="6"/>
  <c r="L246" i="6" s="1"/>
  <c r="E245" i="6"/>
  <c r="E244" i="6"/>
  <c r="E243" i="6"/>
  <c r="E242" i="6"/>
  <c r="L242" i="6" s="1"/>
  <c r="E241" i="6"/>
  <c r="E240" i="6"/>
  <c r="E239" i="6"/>
  <c r="E238" i="6"/>
  <c r="L238" i="6" s="1"/>
  <c r="E237" i="6"/>
  <c r="E236" i="6"/>
  <c r="E235" i="6"/>
  <c r="E234" i="6"/>
  <c r="L234" i="6" s="1"/>
  <c r="E233" i="6"/>
  <c r="E232" i="6"/>
  <c r="E231" i="6"/>
  <c r="E230" i="6"/>
  <c r="L230" i="6" s="1"/>
  <c r="E229" i="6"/>
  <c r="E228" i="6"/>
  <c r="E227" i="6"/>
  <c r="E226" i="6"/>
  <c r="L226" i="6" s="1"/>
  <c r="E225" i="6"/>
  <c r="E224" i="6"/>
  <c r="E223" i="6"/>
  <c r="E222" i="6"/>
  <c r="L222" i="6" s="1"/>
  <c r="E221" i="6"/>
  <c r="E220" i="6"/>
  <c r="E219" i="6"/>
  <c r="E218" i="6"/>
  <c r="E217" i="6"/>
  <c r="E216" i="6"/>
  <c r="E215" i="6"/>
  <c r="E214" i="6"/>
  <c r="L214" i="6" s="1"/>
  <c r="E213" i="6"/>
  <c r="E212" i="6"/>
  <c r="E211" i="6"/>
  <c r="E210" i="6"/>
  <c r="L210" i="6" s="1"/>
  <c r="E209" i="6"/>
  <c r="E208" i="6"/>
  <c r="E207" i="6"/>
  <c r="E206" i="6"/>
  <c r="L206" i="6" s="1"/>
  <c r="E205" i="6"/>
  <c r="E204" i="6"/>
  <c r="E203" i="6"/>
  <c r="E202" i="6"/>
  <c r="E201" i="6"/>
  <c r="E200" i="6"/>
  <c r="E199" i="6"/>
  <c r="E198" i="6"/>
  <c r="L198" i="6" s="1"/>
  <c r="E197" i="6"/>
  <c r="E196" i="6"/>
  <c r="E195" i="6"/>
  <c r="E194" i="6"/>
  <c r="L194" i="6" s="1"/>
  <c r="E193" i="6"/>
  <c r="E192" i="6"/>
  <c r="E191" i="6"/>
  <c r="E190" i="6"/>
  <c r="E189" i="6"/>
  <c r="E188" i="6"/>
  <c r="E187" i="6"/>
  <c r="E186" i="6"/>
  <c r="L186" i="6" s="1"/>
  <c r="E185" i="6"/>
  <c r="E184" i="6"/>
  <c r="E183" i="6"/>
  <c r="E182" i="6"/>
  <c r="L182" i="6" s="1"/>
  <c r="E181" i="6"/>
  <c r="E180" i="6"/>
  <c r="E179" i="6"/>
  <c r="E178" i="6"/>
  <c r="L178" i="6" s="1"/>
  <c r="E177" i="6"/>
  <c r="E176" i="6"/>
  <c r="E175" i="6"/>
  <c r="E174" i="6"/>
  <c r="E173" i="6"/>
  <c r="E172" i="6"/>
  <c r="E171" i="6"/>
  <c r="E170" i="6"/>
  <c r="L170" i="6" s="1"/>
  <c r="E169" i="6"/>
  <c r="E168" i="6"/>
  <c r="E167" i="6"/>
  <c r="E166" i="6"/>
  <c r="L166" i="6" s="1"/>
  <c r="E165" i="6"/>
  <c r="E164" i="6"/>
  <c r="E163" i="6"/>
  <c r="E162" i="6"/>
  <c r="L162" i="6" s="1"/>
  <c r="E161" i="6"/>
  <c r="E160" i="6"/>
  <c r="E159" i="6"/>
  <c r="L159" i="6" s="1"/>
  <c r="E158" i="6"/>
  <c r="L158" i="6" s="1"/>
  <c r="E157" i="6"/>
  <c r="E156" i="6"/>
  <c r="E155" i="6"/>
  <c r="E154" i="6"/>
  <c r="L154" i="6" s="1"/>
  <c r="E153" i="6"/>
  <c r="E152" i="6"/>
  <c r="E151" i="6"/>
  <c r="E150" i="6"/>
  <c r="L150" i="6" s="1"/>
  <c r="E149" i="6"/>
  <c r="E148" i="6"/>
  <c r="E147" i="6"/>
  <c r="E146" i="6"/>
  <c r="E145" i="6"/>
  <c r="E144" i="6"/>
  <c r="E143" i="6"/>
  <c r="E142" i="6"/>
  <c r="L142" i="6" s="1"/>
  <c r="E141" i="6"/>
  <c r="E140" i="6"/>
  <c r="E139" i="6"/>
  <c r="L139" i="6" s="1"/>
  <c r="E138" i="6"/>
  <c r="L138" i="6" s="1"/>
  <c r="E137" i="6"/>
  <c r="E136" i="6"/>
  <c r="E135" i="6"/>
  <c r="E134" i="6"/>
  <c r="L134" i="6" s="1"/>
  <c r="E133" i="6"/>
  <c r="E132" i="6"/>
  <c r="E131" i="6"/>
  <c r="E130" i="6"/>
  <c r="L130" i="6" s="1"/>
  <c r="E129" i="6"/>
  <c r="E128" i="6"/>
  <c r="E127" i="6"/>
  <c r="E126" i="6"/>
  <c r="L126" i="6" s="1"/>
  <c r="E125" i="6"/>
  <c r="E124" i="6"/>
  <c r="E123" i="6"/>
  <c r="L123" i="6" s="1"/>
  <c r="E122" i="6"/>
  <c r="L122" i="6" s="1"/>
  <c r="E121" i="6"/>
  <c r="E120" i="6"/>
  <c r="E119" i="6"/>
  <c r="L119" i="6" s="1"/>
  <c r="E118" i="6"/>
  <c r="L118" i="6" s="1"/>
  <c r="E117" i="6"/>
  <c r="E116" i="6"/>
  <c r="E115" i="6"/>
  <c r="E114" i="6"/>
  <c r="L114" i="6" s="1"/>
  <c r="E113" i="6"/>
  <c r="E112" i="6"/>
  <c r="E111" i="6"/>
  <c r="E110" i="6"/>
  <c r="L110" i="6" s="1"/>
  <c r="E109" i="6"/>
  <c r="E108" i="6"/>
  <c r="E107" i="6"/>
  <c r="E106" i="6"/>
  <c r="L106" i="6" s="1"/>
  <c r="E105" i="6"/>
  <c r="E104" i="6"/>
  <c r="E103" i="6"/>
  <c r="L103" i="6" s="1"/>
  <c r="E102" i="6"/>
  <c r="L102" i="6" s="1"/>
  <c r="E101" i="6"/>
  <c r="E100" i="6"/>
  <c r="E99" i="6"/>
  <c r="E98" i="6"/>
  <c r="L98" i="6" s="1"/>
  <c r="E97" i="6"/>
  <c r="E96" i="6"/>
  <c r="E95" i="6"/>
  <c r="E94" i="6"/>
  <c r="L94" i="6" s="1"/>
  <c r="E93" i="6"/>
  <c r="E92" i="6"/>
  <c r="E91" i="6"/>
  <c r="E90" i="6"/>
  <c r="L90" i="6" s="1"/>
  <c r="E73" i="6"/>
  <c r="E59" i="6"/>
  <c r="E45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L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L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L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L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L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L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L3095" i="6"/>
  <c r="F3095" i="6"/>
  <c r="G3095" i="6"/>
  <c r="H3095" i="6"/>
  <c r="I3095" i="6"/>
  <c r="J3095" i="6"/>
  <c r="A3096" i="6"/>
  <c r="B3096" i="6"/>
  <c r="C3096" i="6"/>
  <c r="L3096" i="6"/>
  <c r="F3096" i="6"/>
  <c r="G3096" i="6"/>
  <c r="H3096" i="6"/>
  <c r="I3096" i="6"/>
  <c r="J3096" i="6"/>
  <c r="A3097" i="6"/>
  <c r="B3097" i="6"/>
  <c r="C3097" i="6"/>
  <c r="L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L3100" i="6"/>
  <c r="F3100" i="6"/>
  <c r="G3100" i="6"/>
  <c r="H3100" i="6"/>
  <c r="I3100" i="6"/>
  <c r="J3100" i="6"/>
  <c r="A3101" i="6"/>
  <c r="B3101" i="6"/>
  <c r="C3101" i="6"/>
  <c r="L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L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L3108" i="6"/>
  <c r="F3108" i="6"/>
  <c r="G3108" i="6"/>
  <c r="H3108" i="6"/>
  <c r="I3108" i="6"/>
  <c r="J3108" i="6"/>
  <c r="A3109" i="6"/>
  <c r="B3109" i="6"/>
  <c r="C3109" i="6"/>
  <c r="L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L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L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L3116" i="6"/>
  <c r="F3116" i="6"/>
  <c r="G3116" i="6"/>
  <c r="H3116" i="6"/>
  <c r="I3116" i="6"/>
  <c r="J3116" i="6"/>
  <c r="A3117" i="6"/>
  <c r="B3117" i="6"/>
  <c r="C3117" i="6"/>
  <c r="L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L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L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L3127" i="6"/>
  <c r="F3127" i="6"/>
  <c r="G3127" i="6"/>
  <c r="H3127" i="6"/>
  <c r="I3127" i="6"/>
  <c r="J3127" i="6"/>
  <c r="A3128" i="6"/>
  <c r="B3128" i="6"/>
  <c r="C3128" i="6"/>
  <c r="L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L3135" i="6"/>
  <c r="F3135" i="6"/>
  <c r="G3135" i="6"/>
  <c r="H3135" i="6"/>
  <c r="I3135" i="6"/>
  <c r="J3135" i="6"/>
  <c r="A3136" i="6"/>
  <c r="B3136" i="6"/>
  <c r="C3136" i="6"/>
  <c r="L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L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L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L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L3151" i="6"/>
  <c r="F3151" i="6"/>
  <c r="G3151" i="6"/>
  <c r="H3151" i="6"/>
  <c r="I3151" i="6"/>
  <c r="J3151" i="6"/>
  <c r="A3152" i="6"/>
  <c r="B3152" i="6"/>
  <c r="C3152" i="6"/>
  <c r="L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L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L3157" i="6"/>
  <c r="F3157" i="6"/>
  <c r="G3157" i="6"/>
  <c r="H3157" i="6"/>
  <c r="I3157" i="6"/>
  <c r="J3157" i="6"/>
  <c r="A3158" i="6"/>
  <c r="B3158" i="6"/>
  <c r="C3158" i="6"/>
  <c r="L3158" i="6"/>
  <c r="F3158" i="6"/>
  <c r="G3158" i="6"/>
  <c r="H3158" i="6"/>
  <c r="I3158" i="6"/>
  <c r="J3158" i="6"/>
  <c r="A3159" i="6"/>
  <c r="B3159" i="6"/>
  <c r="C3159" i="6"/>
  <c r="L3159" i="6"/>
  <c r="F3159" i="6"/>
  <c r="G3159" i="6"/>
  <c r="H3159" i="6"/>
  <c r="I3159" i="6"/>
  <c r="J3159" i="6"/>
  <c r="A3160" i="6"/>
  <c r="B3160" i="6"/>
  <c r="C3160" i="6"/>
  <c r="L3160" i="6"/>
  <c r="F3160" i="6"/>
  <c r="G3160" i="6"/>
  <c r="H3160" i="6"/>
  <c r="I3160" i="6"/>
  <c r="J3160" i="6"/>
  <c r="A3161" i="6"/>
  <c r="B3161" i="6"/>
  <c r="C3161" i="6"/>
  <c r="L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L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L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L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L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L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L3175" i="6"/>
  <c r="F3175" i="6"/>
  <c r="G3175" i="6"/>
  <c r="H3175" i="6"/>
  <c r="I3175" i="6"/>
  <c r="J3175" i="6"/>
  <c r="A3176" i="6"/>
  <c r="B3176" i="6"/>
  <c r="C3176" i="6"/>
  <c r="L3176" i="6"/>
  <c r="F3176" i="6"/>
  <c r="G3176" i="6"/>
  <c r="H3176" i="6"/>
  <c r="I3176" i="6"/>
  <c r="J3176" i="6"/>
  <c r="A3177" i="6"/>
  <c r="B3177" i="6"/>
  <c r="C3177" i="6"/>
  <c r="L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L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L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L3184" i="6"/>
  <c r="F3184" i="6"/>
  <c r="G3184" i="6"/>
  <c r="H3184" i="6"/>
  <c r="I3184" i="6"/>
  <c r="J3184" i="6"/>
  <c r="A3185" i="6"/>
  <c r="B3185" i="6"/>
  <c r="C3185" i="6"/>
  <c r="L3185" i="6"/>
  <c r="F3185" i="6"/>
  <c r="G3185" i="6"/>
  <c r="H3185" i="6"/>
  <c r="I3185" i="6"/>
  <c r="J3185" i="6"/>
  <c r="A3186" i="6"/>
  <c r="B3186" i="6"/>
  <c r="K3186" i="6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L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L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L3196" i="6"/>
  <c r="F3196" i="6"/>
  <c r="G3196" i="6"/>
  <c r="H3196" i="6"/>
  <c r="I3196" i="6"/>
  <c r="J3196" i="6"/>
  <c r="A3197" i="6"/>
  <c r="B3197" i="6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L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L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L3208" i="6"/>
  <c r="F3208" i="6"/>
  <c r="G3208" i="6"/>
  <c r="H3208" i="6"/>
  <c r="I3208" i="6"/>
  <c r="J3208" i="6"/>
  <c r="A3209" i="6"/>
  <c r="B3209" i="6"/>
  <c r="C3209" i="6"/>
  <c r="L3209" i="6"/>
  <c r="F3209" i="6"/>
  <c r="G3209" i="6"/>
  <c r="H3209" i="6"/>
  <c r="I3209" i="6"/>
  <c r="J3209" i="6"/>
  <c r="A3210" i="6"/>
  <c r="B3210" i="6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L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L3217" i="6"/>
  <c r="F3217" i="6"/>
  <c r="G3217" i="6"/>
  <c r="H3217" i="6"/>
  <c r="I3217" i="6"/>
  <c r="J3217" i="6"/>
  <c r="A3218" i="6"/>
  <c r="B3218" i="6"/>
  <c r="C3218" i="6"/>
  <c r="L3218" i="6"/>
  <c r="F3218" i="6"/>
  <c r="G3218" i="6"/>
  <c r="H3218" i="6"/>
  <c r="I3218" i="6"/>
  <c r="J3218" i="6"/>
  <c r="A3219" i="6"/>
  <c r="B3219" i="6"/>
  <c r="K3219" i="6" s="1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L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L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C3229" i="6"/>
  <c r="L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L3232" i="6"/>
  <c r="F3232" i="6"/>
  <c r="G3232" i="6"/>
  <c r="H3232" i="6"/>
  <c r="I3232" i="6"/>
  <c r="J3232" i="6"/>
  <c r="A3233" i="6"/>
  <c r="B3233" i="6"/>
  <c r="C3233" i="6"/>
  <c r="L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L3236" i="6"/>
  <c r="F3236" i="6"/>
  <c r="G3236" i="6"/>
  <c r="H3236" i="6"/>
  <c r="I3236" i="6"/>
  <c r="J3236" i="6"/>
  <c r="A3237" i="6"/>
  <c r="B3237" i="6"/>
  <c r="C3237" i="6"/>
  <c r="L3237" i="6"/>
  <c r="F3237" i="6"/>
  <c r="G3237" i="6"/>
  <c r="H3237" i="6"/>
  <c r="I3237" i="6"/>
  <c r="J3237" i="6"/>
  <c r="A3238" i="6"/>
  <c r="B3238" i="6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L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L3244" i="6"/>
  <c r="F3244" i="6"/>
  <c r="G3244" i="6"/>
  <c r="H3244" i="6"/>
  <c r="I3244" i="6"/>
  <c r="J3244" i="6"/>
  <c r="A3245" i="6"/>
  <c r="B3245" i="6"/>
  <c r="C3245" i="6"/>
  <c r="L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L3249" i="6"/>
  <c r="F3249" i="6"/>
  <c r="G3249" i="6"/>
  <c r="H3249" i="6"/>
  <c r="I3249" i="6"/>
  <c r="J3249" i="6"/>
  <c r="A3250" i="6"/>
  <c r="B3250" i="6"/>
  <c r="C3250" i="6"/>
  <c r="L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L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L3260" i="6"/>
  <c r="F3260" i="6"/>
  <c r="G3260" i="6"/>
  <c r="H3260" i="6"/>
  <c r="I3260" i="6"/>
  <c r="J3260" i="6"/>
  <c r="A3261" i="6"/>
  <c r="B3261" i="6"/>
  <c r="C3261" i="6"/>
  <c r="L3261" i="6"/>
  <c r="F3261" i="6"/>
  <c r="G3261" i="6"/>
  <c r="H3261" i="6"/>
  <c r="I3261" i="6"/>
  <c r="J3261" i="6"/>
  <c r="A3262" i="6"/>
  <c r="B3262" i="6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L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L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L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L3276" i="6"/>
  <c r="F3276" i="6"/>
  <c r="G3276" i="6"/>
  <c r="H3276" i="6"/>
  <c r="I3276" i="6"/>
  <c r="J3276" i="6"/>
  <c r="A3277" i="6"/>
  <c r="B3277" i="6"/>
  <c r="C3277" i="6"/>
  <c r="L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L3285" i="6"/>
  <c r="F3285" i="6"/>
  <c r="G3285" i="6"/>
  <c r="H3285" i="6"/>
  <c r="I3285" i="6"/>
  <c r="J3285" i="6"/>
  <c r="A3286" i="6"/>
  <c r="B3286" i="6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L3288" i="6"/>
  <c r="F3288" i="6"/>
  <c r="G3288" i="6"/>
  <c r="H3288" i="6"/>
  <c r="I3288" i="6"/>
  <c r="J3288" i="6"/>
  <c r="A3289" i="6"/>
  <c r="B3289" i="6"/>
  <c r="C3289" i="6"/>
  <c r="L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L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L3296" i="6"/>
  <c r="F3296" i="6"/>
  <c r="G3296" i="6"/>
  <c r="H3296" i="6"/>
  <c r="I3296" i="6"/>
  <c r="J3296" i="6"/>
  <c r="A3297" i="6"/>
  <c r="B3297" i="6"/>
  <c r="C3297" i="6"/>
  <c r="L3297" i="6"/>
  <c r="F3297" i="6"/>
  <c r="G3297" i="6"/>
  <c r="H3297" i="6"/>
  <c r="I3297" i="6"/>
  <c r="J3297" i="6"/>
  <c r="A3298" i="6"/>
  <c r="B3298" i="6"/>
  <c r="C3298" i="6"/>
  <c r="L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L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L3304" i="6"/>
  <c r="F3304" i="6"/>
  <c r="G3304" i="6"/>
  <c r="H3304" i="6"/>
  <c r="I3304" i="6"/>
  <c r="J3304" i="6"/>
  <c r="A3305" i="6"/>
  <c r="B3305" i="6"/>
  <c r="C3305" i="6"/>
  <c r="L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L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L3314" i="6"/>
  <c r="F3314" i="6"/>
  <c r="G3314" i="6"/>
  <c r="H3314" i="6"/>
  <c r="I3314" i="6"/>
  <c r="J3314" i="6"/>
  <c r="A3315" i="6"/>
  <c r="B3315" i="6"/>
  <c r="C3315" i="6"/>
  <c r="L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L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L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L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L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L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L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L3335" i="6"/>
  <c r="F3335" i="6"/>
  <c r="G3335" i="6"/>
  <c r="H3335" i="6"/>
  <c r="I3335" i="6"/>
  <c r="J3335" i="6"/>
  <c r="A3336" i="6"/>
  <c r="B3336" i="6"/>
  <c r="C3336" i="6"/>
  <c r="L3336" i="6"/>
  <c r="F3336" i="6"/>
  <c r="G3336" i="6"/>
  <c r="H3336" i="6"/>
  <c r="I3336" i="6"/>
  <c r="J3336" i="6"/>
  <c r="A3337" i="6"/>
  <c r="B3337" i="6"/>
  <c r="C3337" i="6"/>
  <c r="L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L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L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L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L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L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L3359" i="6"/>
  <c r="F3359" i="6"/>
  <c r="G3359" i="6"/>
  <c r="H3359" i="6"/>
  <c r="I3359" i="6"/>
  <c r="J3359" i="6"/>
  <c r="A3360" i="6"/>
  <c r="B3360" i="6"/>
  <c r="C3360" i="6"/>
  <c r="L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L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L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L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L3371" i="6"/>
  <c r="F3371" i="6"/>
  <c r="G3371" i="6"/>
  <c r="H3371" i="6"/>
  <c r="I3371" i="6"/>
  <c r="J3371" i="6"/>
  <c r="A3372" i="6"/>
  <c r="B3372" i="6"/>
  <c r="C3372" i="6"/>
  <c r="L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L3375" i="6"/>
  <c r="F3375" i="6"/>
  <c r="G3375" i="6"/>
  <c r="H3375" i="6"/>
  <c r="I3375" i="6"/>
  <c r="J3375" i="6"/>
  <c r="A3376" i="6"/>
  <c r="B3376" i="6"/>
  <c r="C3376" i="6"/>
  <c r="L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L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L3383" i="6"/>
  <c r="F3383" i="6"/>
  <c r="G3383" i="6"/>
  <c r="H3383" i="6"/>
  <c r="I3383" i="6"/>
  <c r="J3383" i="6"/>
  <c r="A3384" i="6"/>
  <c r="B3384" i="6"/>
  <c r="C3384" i="6"/>
  <c r="L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L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L3396" i="6"/>
  <c r="F3396" i="6"/>
  <c r="G3396" i="6"/>
  <c r="H3396" i="6"/>
  <c r="I3396" i="6"/>
  <c r="J3396" i="6"/>
  <c r="A3397" i="6"/>
  <c r="B3397" i="6"/>
  <c r="C3397" i="6"/>
  <c r="L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L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L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L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L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L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L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L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L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L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L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L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L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L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L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L3463" i="6"/>
  <c r="F3463" i="6"/>
  <c r="G3463" i="6"/>
  <c r="H3463" i="6"/>
  <c r="I3463" i="6"/>
  <c r="J3463" i="6"/>
  <c r="A3464" i="6"/>
  <c r="B3464" i="6"/>
  <c r="C3464" i="6"/>
  <c r="L3464" i="6"/>
  <c r="F3464" i="6"/>
  <c r="G3464" i="6"/>
  <c r="H3464" i="6"/>
  <c r="I3464" i="6"/>
  <c r="J3464" i="6"/>
  <c r="A3465" i="6"/>
  <c r="B3465" i="6"/>
  <c r="C3465" i="6"/>
  <c r="L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L3468" i="6"/>
  <c r="F3468" i="6"/>
  <c r="G3468" i="6"/>
  <c r="H3468" i="6"/>
  <c r="I3468" i="6"/>
  <c r="J3468" i="6"/>
  <c r="A3469" i="6"/>
  <c r="B3469" i="6"/>
  <c r="C3469" i="6"/>
  <c r="L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L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L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L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L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L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L3503" i="6"/>
  <c r="F3503" i="6"/>
  <c r="G3503" i="6"/>
  <c r="H3503" i="6"/>
  <c r="I3503" i="6"/>
  <c r="J3503" i="6"/>
  <c r="A3504" i="6"/>
  <c r="B3504" i="6"/>
  <c r="C3504" i="6"/>
  <c r="L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L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L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L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L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L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L3555" i="6"/>
  <c r="F3555" i="6"/>
  <c r="G3555" i="6"/>
  <c r="H3555" i="6"/>
  <c r="I3555" i="6"/>
  <c r="J3555" i="6"/>
  <c r="A3556" i="6"/>
  <c r="B3556" i="6"/>
  <c r="C3556" i="6"/>
  <c r="L3556" i="6"/>
  <c r="F3556" i="6"/>
  <c r="G3556" i="6"/>
  <c r="H3556" i="6"/>
  <c r="I3556" i="6"/>
  <c r="J3556" i="6"/>
  <c r="A3557" i="6"/>
  <c r="B3557" i="6"/>
  <c r="C3557" i="6"/>
  <c r="L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L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L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L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C3577" i="6"/>
  <c r="L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L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L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L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L3587" i="6"/>
  <c r="F3587" i="6"/>
  <c r="G3587" i="6"/>
  <c r="H3587" i="6"/>
  <c r="I3587" i="6"/>
  <c r="J3587" i="6"/>
  <c r="A3588" i="6"/>
  <c r="B3588" i="6"/>
  <c r="C3588" i="6"/>
  <c r="L3588" i="6"/>
  <c r="F3588" i="6"/>
  <c r="G3588" i="6"/>
  <c r="H3588" i="6"/>
  <c r="I3588" i="6"/>
  <c r="J3588" i="6"/>
  <c r="A3589" i="6"/>
  <c r="B3589" i="6"/>
  <c r="C3589" i="6"/>
  <c r="L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L3591" i="6"/>
  <c r="F3591" i="6"/>
  <c r="G3591" i="6"/>
  <c r="H3591" i="6"/>
  <c r="I3591" i="6"/>
  <c r="J3591" i="6"/>
  <c r="A3592" i="6"/>
  <c r="B3592" i="6"/>
  <c r="C3592" i="6"/>
  <c r="L3592" i="6"/>
  <c r="F3592" i="6"/>
  <c r="G3592" i="6"/>
  <c r="H3592" i="6"/>
  <c r="I3592" i="6"/>
  <c r="J3592" i="6"/>
  <c r="A3593" i="6"/>
  <c r="B3593" i="6"/>
  <c r="C3593" i="6"/>
  <c r="L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L3600" i="6"/>
  <c r="F3600" i="6"/>
  <c r="G3600" i="6"/>
  <c r="H3600" i="6"/>
  <c r="I3600" i="6"/>
  <c r="J3600" i="6"/>
  <c r="A3601" i="6"/>
  <c r="B3601" i="6"/>
  <c r="C3601" i="6"/>
  <c r="L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L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L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L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L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L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L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L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L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L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L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L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L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L3668" i="6"/>
  <c r="F3668" i="6"/>
  <c r="G3668" i="6"/>
  <c r="H3668" i="6"/>
  <c r="I3668" i="6"/>
  <c r="J3668" i="6"/>
  <c r="A3669" i="6"/>
  <c r="B3669" i="6"/>
  <c r="C3669" i="6"/>
  <c r="L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L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L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L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L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L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L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L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L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L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L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L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L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L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L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L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L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L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L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L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L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L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L3867" i="6"/>
  <c r="F3867" i="6"/>
  <c r="G3867" i="6"/>
  <c r="H3867" i="6"/>
  <c r="I3867" i="6"/>
  <c r="J3867" i="6"/>
  <c r="A3868" i="6"/>
  <c r="B3868" i="6"/>
  <c r="C3868" i="6"/>
  <c r="L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L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L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L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L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L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L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L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L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L3938" i="6"/>
  <c r="F3938" i="6"/>
  <c r="G3938" i="6"/>
  <c r="H3938" i="6"/>
  <c r="I3938" i="6"/>
  <c r="J3938" i="6"/>
  <c r="A3939" i="6"/>
  <c r="B3939" i="6"/>
  <c r="C3939" i="6"/>
  <c r="L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L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L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L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L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L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L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L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L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L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L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L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L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L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L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L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L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L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L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L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L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L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L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L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L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L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L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L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L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L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L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L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L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L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L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L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L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L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L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L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L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L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L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L4063" i="6"/>
  <c r="F4063" i="6"/>
  <c r="G4063" i="6"/>
  <c r="H4063" i="6"/>
  <c r="I4063" i="6"/>
  <c r="J4063" i="6"/>
  <c r="A4064" i="6"/>
  <c r="B4064" i="6"/>
  <c r="C4064" i="6"/>
  <c r="L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L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L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L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L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L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L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L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L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L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L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L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L4123" i="6"/>
  <c r="F4123" i="6"/>
  <c r="G4123" i="6"/>
  <c r="H4123" i="6"/>
  <c r="I4123" i="6"/>
  <c r="J4123" i="6"/>
  <c r="A4124" i="6"/>
  <c r="B4124" i="6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L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L4135" i="6"/>
  <c r="F4135" i="6"/>
  <c r="G4135" i="6"/>
  <c r="H4135" i="6"/>
  <c r="I4135" i="6"/>
  <c r="J4135" i="6"/>
  <c r="A4136" i="6"/>
  <c r="B4136" i="6"/>
  <c r="C4136" i="6"/>
  <c r="L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L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L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L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L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L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L4195" i="6"/>
  <c r="F4195" i="6"/>
  <c r="G4195" i="6"/>
  <c r="H4195" i="6"/>
  <c r="I4195" i="6"/>
  <c r="J4195" i="6"/>
  <c r="A4196" i="6"/>
  <c r="B4196" i="6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L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L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L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L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L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L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L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L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L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L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L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L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L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L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L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L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L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L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L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L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L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L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L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L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L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L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L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L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L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L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L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L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L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L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L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L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L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L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L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L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L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L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L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L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L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L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L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L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L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L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L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L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L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L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L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L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L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L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L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L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L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L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L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L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L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L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L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L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L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L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 s="1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E5" i="6"/>
  <c r="E6" i="6"/>
  <c r="L6" i="6" s="1"/>
  <c r="E7" i="6"/>
  <c r="E8" i="6"/>
  <c r="E9" i="6"/>
  <c r="E10" i="6"/>
  <c r="L10" i="6" s="1"/>
  <c r="N10" i="6" s="1"/>
  <c r="E11" i="6"/>
  <c r="E12" i="6"/>
  <c r="E13" i="6"/>
  <c r="E14" i="6"/>
  <c r="L14" i="6" s="1"/>
  <c r="N14" i="6" s="1"/>
  <c r="E15" i="6"/>
  <c r="E16" i="6"/>
  <c r="E17" i="6"/>
  <c r="E18" i="6"/>
  <c r="L18" i="6" s="1"/>
  <c r="N18" i="6" s="1"/>
  <c r="E19" i="6"/>
  <c r="E20" i="6"/>
  <c r="E21" i="6"/>
  <c r="E22" i="6"/>
  <c r="E23" i="6"/>
  <c r="E24" i="6"/>
  <c r="E25" i="6"/>
  <c r="E26" i="6"/>
  <c r="E27" i="6"/>
  <c r="E28" i="6"/>
  <c r="E29" i="6"/>
  <c r="E30" i="6"/>
  <c r="L30" i="6" s="1"/>
  <c r="N30" i="6" s="1"/>
  <c r="E31" i="6"/>
  <c r="E32" i="6"/>
  <c r="E33" i="6"/>
  <c r="E34" i="6"/>
  <c r="E35" i="6"/>
  <c r="E36" i="6"/>
  <c r="E37" i="6"/>
  <c r="E38" i="6"/>
  <c r="L38" i="6" s="1"/>
  <c r="E39" i="6"/>
  <c r="E40" i="6"/>
  <c r="E41" i="6"/>
  <c r="E42" i="6"/>
  <c r="L42" i="6" s="1"/>
  <c r="N42" i="6" s="1"/>
  <c r="E43" i="6"/>
  <c r="E44" i="6"/>
  <c r="E46" i="6"/>
  <c r="E47" i="6"/>
  <c r="L47" i="6" s="1"/>
  <c r="E48" i="6"/>
  <c r="E49" i="6"/>
  <c r="E50" i="6"/>
  <c r="E51" i="6"/>
  <c r="L51" i="6" s="1"/>
  <c r="N51" i="6" s="1"/>
  <c r="E52" i="6"/>
  <c r="E53" i="6"/>
  <c r="E54" i="6"/>
  <c r="E55" i="6"/>
  <c r="L55" i="6" s="1"/>
  <c r="N55" i="6" s="1"/>
  <c r="E56" i="6"/>
  <c r="E57" i="6"/>
  <c r="E58" i="6"/>
  <c r="L58" i="6" s="1"/>
  <c r="E60" i="6"/>
  <c r="L60" i="6" s="1"/>
  <c r="N60" i="6" s="1"/>
  <c r="E61" i="6"/>
  <c r="E62" i="6"/>
  <c r="E63" i="6"/>
  <c r="E64" i="6"/>
  <c r="L64" i="6" s="1"/>
  <c r="E65" i="6"/>
  <c r="E66" i="6"/>
  <c r="E67" i="6"/>
  <c r="E68" i="6"/>
  <c r="L68" i="6" s="1"/>
  <c r="N68" i="6" s="1"/>
  <c r="E69" i="6"/>
  <c r="E70" i="6"/>
  <c r="E71" i="6"/>
  <c r="E72" i="6"/>
  <c r="L72" i="6" s="1"/>
  <c r="N72" i="6" s="1"/>
  <c r="E74" i="6"/>
  <c r="E75" i="6"/>
  <c r="L75" i="6" s="1"/>
  <c r="E76" i="6"/>
  <c r="E77" i="6"/>
  <c r="L77" i="6" s="1"/>
  <c r="N77" i="6" s="1"/>
  <c r="E78" i="6"/>
  <c r="E79" i="6"/>
  <c r="E80" i="6"/>
  <c r="E81" i="6"/>
  <c r="L81" i="6" s="1"/>
  <c r="N81" i="6" s="1"/>
  <c r="E82" i="6"/>
  <c r="E83" i="6"/>
  <c r="E84" i="6"/>
  <c r="E85" i="6"/>
  <c r="L85" i="6" s="1"/>
  <c r="E86" i="6"/>
  <c r="E87" i="6"/>
  <c r="E88" i="6"/>
  <c r="E89" i="6"/>
  <c r="L89" i="6" s="1"/>
  <c r="N89" i="6" s="1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K7" i="6" s="1"/>
  <c r="M7" i="6" s="1"/>
  <c r="B8" i="6"/>
  <c r="B9" i="6"/>
  <c r="B10" i="6"/>
  <c r="B11" i="6"/>
  <c r="K11" i="6" s="1"/>
  <c r="M11" i="6" s="1"/>
  <c r="B12" i="6"/>
  <c r="B13" i="6"/>
  <c r="B14" i="6"/>
  <c r="B15" i="6"/>
  <c r="K15" i="6" s="1"/>
  <c r="M15" i="6" s="1"/>
  <c r="B16" i="6"/>
  <c r="B17" i="6"/>
  <c r="B18" i="6"/>
  <c r="B19" i="6"/>
  <c r="K19" i="6" s="1"/>
  <c r="M19" i="6" s="1"/>
  <c r="B20" i="6"/>
  <c r="B21" i="6"/>
  <c r="B22" i="6"/>
  <c r="B23" i="6"/>
  <c r="K23" i="6" s="1"/>
  <c r="M23" i="6" s="1"/>
  <c r="B24" i="6"/>
  <c r="B25" i="6"/>
  <c r="B26" i="6"/>
  <c r="B27" i="6"/>
  <c r="K27" i="6" s="1"/>
  <c r="M27" i="6" s="1"/>
  <c r="B28" i="6"/>
  <c r="B29" i="6"/>
  <c r="B30" i="6"/>
  <c r="B31" i="6"/>
  <c r="K31" i="6" s="1"/>
  <c r="M31" i="6" s="1"/>
  <c r="B32" i="6"/>
  <c r="B33" i="6"/>
  <c r="B34" i="6"/>
  <c r="B35" i="6"/>
  <c r="K35" i="6" s="1"/>
  <c r="M35" i="6" s="1"/>
  <c r="B36" i="6"/>
  <c r="B37" i="6"/>
  <c r="B38" i="6"/>
  <c r="B39" i="6"/>
  <c r="K39" i="6" s="1"/>
  <c r="B40" i="6"/>
  <c r="B41" i="6"/>
  <c r="B42" i="6"/>
  <c r="B43" i="6"/>
  <c r="K43" i="6" s="1"/>
  <c r="M43" i="6" s="1"/>
  <c r="B44" i="6"/>
  <c r="B45" i="6"/>
  <c r="K45" i="6" s="1"/>
  <c r="M45" i="6" s="1"/>
  <c r="B46" i="6"/>
  <c r="K46" i="6" s="1"/>
  <c r="B47" i="6"/>
  <c r="K47" i="6" s="1"/>
  <c r="B48" i="6"/>
  <c r="K48" i="6" s="1"/>
  <c r="B49" i="6"/>
  <c r="K49" i="6" s="1"/>
  <c r="B50" i="6"/>
  <c r="K50" i="6" s="1"/>
  <c r="B51" i="6"/>
  <c r="K51" i="6" s="1"/>
  <c r="M51" i="6" s="1"/>
  <c r="B52" i="6"/>
  <c r="K52" i="6" s="1"/>
  <c r="B53" i="6"/>
  <c r="K53" i="6" s="1"/>
  <c r="B54" i="6"/>
  <c r="K54" i="6" s="1"/>
  <c r="B55" i="6"/>
  <c r="K55" i="6" s="1"/>
  <c r="M55" i="6" s="1"/>
  <c r="B56" i="6"/>
  <c r="K56" i="6" s="1"/>
  <c r="B57" i="6"/>
  <c r="K57" i="6" s="1"/>
  <c r="B58" i="6"/>
  <c r="K58" i="6" s="1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K73" i="6" s="1"/>
  <c r="M73" i="6" s="1"/>
  <c r="B74" i="6"/>
  <c r="K74" i="6" s="1"/>
  <c r="B75" i="6"/>
  <c r="B76" i="6"/>
  <c r="B77" i="6"/>
  <c r="B78" i="6"/>
  <c r="K78" i="6" s="1"/>
  <c r="B79" i="6"/>
  <c r="B80" i="6"/>
  <c r="B81" i="6"/>
  <c r="B82" i="6"/>
  <c r="K82" i="6" s="1"/>
  <c r="B83" i="6"/>
  <c r="B84" i="6"/>
  <c r="B85" i="6"/>
  <c r="B86" i="6"/>
  <c r="K86" i="6" s="1"/>
  <c r="B87" i="6"/>
  <c r="B88" i="6"/>
  <c r="B89" i="6"/>
  <c r="B90" i="6"/>
  <c r="B91" i="6"/>
  <c r="K91" i="6" s="1"/>
  <c r="M91" i="6" s="1"/>
  <c r="B92" i="6"/>
  <c r="B93" i="6"/>
  <c r="K93" i="6" s="1"/>
  <c r="M93" i="6" s="1"/>
  <c r="B94" i="6"/>
  <c r="B95" i="6"/>
  <c r="B96" i="6"/>
  <c r="B97" i="6"/>
  <c r="K97" i="6" s="1"/>
  <c r="M97" i="6" s="1"/>
  <c r="B98" i="6"/>
  <c r="B99" i="6"/>
  <c r="B100" i="6"/>
  <c r="B101" i="6"/>
  <c r="K101" i="6" s="1"/>
  <c r="M101" i="6" s="1"/>
  <c r="B102" i="6"/>
  <c r="B103" i="6"/>
  <c r="K103" i="6" s="1"/>
  <c r="M103" i="6" s="1"/>
  <c r="B104" i="6"/>
  <c r="B105" i="6"/>
  <c r="K105" i="6" s="1"/>
  <c r="M105" i="6" s="1"/>
  <c r="B106" i="6"/>
  <c r="B107" i="6"/>
  <c r="K107" i="6" s="1"/>
  <c r="M107" i="6" s="1"/>
  <c r="B108" i="6"/>
  <c r="B109" i="6"/>
  <c r="K109" i="6" s="1"/>
  <c r="M109" i="6" s="1"/>
  <c r="B110" i="6"/>
  <c r="B111" i="6"/>
  <c r="B112" i="6"/>
  <c r="B113" i="6"/>
  <c r="K113" i="6" s="1"/>
  <c r="M113" i="6" s="1"/>
  <c r="B114" i="6"/>
  <c r="B115" i="6"/>
  <c r="B116" i="6"/>
  <c r="B117" i="6"/>
  <c r="K117" i="6" s="1"/>
  <c r="M117" i="6" s="1"/>
  <c r="B118" i="6"/>
  <c r="B119" i="6"/>
  <c r="K119" i="6" s="1"/>
  <c r="M119" i="6" s="1"/>
  <c r="B120" i="6"/>
  <c r="B121" i="6"/>
  <c r="K121" i="6" s="1"/>
  <c r="M121" i="6" s="1"/>
  <c r="B122" i="6"/>
  <c r="B123" i="6"/>
  <c r="K123" i="6" s="1"/>
  <c r="M123" i="6" s="1"/>
  <c r="B124" i="6"/>
  <c r="B125" i="6"/>
  <c r="K125" i="6" s="1"/>
  <c r="M125" i="6" s="1"/>
  <c r="B126" i="6"/>
  <c r="B127" i="6"/>
  <c r="B128" i="6"/>
  <c r="B129" i="6"/>
  <c r="K129" i="6" s="1"/>
  <c r="M129" i="6" s="1"/>
  <c r="B130" i="6"/>
  <c r="B131" i="6"/>
  <c r="B132" i="6"/>
  <c r="B133" i="6"/>
  <c r="K133" i="6" s="1"/>
  <c r="M133" i="6" s="1"/>
  <c r="B134" i="6"/>
  <c r="B135" i="6"/>
  <c r="K135" i="6" s="1"/>
  <c r="M135" i="6" s="1"/>
  <c r="B136" i="6"/>
  <c r="B137" i="6"/>
  <c r="K137" i="6" s="1"/>
  <c r="M137" i="6" s="1"/>
  <c r="B138" i="6"/>
  <c r="B139" i="6"/>
  <c r="K139" i="6" s="1"/>
  <c r="M139" i="6" s="1"/>
  <c r="B140" i="6"/>
  <c r="B141" i="6"/>
  <c r="K141" i="6" s="1"/>
  <c r="M141" i="6" s="1"/>
  <c r="B142" i="6"/>
  <c r="B143" i="6"/>
  <c r="B144" i="6"/>
  <c r="B145" i="6"/>
  <c r="K145" i="6" s="1"/>
  <c r="M145" i="6" s="1"/>
  <c r="B146" i="6"/>
  <c r="B147" i="6"/>
  <c r="K147" i="6" s="1"/>
  <c r="M147" i="6" s="1"/>
  <c r="B148" i="6"/>
  <c r="B149" i="6"/>
  <c r="K149" i="6" s="1"/>
  <c r="M149" i="6" s="1"/>
  <c r="B150" i="6"/>
  <c r="B151" i="6"/>
  <c r="B152" i="6"/>
  <c r="B153" i="6"/>
  <c r="K153" i="6" s="1"/>
  <c r="B154" i="6"/>
  <c r="B155" i="6"/>
  <c r="B156" i="6"/>
  <c r="B157" i="6"/>
  <c r="K157" i="6" s="1"/>
  <c r="B158" i="6"/>
  <c r="B159" i="6"/>
  <c r="K159" i="6" s="1"/>
  <c r="M159" i="6" s="1"/>
  <c r="B160" i="6"/>
  <c r="B161" i="6"/>
  <c r="K161" i="6" s="1"/>
  <c r="B162" i="6"/>
  <c r="B163" i="6"/>
  <c r="B164" i="6"/>
  <c r="B165" i="6"/>
  <c r="K165" i="6" s="1"/>
  <c r="B166" i="6"/>
  <c r="B167" i="6"/>
  <c r="K167" i="6" s="1"/>
  <c r="M167" i="6" s="1"/>
  <c r="B168" i="6"/>
  <c r="B169" i="6"/>
  <c r="K169" i="6" s="1"/>
  <c r="B170" i="6"/>
  <c r="B171" i="6"/>
  <c r="B172" i="6"/>
  <c r="B173" i="6"/>
  <c r="K173" i="6" s="1"/>
  <c r="B174" i="6"/>
  <c r="B175" i="6"/>
  <c r="K175" i="6" s="1"/>
  <c r="M175" i="6" s="1"/>
  <c r="B176" i="6"/>
  <c r="B177" i="6"/>
  <c r="K177" i="6" s="1"/>
  <c r="B178" i="6"/>
  <c r="B179" i="6"/>
  <c r="B180" i="6"/>
  <c r="B181" i="6"/>
  <c r="K181" i="6" s="1"/>
  <c r="B182" i="6"/>
  <c r="B183" i="6"/>
  <c r="K183" i="6" s="1"/>
  <c r="M183" i="6" s="1"/>
  <c r="B184" i="6"/>
  <c r="B185" i="6"/>
  <c r="K185" i="6" s="1"/>
  <c r="B186" i="6"/>
  <c r="B187" i="6"/>
  <c r="K187" i="6" s="1"/>
  <c r="M187" i="6" s="1"/>
  <c r="B188" i="6"/>
  <c r="B189" i="6"/>
  <c r="K189" i="6" s="1"/>
  <c r="B190" i="6"/>
  <c r="B191" i="6"/>
  <c r="B192" i="6"/>
  <c r="B193" i="6"/>
  <c r="K193" i="6" s="1"/>
  <c r="B194" i="6"/>
  <c r="B195" i="6"/>
  <c r="K195" i="6" s="1"/>
  <c r="M195" i="6" s="1"/>
  <c r="B196" i="6"/>
  <c r="B197" i="6"/>
  <c r="K197" i="6" s="1"/>
  <c r="B198" i="6"/>
  <c r="B199" i="6"/>
  <c r="B200" i="6"/>
  <c r="B201" i="6"/>
  <c r="K201" i="6" s="1"/>
  <c r="B202" i="6"/>
  <c r="B203" i="6"/>
  <c r="K203" i="6" s="1"/>
  <c r="M203" i="6" s="1"/>
  <c r="B204" i="6"/>
  <c r="B205" i="6"/>
  <c r="K205" i="6" s="1"/>
  <c r="B206" i="6"/>
  <c r="B207" i="6"/>
  <c r="B208" i="6"/>
  <c r="B209" i="6"/>
  <c r="K209" i="6" s="1"/>
  <c r="B210" i="6"/>
  <c r="B211" i="6"/>
  <c r="K211" i="6" s="1"/>
  <c r="M211" i="6" s="1"/>
  <c r="B212" i="6"/>
  <c r="B213" i="6"/>
  <c r="K213" i="6" s="1"/>
  <c r="B214" i="6"/>
  <c r="B215" i="6"/>
  <c r="B216" i="6"/>
  <c r="B217" i="6"/>
  <c r="B218" i="6"/>
  <c r="B219" i="6"/>
  <c r="B220" i="6"/>
  <c r="B221" i="6"/>
  <c r="K221" i="6" s="1"/>
  <c r="B222" i="6"/>
  <c r="B223" i="6"/>
  <c r="K223" i="6" s="1"/>
  <c r="M223" i="6" s="1"/>
  <c r="B224" i="6"/>
  <c r="B225" i="6"/>
  <c r="K225" i="6" s="1"/>
  <c r="B226" i="6"/>
  <c r="B227" i="6"/>
  <c r="B228" i="6"/>
  <c r="B229" i="6"/>
  <c r="K229" i="6" s="1"/>
  <c r="M229" i="6" s="1"/>
  <c r="B230" i="6"/>
  <c r="B231" i="6"/>
  <c r="K231" i="6" s="1"/>
  <c r="M231" i="6" s="1"/>
  <c r="B232" i="6"/>
  <c r="B233" i="6"/>
  <c r="K233" i="6" s="1"/>
  <c r="M233" i="6" s="1"/>
  <c r="B234" i="6"/>
  <c r="B235" i="6"/>
  <c r="B236" i="6"/>
  <c r="B237" i="6"/>
  <c r="K237" i="6" s="1"/>
  <c r="M237" i="6" s="1"/>
  <c r="B238" i="6"/>
  <c r="B239" i="6"/>
  <c r="K239" i="6" s="1"/>
  <c r="M239" i="6" s="1"/>
  <c r="B240" i="6"/>
  <c r="B241" i="6"/>
  <c r="K241" i="6" s="1"/>
  <c r="M241" i="6" s="1"/>
  <c r="B242" i="6"/>
  <c r="B243" i="6"/>
  <c r="B244" i="6"/>
  <c r="B245" i="6"/>
  <c r="K245" i="6" s="1"/>
  <c r="M245" i="6" s="1"/>
  <c r="B246" i="6"/>
  <c r="B247" i="6"/>
  <c r="K247" i="6" s="1"/>
  <c r="M247" i="6" s="1"/>
  <c r="B248" i="6"/>
  <c r="B249" i="6"/>
  <c r="K249" i="6" s="1"/>
  <c r="M249" i="6" s="1"/>
  <c r="B250" i="6"/>
  <c r="B251" i="6"/>
  <c r="K251" i="6" s="1"/>
  <c r="M251" i="6" s="1"/>
  <c r="B252" i="6"/>
  <c r="B253" i="6"/>
  <c r="K253" i="6" s="1"/>
  <c r="M253" i="6" s="1"/>
  <c r="B254" i="6"/>
  <c r="B255" i="6"/>
  <c r="B256" i="6"/>
  <c r="B257" i="6"/>
  <c r="K257" i="6" s="1"/>
  <c r="M257" i="6" s="1"/>
  <c r="B258" i="6"/>
  <c r="B259" i="6"/>
  <c r="K259" i="6" s="1"/>
  <c r="M259" i="6" s="1"/>
  <c r="B260" i="6"/>
  <c r="B261" i="6"/>
  <c r="K261" i="6" s="1"/>
  <c r="M261" i="6" s="1"/>
  <c r="B262" i="6"/>
  <c r="B263" i="6"/>
  <c r="B264" i="6"/>
  <c r="B265" i="6"/>
  <c r="K265" i="6" s="1"/>
  <c r="M265" i="6" s="1"/>
  <c r="B266" i="6"/>
  <c r="B267" i="6"/>
  <c r="K267" i="6" s="1"/>
  <c r="M267" i="6" s="1"/>
  <c r="B268" i="6"/>
  <c r="B269" i="6"/>
  <c r="B270" i="6"/>
  <c r="B271" i="6"/>
  <c r="K271" i="6" s="1"/>
  <c r="M271" i="6" s="1"/>
  <c r="B272" i="6"/>
  <c r="B273" i="6"/>
  <c r="K273" i="6" s="1"/>
  <c r="M273" i="6" s="1"/>
  <c r="B274" i="6"/>
  <c r="B275" i="6"/>
  <c r="K275" i="6" s="1"/>
  <c r="M275" i="6" s="1"/>
  <c r="B276" i="6"/>
  <c r="B277" i="6"/>
  <c r="B278" i="6"/>
  <c r="B279" i="6"/>
  <c r="K279" i="6" s="1"/>
  <c r="M279" i="6" s="1"/>
  <c r="B280" i="6"/>
  <c r="B281" i="6"/>
  <c r="K281" i="6" s="1"/>
  <c r="M281" i="6" s="1"/>
  <c r="B282" i="6"/>
  <c r="B283" i="6"/>
  <c r="K283" i="6" s="1"/>
  <c r="M283" i="6" s="1"/>
  <c r="B284" i="6"/>
  <c r="B285" i="6"/>
  <c r="B286" i="6"/>
  <c r="B287" i="6"/>
  <c r="K287" i="6" s="1"/>
  <c r="M287" i="6" s="1"/>
  <c r="B288" i="6"/>
  <c r="B289" i="6"/>
  <c r="K289" i="6" s="1"/>
  <c r="M289" i="6" s="1"/>
  <c r="B290" i="6"/>
  <c r="B291" i="6"/>
  <c r="K291" i="6" s="1"/>
  <c r="M291" i="6" s="1"/>
  <c r="B292" i="6"/>
  <c r="B293" i="6"/>
  <c r="B294" i="6"/>
  <c r="B295" i="6"/>
  <c r="K295" i="6" s="1"/>
  <c r="M295" i="6" s="1"/>
  <c r="B296" i="6"/>
  <c r="B297" i="6"/>
  <c r="K297" i="6" s="1"/>
  <c r="M297" i="6" s="1"/>
  <c r="B298" i="6"/>
  <c r="B299" i="6"/>
  <c r="K299" i="6" s="1"/>
  <c r="M299" i="6" s="1"/>
  <c r="B300" i="6"/>
  <c r="B301" i="6"/>
  <c r="B302" i="6"/>
  <c r="B303" i="6"/>
  <c r="K303" i="6" s="1"/>
  <c r="M303" i="6" s="1"/>
  <c r="B304" i="6"/>
  <c r="B305" i="6"/>
  <c r="K305" i="6" s="1"/>
  <c r="M305" i="6" s="1"/>
  <c r="B306" i="6"/>
  <c r="B307" i="6"/>
  <c r="K307" i="6" s="1"/>
  <c r="M307" i="6" s="1"/>
  <c r="B308" i="6"/>
  <c r="B309" i="6"/>
  <c r="K309" i="6" s="1"/>
  <c r="M309" i="6" s="1"/>
  <c r="B310" i="6"/>
  <c r="B311" i="6"/>
  <c r="K311" i="6" s="1"/>
  <c r="M311" i="6" s="1"/>
  <c r="B312" i="6"/>
  <c r="B313" i="6"/>
  <c r="B314" i="6"/>
  <c r="B315" i="6"/>
  <c r="K315" i="6" s="1"/>
  <c r="M315" i="6" s="1"/>
  <c r="B316" i="6"/>
  <c r="B317" i="6"/>
  <c r="K317" i="6" s="1"/>
  <c r="M317" i="6" s="1"/>
  <c r="B318" i="6"/>
  <c r="B319" i="6"/>
  <c r="K319" i="6" s="1"/>
  <c r="M319" i="6" s="1"/>
  <c r="B320" i="6"/>
  <c r="B321" i="6"/>
  <c r="B322" i="6"/>
  <c r="B323" i="6"/>
  <c r="K323" i="6" s="1"/>
  <c r="M323" i="6" s="1"/>
  <c r="B324" i="6"/>
  <c r="B325" i="6"/>
  <c r="K325" i="6" s="1"/>
  <c r="M325" i="6" s="1"/>
  <c r="B326" i="6"/>
  <c r="B327" i="6"/>
  <c r="K327" i="6" s="1"/>
  <c r="M327" i="6" s="1"/>
  <c r="B328" i="6"/>
  <c r="B329" i="6"/>
  <c r="B330" i="6"/>
  <c r="B331" i="6"/>
  <c r="K331" i="6" s="1"/>
  <c r="M331" i="6" s="1"/>
  <c r="B332" i="6"/>
  <c r="B333" i="6"/>
  <c r="K333" i="6" s="1"/>
  <c r="M333" i="6" s="1"/>
  <c r="B334" i="6"/>
  <c r="B335" i="6"/>
  <c r="K335" i="6" s="1"/>
  <c r="M335" i="6" s="1"/>
  <c r="B336" i="6"/>
  <c r="B337" i="6"/>
  <c r="B338" i="6"/>
  <c r="B339" i="6"/>
  <c r="K339" i="6" s="1"/>
  <c r="M339" i="6" s="1"/>
  <c r="B340" i="6"/>
  <c r="B341" i="6"/>
  <c r="K341" i="6" s="1"/>
  <c r="M341" i="6" s="1"/>
  <c r="B342" i="6"/>
  <c r="B343" i="6"/>
  <c r="K343" i="6" s="1"/>
  <c r="M343" i="6" s="1"/>
  <c r="B344" i="6"/>
  <c r="B345" i="6"/>
  <c r="K345" i="6" s="1"/>
  <c r="M345" i="6" s="1"/>
  <c r="B346" i="6"/>
  <c r="B347" i="6"/>
  <c r="K347" i="6" s="1"/>
  <c r="M347" i="6" s="1"/>
  <c r="B348" i="6"/>
  <c r="B349" i="6"/>
  <c r="B350" i="6"/>
  <c r="B351" i="6"/>
  <c r="K351" i="6" s="1"/>
  <c r="M351" i="6" s="1"/>
  <c r="B352" i="6"/>
  <c r="K352" i="6" s="1"/>
  <c r="B353" i="6"/>
  <c r="B354" i="6"/>
  <c r="B355" i="6"/>
  <c r="K355" i="6" s="1"/>
  <c r="M355" i="6" s="1"/>
  <c r="B356" i="6"/>
  <c r="K356" i="6" s="1"/>
  <c r="B357" i="6"/>
  <c r="K357" i="6" s="1"/>
  <c r="M357" i="6" s="1"/>
  <c r="B358" i="6"/>
  <c r="B359" i="6"/>
  <c r="K359" i="6" s="1"/>
  <c r="M359" i="6" s="1"/>
  <c r="B360" i="6"/>
  <c r="K360" i="6" s="1"/>
  <c r="B361" i="6"/>
  <c r="K361" i="6" s="1"/>
  <c r="M361" i="6" s="1"/>
  <c r="B362" i="6"/>
  <c r="B363" i="6"/>
  <c r="K363" i="6" s="1"/>
  <c r="M363" i="6" s="1"/>
  <c r="B364" i="6"/>
  <c r="K364" i="6" s="1"/>
  <c r="B365" i="6"/>
  <c r="B366" i="6"/>
  <c r="B367" i="6"/>
  <c r="K367" i="6" s="1"/>
  <c r="M367" i="6" s="1"/>
  <c r="B368" i="6"/>
  <c r="K368" i="6" s="1"/>
  <c r="B369" i="6"/>
  <c r="K369" i="6" s="1"/>
  <c r="M369" i="6" s="1"/>
  <c r="B370" i="6"/>
  <c r="B371" i="6"/>
  <c r="K371" i="6" s="1"/>
  <c r="M371" i="6" s="1"/>
  <c r="B372" i="6"/>
  <c r="K372" i="6" s="1"/>
  <c r="B373" i="6"/>
  <c r="B374" i="6"/>
  <c r="B375" i="6"/>
  <c r="K375" i="6" s="1"/>
  <c r="M375" i="6" s="1"/>
  <c r="B376" i="6"/>
  <c r="K376" i="6" s="1"/>
  <c r="B377" i="6"/>
  <c r="B378" i="6"/>
  <c r="B379" i="6"/>
  <c r="K379" i="6" s="1"/>
  <c r="M379" i="6" s="1"/>
  <c r="B380" i="6"/>
  <c r="K380" i="6" s="1"/>
  <c r="B381" i="6"/>
  <c r="K381" i="6" s="1"/>
  <c r="M381" i="6" s="1"/>
  <c r="B382" i="6"/>
  <c r="B383" i="6"/>
  <c r="K383" i="6" s="1"/>
  <c r="M383" i="6" s="1"/>
  <c r="B384" i="6"/>
  <c r="K384" i="6" s="1"/>
  <c r="B385" i="6"/>
  <c r="K385" i="6" s="1"/>
  <c r="M385" i="6" s="1"/>
  <c r="B386" i="6"/>
  <c r="B387" i="6"/>
  <c r="K387" i="6" s="1"/>
  <c r="M387" i="6" s="1"/>
  <c r="B388" i="6"/>
  <c r="K388" i="6" s="1"/>
  <c r="B389" i="6"/>
  <c r="B390" i="6"/>
  <c r="B391" i="6"/>
  <c r="K391" i="6" s="1"/>
  <c r="M391" i="6" s="1"/>
  <c r="B392" i="6"/>
  <c r="K392" i="6" s="1"/>
  <c r="B393" i="6"/>
  <c r="K393" i="6" s="1"/>
  <c r="M393" i="6" s="1"/>
  <c r="B394" i="6"/>
  <c r="B395" i="6"/>
  <c r="K395" i="6" s="1"/>
  <c r="M395" i="6" s="1"/>
  <c r="B396" i="6"/>
  <c r="K396" i="6" s="1"/>
  <c r="B397" i="6"/>
  <c r="B398" i="6"/>
  <c r="B399" i="6"/>
  <c r="K399" i="6" s="1"/>
  <c r="M399" i="6" s="1"/>
  <c r="B400" i="6"/>
  <c r="K400" i="6" s="1"/>
  <c r="B401" i="6"/>
  <c r="K401" i="6" s="1"/>
  <c r="M401" i="6" s="1"/>
  <c r="B402" i="6"/>
  <c r="B403" i="6"/>
  <c r="K403" i="6" s="1"/>
  <c r="M403" i="6" s="1"/>
  <c r="B404" i="6"/>
  <c r="K404" i="6" s="1"/>
  <c r="B405" i="6"/>
  <c r="B406" i="6"/>
  <c r="B407" i="6"/>
  <c r="K407" i="6" s="1"/>
  <c r="M407" i="6" s="1"/>
  <c r="B408" i="6"/>
  <c r="K408" i="6" s="1"/>
  <c r="B409" i="6"/>
  <c r="B410" i="6"/>
  <c r="B411" i="6"/>
  <c r="K411" i="6" s="1"/>
  <c r="M411" i="6" s="1"/>
  <c r="B412" i="6"/>
  <c r="K412" i="6" s="1"/>
  <c r="B413" i="6"/>
  <c r="K413" i="6" s="1"/>
  <c r="M413" i="6" s="1"/>
  <c r="B414" i="6"/>
  <c r="B415" i="6"/>
  <c r="K415" i="6" s="1"/>
  <c r="M415" i="6" s="1"/>
  <c r="B416" i="6"/>
  <c r="K416" i="6" s="1"/>
  <c r="B417" i="6"/>
  <c r="B418" i="6"/>
  <c r="B419" i="6"/>
  <c r="K419" i="6" s="1"/>
  <c r="M419" i="6" s="1"/>
  <c r="B420" i="6"/>
  <c r="K420" i="6" s="1"/>
  <c r="B421" i="6"/>
  <c r="K421" i="6" s="1"/>
  <c r="M421" i="6" s="1"/>
  <c r="B422" i="6"/>
  <c r="B423" i="6"/>
  <c r="K423" i="6" s="1"/>
  <c r="M423" i="6" s="1"/>
  <c r="B424" i="6"/>
  <c r="K424" i="6" s="1"/>
  <c r="B425" i="6"/>
  <c r="B426" i="6"/>
  <c r="B427" i="6"/>
  <c r="K427" i="6" s="1"/>
  <c r="M427" i="6" s="1"/>
  <c r="B428" i="6"/>
  <c r="K428" i="6" s="1"/>
  <c r="B429" i="6"/>
  <c r="K429" i="6" s="1"/>
  <c r="M429" i="6" s="1"/>
  <c r="B430" i="6"/>
  <c r="B431" i="6"/>
  <c r="K431" i="6" s="1"/>
  <c r="M431" i="6" s="1"/>
  <c r="B432" i="6"/>
  <c r="K432" i="6" s="1"/>
  <c r="B433" i="6"/>
  <c r="K433" i="6" s="1"/>
  <c r="M433" i="6" s="1"/>
  <c r="B434" i="6"/>
  <c r="B435" i="6"/>
  <c r="K435" i="6" s="1"/>
  <c r="M435" i="6" s="1"/>
  <c r="B436" i="6"/>
  <c r="K436" i="6" s="1"/>
  <c r="B437" i="6"/>
  <c r="B438" i="6"/>
  <c r="B439" i="6"/>
  <c r="K439" i="6" s="1"/>
  <c r="M439" i="6" s="1"/>
  <c r="B440" i="6"/>
  <c r="B441" i="6"/>
  <c r="B442" i="6"/>
  <c r="B443" i="6"/>
  <c r="K443" i="6" s="1"/>
  <c r="M443" i="6" s="1"/>
  <c r="B444" i="6"/>
  <c r="B445" i="6"/>
  <c r="B446" i="6"/>
  <c r="B447" i="6"/>
  <c r="K447" i="6" s="1"/>
  <c r="M447" i="6" s="1"/>
  <c r="B448" i="6"/>
  <c r="B449" i="6"/>
  <c r="K449" i="6" s="1"/>
  <c r="M449" i="6" s="1"/>
  <c r="B450" i="6"/>
  <c r="B451" i="6"/>
  <c r="K451" i="6" s="1"/>
  <c r="M451" i="6" s="1"/>
  <c r="B452" i="6"/>
  <c r="B453" i="6"/>
  <c r="K453" i="6" s="1"/>
  <c r="B454" i="6"/>
  <c r="B455" i="6"/>
  <c r="K455" i="6" s="1"/>
  <c r="M455" i="6" s="1"/>
  <c r="B456" i="6"/>
  <c r="B457" i="6"/>
  <c r="B458" i="6"/>
  <c r="B459" i="6"/>
  <c r="K459" i="6" s="1"/>
  <c r="M459" i="6" s="1"/>
  <c r="B460" i="6"/>
  <c r="B461" i="6"/>
  <c r="B462" i="6"/>
  <c r="B463" i="6"/>
  <c r="K463" i="6" s="1"/>
  <c r="M463" i="6" s="1"/>
  <c r="B464" i="6"/>
  <c r="B465" i="6"/>
  <c r="K465" i="6" s="1"/>
  <c r="M465" i="6" s="1"/>
  <c r="B466" i="6"/>
  <c r="B467" i="6"/>
  <c r="K467" i="6" s="1"/>
  <c r="M467" i="6" s="1"/>
  <c r="B468" i="6"/>
  <c r="B469" i="6"/>
  <c r="K469" i="6" s="1"/>
  <c r="B470" i="6"/>
  <c r="B471" i="6"/>
  <c r="K471" i="6" s="1"/>
  <c r="M471" i="6" s="1"/>
  <c r="B472" i="6"/>
  <c r="B473" i="6"/>
  <c r="B474" i="6"/>
  <c r="B475" i="6"/>
  <c r="K475" i="6" s="1"/>
  <c r="M475" i="6" s="1"/>
  <c r="B476" i="6"/>
  <c r="B477" i="6"/>
  <c r="B478" i="6"/>
  <c r="B479" i="6"/>
  <c r="K479" i="6" s="1"/>
  <c r="M479" i="6" s="1"/>
  <c r="B480" i="6"/>
  <c r="B481" i="6"/>
  <c r="K481" i="6" s="1"/>
  <c r="M481" i="6" s="1"/>
  <c r="B482" i="6"/>
  <c r="B483" i="6"/>
  <c r="K483" i="6" s="1"/>
  <c r="M483" i="6" s="1"/>
  <c r="B484" i="6"/>
  <c r="B485" i="6"/>
  <c r="K485" i="6" s="1"/>
  <c r="B486" i="6"/>
  <c r="B487" i="6"/>
  <c r="K487" i="6" s="1"/>
  <c r="M487" i="6" s="1"/>
  <c r="B488" i="6"/>
  <c r="B489" i="6"/>
  <c r="B490" i="6"/>
  <c r="B491" i="6"/>
  <c r="K491" i="6" s="1"/>
  <c r="M491" i="6" s="1"/>
  <c r="B492" i="6"/>
  <c r="B493" i="6"/>
  <c r="B494" i="6"/>
  <c r="B495" i="6"/>
  <c r="K495" i="6" s="1"/>
  <c r="M495" i="6" s="1"/>
  <c r="B496" i="6"/>
  <c r="B497" i="6"/>
  <c r="K497" i="6" s="1"/>
  <c r="M497" i="6" s="1"/>
  <c r="B498" i="6"/>
  <c r="B499" i="6"/>
  <c r="K499" i="6" s="1"/>
  <c r="M499" i="6" s="1"/>
  <c r="B500" i="6"/>
  <c r="B501" i="6"/>
  <c r="K501" i="6" s="1"/>
  <c r="B502" i="6"/>
  <c r="B503" i="6"/>
  <c r="K503" i="6" s="1"/>
  <c r="M503" i="6" s="1"/>
  <c r="B504" i="6"/>
  <c r="B505" i="6"/>
  <c r="B506" i="6"/>
  <c r="B507" i="6"/>
  <c r="K507" i="6" s="1"/>
  <c r="M507" i="6" s="1"/>
  <c r="B508" i="6"/>
  <c r="B509" i="6"/>
  <c r="B510" i="6"/>
  <c r="B511" i="6"/>
  <c r="K511" i="6" s="1"/>
  <c r="M511" i="6" s="1"/>
  <c r="B512" i="6"/>
  <c r="B513" i="6"/>
  <c r="K513" i="6" s="1"/>
  <c r="M513" i="6" s="1"/>
  <c r="B514" i="6"/>
  <c r="B515" i="6"/>
  <c r="K515" i="6" s="1"/>
  <c r="M515" i="6" s="1"/>
  <c r="B516" i="6"/>
  <c r="B517" i="6"/>
  <c r="K517" i="6" s="1"/>
  <c r="B518" i="6"/>
  <c r="B519" i="6"/>
  <c r="K519" i="6" s="1"/>
  <c r="M519" i="6" s="1"/>
  <c r="B520" i="6"/>
  <c r="B521" i="6"/>
  <c r="B522" i="6"/>
  <c r="B523" i="6"/>
  <c r="K523" i="6" s="1"/>
  <c r="M523" i="6" s="1"/>
  <c r="B524" i="6"/>
  <c r="B525" i="6"/>
  <c r="B526" i="6"/>
  <c r="B527" i="6"/>
  <c r="K527" i="6" s="1"/>
  <c r="M527" i="6" s="1"/>
  <c r="B528" i="6"/>
  <c r="B529" i="6"/>
  <c r="K529" i="6" s="1"/>
  <c r="M529" i="6" s="1"/>
  <c r="B530" i="6"/>
  <c r="B531" i="6"/>
  <c r="K531" i="6" s="1"/>
  <c r="M531" i="6" s="1"/>
  <c r="B532" i="6"/>
  <c r="B533" i="6"/>
  <c r="K533" i="6" s="1"/>
  <c r="B534" i="6"/>
  <c r="B535" i="6"/>
  <c r="K535" i="6" s="1"/>
  <c r="M535" i="6" s="1"/>
  <c r="B536" i="6"/>
  <c r="B537" i="6"/>
  <c r="B538" i="6"/>
  <c r="B539" i="6"/>
  <c r="K539" i="6" s="1"/>
  <c r="M539" i="6" s="1"/>
  <c r="B540" i="6"/>
  <c r="B541" i="6"/>
  <c r="B542" i="6"/>
  <c r="B543" i="6"/>
  <c r="K543" i="6" s="1"/>
  <c r="M543" i="6" s="1"/>
  <c r="B544" i="6"/>
  <c r="B545" i="6"/>
  <c r="K545" i="6" s="1"/>
  <c r="M545" i="6" s="1"/>
  <c r="B546" i="6"/>
  <c r="B547" i="6"/>
  <c r="K547" i="6" s="1"/>
  <c r="M547" i="6" s="1"/>
  <c r="B548" i="6"/>
  <c r="B549" i="6"/>
  <c r="K549" i="6" s="1"/>
  <c r="B550" i="6"/>
  <c r="B551" i="6"/>
  <c r="K551" i="6" s="1"/>
  <c r="M551" i="6" s="1"/>
  <c r="B552" i="6"/>
  <c r="B553" i="6"/>
  <c r="B554" i="6"/>
  <c r="B555" i="6"/>
  <c r="K555" i="6" s="1"/>
  <c r="M555" i="6" s="1"/>
  <c r="B556" i="6"/>
  <c r="B557" i="6"/>
  <c r="B558" i="6"/>
  <c r="B559" i="6"/>
  <c r="K559" i="6" s="1"/>
  <c r="M559" i="6" s="1"/>
  <c r="B560" i="6"/>
  <c r="B561" i="6"/>
  <c r="K561" i="6" s="1"/>
  <c r="M561" i="6" s="1"/>
  <c r="B562" i="6"/>
  <c r="B563" i="6"/>
  <c r="K563" i="6" s="1"/>
  <c r="M563" i="6" s="1"/>
  <c r="B564" i="6"/>
  <c r="B565" i="6"/>
  <c r="K565" i="6" s="1"/>
  <c r="B566" i="6"/>
  <c r="B567" i="6"/>
  <c r="K567" i="6" s="1"/>
  <c r="M567" i="6" s="1"/>
  <c r="B568" i="6"/>
  <c r="B569" i="6"/>
  <c r="B570" i="6"/>
  <c r="B571" i="6"/>
  <c r="K571" i="6" s="1"/>
  <c r="M571" i="6" s="1"/>
  <c r="B572" i="6"/>
  <c r="B573" i="6"/>
  <c r="B574" i="6"/>
  <c r="B575" i="6"/>
  <c r="K575" i="6" s="1"/>
  <c r="M575" i="6" s="1"/>
  <c r="B576" i="6"/>
  <c r="B577" i="6"/>
  <c r="K577" i="6" s="1"/>
  <c r="M577" i="6" s="1"/>
  <c r="B578" i="6"/>
  <c r="B579" i="6"/>
  <c r="K579" i="6" s="1"/>
  <c r="M579" i="6" s="1"/>
  <c r="B580" i="6"/>
  <c r="B581" i="6"/>
  <c r="K581" i="6" s="1"/>
  <c r="M581" i="6" s="1"/>
  <c r="B582" i="6"/>
  <c r="B583" i="6"/>
  <c r="K583" i="6" s="1"/>
  <c r="M583" i="6" s="1"/>
  <c r="B584" i="6"/>
  <c r="B585" i="6"/>
  <c r="K585" i="6" s="1"/>
  <c r="M585" i="6" s="1"/>
  <c r="B586" i="6"/>
  <c r="B587" i="6"/>
  <c r="K587" i="6" s="1"/>
  <c r="M587" i="6" s="1"/>
  <c r="B588" i="6"/>
  <c r="B589" i="6"/>
  <c r="K589" i="6" s="1"/>
  <c r="M589" i="6" s="1"/>
  <c r="B590" i="6"/>
  <c r="B591" i="6"/>
  <c r="K591" i="6" s="1"/>
  <c r="M591" i="6" s="1"/>
  <c r="B592" i="6"/>
  <c r="B593" i="6"/>
  <c r="K593" i="6" s="1"/>
  <c r="M593" i="6" s="1"/>
  <c r="B594" i="6"/>
  <c r="B595" i="6"/>
  <c r="K595" i="6" s="1"/>
  <c r="M595" i="6" s="1"/>
  <c r="B596" i="6"/>
  <c r="B597" i="6"/>
  <c r="K597" i="6" s="1"/>
  <c r="M597" i="6" s="1"/>
  <c r="B598" i="6"/>
  <c r="B599" i="6"/>
  <c r="K599" i="6" s="1"/>
  <c r="M599" i="6" s="1"/>
  <c r="B600" i="6"/>
  <c r="B601" i="6"/>
  <c r="K601" i="6" s="1"/>
  <c r="M601" i="6" s="1"/>
  <c r="B602" i="6"/>
  <c r="B603" i="6"/>
  <c r="K603" i="6" s="1"/>
  <c r="M603" i="6" s="1"/>
  <c r="B604" i="6"/>
  <c r="B605" i="6"/>
  <c r="K605" i="6" s="1"/>
  <c r="M605" i="6" s="1"/>
  <c r="B606" i="6"/>
  <c r="B607" i="6"/>
  <c r="K607" i="6" s="1"/>
  <c r="M607" i="6" s="1"/>
  <c r="B608" i="6"/>
  <c r="B609" i="6"/>
  <c r="K609" i="6" s="1"/>
  <c r="M609" i="6" s="1"/>
  <c r="B610" i="6"/>
  <c r="B611" i="6"/>
  <c r="K611" i="6" s="1"/>
  <c r="M611" i="6" s="1"/>
  <c r="B612" i="6"/>
  <c r="B613" i="6"/>
  <c r="B614" i="6"/>
  <c r="B615" i="6"/>
  <c r="K615" i="6" s="1"/>
  <c r="M615" i="6" s="1"/>
  <c r="B616" i="6"/>
  <c r="B617" i="6"/>
  <c r="B618" i="6"/>
  <c r="B619" i="6"/>
  <c r="K619" i="6" s="1"/>
  <c r="M619" i="6" s="1"/>
  <c r="B620" i="6"/>
  <c r="B621" i="6"/>
  <c r="K621" i="6" s="1"/>
  <c r="M621" i="6" s="1"/>
  <c r="B622" i="6"/>
  <c r="B623" i="6"/>
  <c r="K623" i="6" s="1"/>
  <c r="M623" i="6" s="1"/>
  <c r="B624" i="6"/>
  <c r="B625" i="6"/>
  <c r="K625" i="6" s="1"/>
  <c r="M625" i="6" s="1"/>
  <c r="B626" i="6"/>
  <c r="B627" i="6"/>
  <c r="K627" i="6" s="1"/>
  <c r="M627" i="6" s="1"/>
  <c r="B628" i="6"/>
  <c r="B629" i="6"/>
  <c r="B630" i="6"/>
  <c r="B631" i="6"/>
  <c r="K631" i="6" s="1"/>
  <c r="M631" i="6" s="1"/>
  <c r="B632" i="6"/>
  <c r="B633" i="6"/>
  <c r="B634" i="6"/>
  <c r="B635" i="6"/>
  <c r="K635" i="6" s="1"/>
  <c r="M635" i="6" s="1"/>
  <c r="B636" i="6"/>
  <c r="B637" i="6"/>
  <c r="K637" i="6" s="1"/>
  <c r="M637" i="6" s="1"/>
  <c r="B638" i="6"/>
  <c r="B639" i="6"/>
  <c r="K639" i="6" s="1"/>
  <c r="M639" i="6" s="1"/>
  <c r="B640" i="6"/>
  <c r="B641" i="6"/>
  <c r="K641" i="6" s="1"/>
  <c r="M641" i="6" s="1"/>
  <c r="B642" i="6"/>
  <c r="B643" i="6"/>
  <c r="K643" i="6" s="1"/>
  <c r="M643" i="6" s="1"/>
  <c r="B644" i="6"/>
  <c r="B645" i="6"/>
  <c r="K645" i="6" s="1"/>
  <c r="M645" i="6" s="1"/>
  <c r="B646" i="6"/>
  <c r="B647" i="6"/>
  <c r="K647" i="6" s="1"/>
  <c r="M647" i="6" s="1"/>
  <c r="B648" i="6"/>
  <c r="B649" i="6"/>
  <c r="K649" i="6" s="1"/>
  <c r="M649" i="6" s="1"/>
  <c r="B650" i="6"/>
  <c r="B651" i="6"/>
  <c r="K651" i="6" s="1"/>
  <c r="M651" i="6" s="1"/>
  <c r="B652" i="6"/>
  <c r="B653" i="6"/>
  <c r="B654" i="6"/>
  <c r="B655" i="6"/>
  <c r="K655" i="6" s="1"/>
  <c r="M655" i="6" s="1"/>
  <c r="B656" i="6"/>
  <c r="B657" i="6"/>
  <c r="B658" i="6"/>
  <c r="B659" i="6"/>
  <c r="K659" i="6" s="1"/>
  <c r="M659" i="6" s="1"/>
  <c r="B660" i="6"/>
  <c r="B661" i="6"/>
  <c r="B662" i="6"/>
  <c r="B663" i="6"/>
  <c r="K663" i="6" s="1"/>
  <c r="M663" i="6" s="1"/>
  <c r="B664" i="6"/>
  <c r="B665" i="6"/>
  <c r="K665" i="6" s="1"/>
  <c r="M665" i="6" s="1"/>
  <c r="B666" i="6"/>
  <c r="B667" i="6"/>
  <c r="K667" i="6" s="1"/>
  <c r="M667" i="6" s="1"/>
  <c r="B668" i="6"/>
  <c r="B669" i="6"/>
  <c r="K669" i="6" s="1"/>
  <c r="M669" i="6" s="1"/>
  <c r="B670" i="6"/>
  <c r="B671" i="6"/>
  <c r="K671" i="6" s="1"/>
  <c r="M671" i="6" s="1"/>
  <c r="B672" i="6"/>
  <c r="B673" i="6"/>
  <c r="K673" i="6" s="1"/>
  <c r="M673" i="6" s="1"/>
  <c r="B674" i="6"/>
  <c r="B675" i="6"/>
  <c r="K675" i="6" s="1"/>
  <c r="M675" i="6" s="1"/>
  <c r="B676" i="6"/>
  <c r="B677" i="6"/>
  <c r="K677" i="6" s="1"/>
  <c r="M677" i="6" s="1"/>
  <c r="B678" i="6"/>
  <c r="B679" i="6"/>
  <c r="B680" i="6"/>
  <c r="B681" i="6"/>
  <c r="B682" i="6"/>
  <c r="B683" i="6"/>
  <c r="K683" i="6" s="1"/>
  <c r="M683" i="6" s="1"/>
  <c r="B684" i="6"/>
  <c r="B685" i="6"/>
  <c r="B686" i="6"/>
  <c r="B687" i="6"/>
  <c r="K687" i="6" s="1"/>
  <c r="M687" i="6" s="1"/>
  <c r="B688" i="6"/>
  <c r="B689" i="6"/>
  <c r="B690" i="6"/>
  <c r="B691" i="6"/>
  <c r="K691" i="6" s="1"/>
  <c r="M691" i="6" s="1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K2" i="6" s="1"/>
  <c r="M2" i="6" s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3337" i="6"/>
  <c r="K3226" i="6"/>
  <c r="K6616" i="6"/>
  <c r="K6440" i="6"/>
  <c r="K6304" i="6"/>
  <c r="K6893" i="6"/>
  <c r="K6412" i="6"/>
  <c r="K6095" i="6"/>
  <c r="L6142" i="6"/>
  <c r="N6163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M6263" i="6"/>
  <c r="N6840" i="6"/>
  <c r="K6493" i="6"/>
  <c r="N6693" i="6"/>
  <c r="M6580" i="6"/>
  <c r="N6529" i="6"/>
  <c r="N6476" i="6"/>
  <c r="M6396" i="6"/>
  <c r="N6187" i="6"/>
  <c r="K6841" i="6"/>
  <c r="N6653" i="6"/>
  <c r="M6591" i="6"/>
  <c r="K6548" i="6"/>
  <c r="K6529" i="6"/>
  <c r="N6409" i="6"/>
  <c r="K6396" i="6"/>
  <c r="L6187" i="6"/>
  <c r="M6122" i="6"/>
  <c r="M6785" i="6"/>
  <c r="M6529" i="6"/>
  <c r="N6697" i="6"/>
  <c r="L6591" i="6"/>
  <c r="K6409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L6411" i="6"/>
  <c r="K6393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K6231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K6208" i="6"/>
  <c r="M6631" i="6"/>
  <c r="N6393" i="6"/>
  <c r="K626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K6091" i="6"/>
  <c r="L6091" i="6"/>
  <c r="N6091" i="6"/>
  <c r="L6880" i="6"/>
  <c r="K6880" i="6"/>
  <c r="M6880" i="6"/>
  <c r="L6860" i="6"/>
  <c r="K6860" i="6"/>
  <c r="N6812" i="6"/>
  <c r="M6812" i="6"/>
  <c r="L6773" i="6"/>
  <c r="K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K6728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71" i="6"/>
  <c r="K3239" i="6"/>
  <c r="K3231" i="6"/>
  <c r="K6840" i="6"/>
  <c r="K6801" i="6"/>
  <c r="K6741" i="6"/>
  <c r="K6433" i="6"/>
  <c r="M6429" i="6"/>
  <c r="L6396" i="6"/>
  <c r="K6260" i="6"/>
  <c r="K3358" i="6"/>
  <c r="K3342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K6284" i="6"/>
  <c r="N6267" i="6"/>
  <c r="M6259" i="6"/>
  <c r="M6224" i="6"/>
  <c r="K6224" i="6"/>
  <c r="K6180" i="6"/>
  <c r="M6155" i="6"/>
  <c r="N6152" i="6"/>
  <c r="K6146" i="6"/>
  <c r="K6122" i="6"/>
  <c r="M6090" i="6"/>
  <c r="K3248" i="6"/>
  <c r="K3387" i="6"/>
  <c r="K3315" i="6"/>
  <c r="K3202" i="6"/>
  <c r="K3197" i="6"/>
  <c r="K3195" i="6"/>
  <c r="K3187" i="6"/>
  <c r="K3344" i="6"/>
  <c r="K3166" i="6"/>
  <c r="K3365" i="6"/>
  <c r="K3303" i="6"/>
  <c r="K3205" i="6"/>
  <c r="K3370" i="6"/>
  <c r="K3362" i="6"/>
  <c r="K3157" i="6"/>
  <c r="K3374" i="6"/>
  <c r="K3393" i="6"/>
  <c r="K3332" i="6"/>
  <c r="K3277" i="6"/>
  <c r="K3275" i="6"/>
  <c r="K3214" i="6"/>
  <c r="K3206" i="6"/>
  <c r="K3313" i="6"/>
  <c r="K3174" i="6"/>
  <c r="K3396" i="6"/>
  <c r="K3306" i="6"/>
  <c r="K3262" i="6"/>
  <c r="K3357" i="6"/>
  <c r="K3222" i="6"/>
  <c r="K3215" i="6"/>
  <c r="K3173" i="6"/>
  <c r="K3284" i="6"/>
  <c r="K3232" i="6"/>
  <c r="K3401" i="6"/>
  <c r="K3340" i="6"/>
  <c r="K3311" i="6"/>
  <c r="K3298" i="6"/>
  <c r="K3290" i="6"/>
  <c r="K3252" i="6"/>
  <c r="K3165" i="6"/>
  <c r="K3295" i="6"/>
  <c r="K3227" i="6"/>
  <c r="K3162" i="6"/>
  <c r="K3377" i="6"/>
  <c r="K3329" i="6"/>
  <c r="K3307" i="6"/>
  <c r="K3177" i="6"/>
  <c r="K3378" i="6"/>
  <c r="K3330" i="6"/>
  <c r="K3230" i="6"/>
  <c r="K3223" i="6"/>
  <c r="K3203" i="6"/>
  <c r="K3190" i="6"/>
  <c r="K3150" i="6"/>
  <c r="K3144" i="6"/>
  <c r="K3385" i="6"/>
  <c r="K3349" i="6"/>
  <c r="K3322" i="6"/>
  <c r="K3266" i="6"/>
  <c r="K3259" i="6"/>
  <c r="K3245" i="6"/>
  <c r="K3243" i="6"/>
  <c r="K3169" i="6"/>
  <c r="K3145" i="6"/>
  <c r="K3404" i="6"/>
  <c r="K3361" i="6"/>
  <c r="K3333" i="6"/>
  <c r="K3299" i="6"/>
  <c r="K3280" i="6"/>
  <c r="K3263" i="6"/>
  <c r="K3235" i="6"/>
  <c r="K3189" i="6"/>
  <c r="K3149" i="6"/>
  <c r="K3381" i="6"/>
  <c r="K3366" i="6"/>
  <c r="K3348" i="6"/>
  <c r="K3346" i="6"/>
  <c r="K3153" i="6"/>
  <c r="K3148" i="6"/>
  <c r="K3146" i="6"/>
  <c r="K3345" i="6"/>
  <c r="K3338" i="6"/>
  <c r="K3291" i="6"/>
  <c r="K3246" i="6"/>
  <c r="K3198" i="6"/>
  <c r="K3194" i="6"/>
  <c r="K3178" i="6"/>
  <c r="K3154" i="6"/>
  <c r="K3400" i="6"/>
  <c r="K3398" i="6"/>
  <c r="K3388" i="6"/>
  <c r="K3382" i="6"/>
  <c r="K3323" i="6"/>
  <c r="K3321" i="6"/>
  <c r="K3316" i="6"/>
  <c r="K3309" i="6"/>
  <c r="K3289" i="6"/>
  <c r="K3287" i="6"/>
  <c r="K3267" i="6"/>
  <c r="K3257" i="6"/>
  <c r="K3255" i="6"/>
  <c r="K3242" i="6"/>
  <c r="K3211" i="6"/>
  <c r="K3201" i="6"/>
  <c r="K3199" i="6"/>
  <c r="K3185" i="6"/>
  <c r="K3183" i="6"/>
  <c r="K3161" i="6"/>
  <c r="K3039" i="6"/>
  <c r="K3403" i="6"/>
  <c r="K3375" i="6"/>
  <c r="K3373" i="6"/>
  <c r="K3369" i="6"/>
  <c r="K3352" i="6"/>
  <c r="K3350" i="6"/>
  <c r="K3328" i="6"/>
  <c r="K3326" i="6"/>
  <c r="K3310" i="6"/>
  <c r="K3294" i="6"/>
  <c r="K3279" i="6"/>
  <c r="K3247" i="6"/>
  <c r="K3236" i="6"/>
  <c r="K3218" i="6"/>
  <c r="K3182" i="6"/>
  <c r="K3164" i="6"/>
  <c r="K5224" i="6"/>
  <c r="K5168" i="6"/>
  <c r="K3397" i="6"/>
  <c r="K3390" i="6"/>
  <c r="K3356" i="6"/>
  <c r="K3354" i="6"/>
  <c r="K3341" i="6"/>
  <c r="K3318" i="6"/>
  <c r="K3286" i="6"/>
  <c r="K3272" i="6"/>
  <c r="K3258" i="6"/>
  <c r="K3254" i="6"/>
  <c r="K3221" i="6"/>
  <c r="K3193" i="6"/>
  <c r="K3191" i="6"/>
  <c r="K3158" i="6"/>
  <c r="K3395" i="6"/>
  <c r="K3391" i="6"/>
  <c r="K3389" i="6"/>
  <c r="K3353" i="6"/>
  <c r="K3336" i="6"/>
  <c r="K3334" i="6"/>
  <c r="K3325" i="6"/>
  <c r="K3319" i="6"/>
  <c r="K3302" i="6"/>
  <c r="K3300" i="6"/>
  <c r="K3285" i="6"/>
  <c r="K3283" i="6"/>
  <c r="K3270" i="6"/>
  <c r="K3265" i="6"/>
  <c r="K3253" i="6"/>
  <c r="K3251" i="6"/>
  <c r="K3209" i="6"/>
  <c r="K3207" i="6"/>
  <c r="K3181" i="6"/>
  <c r="K3156" i="6"/>
  <c r="K6074" i="6"/>
  <c r="K3399" i="6"/>
  <c r="K3386" i="6"/>
  <c r="K3364" i="6"/>
  <c r="K3360" i="6"/>
  <c r="K3339" i="6"/>
  <c r="K3335" i="6"/>
  <c r="K3331" i="6"/>
  <c r="K3327" i="6"/>
  <c r="K3314" i="6"/>
  <c r="K3301" i="6"/>
  <c r="K3297" i="6"/>
  <c r="K3293" i="6"/>
  <c r="K3288" i="6"/>
  <c r="K3261" i="6"/>
  <c r="K3256" i="6"/>
  <c r="K3234" i="6"/>
  <c r="K3217" i="6"/>
  <c r="K3213" i="6"/>
  <c r="K3160" i="6"/>
  <c r="K3152" i="6"/>
  <c r="K6073" i="6"/>
  <c r="K3372" i="6"/>
  <c r="K3368" i="6"/>
  <c r="M3368" i="6"/>
  <c r="K3355" i="6"/>
  <c r="K3347" i="6"/>
  <c r="K3343" i="6"/>
  <c r="K3292" i="6"/>
  <c r="K3274" i="6"/>
  <c r="K3260" i="6"/>
  <c r="K3238" i="6"/>
  <c r="K3212" i="6"/>
  <c r="K3204" i="6"/>
  <c r="K3188" i="6"/>
  <c r="K3184" i="6"/>
  <c r="K3168" i="6"/>
  <c r="K3147" i="6"/>
  <c r="K3143" i="6"/>
  <c r="K3406" i="6"/>
  <c r="K3402" i="6"/>
  <c r="K3394" i="6"/>
  <c r="K3376" i="6"/>
  <c r="K3363" i="6"/>
  <c r="K3359" i="6"/>
  <c r="K3304" i="6"/>
  <c r="K3296" i="6"/>
  <c r="K3278" i="6"/>
  <c r="K3269" i="6"/>
  <c r="K3264" i="6"/>
  <c r="K3233" i="6"/>
  <c r="K3229" i="6"/>
  <c r="K3220" i="6"/>
  <c r="K3216" i="6"/>
  <c r="K3159" i="6"/>
  <c r="K3155" i="6"/>
  <c r="K3151" i="6"/>
  <c r="K3351" i="6"/>
  <c r="K3305" i="6"/>
  <c r="K3225" i="6"/>
  <c r="K3208" i="6"/>
  <c r="K3200" i="6"/>
  <c r="K3196" i="6"/>
  <c r="K3192" i="6"/>
  <c r="K3180" i="6"/>
  <c r="K3176" i="6"/>
  <c r="K3172" i="6"/>
  <c r="K3384" i="6"/>
  <c r="K3380" i="6"/>
  <c r="K3371" i="6"/>
  <c r="K3367" i="6"/>
  <c r="K3317" i="6"/>
  <c r="K3312" i="6"/>
  <c r="K3308" i="6"/>
  <c r="K3282" i="6"/>
  <c r="K3273" i="6"/>
  <c r="K3268" i="6"/>
  <c r="K3250" i="6"/>
  <c r="K3241" i="6"/>
  <c r="K3237" i="6"/>
  <c r="K3228" i="6"/>
  <c r="K3224" i="6"/>
  <c r="K3179" i="6"/>
  <c r="K3175" i="6"/>
  <c r="K3171" i="6"/>
  <c r="K3167" i="6"/>
  <c r="K3163" i="6"/>
  <c r="K3392" i="6"/>
  <c r="K3383" i="6"/>
  <c r="K3379" i="6"/>
  <c r="K3324" i="6"/>
  <c r="K3320" i="6"/>
  <c r="K3281" i="6"/>
  <c r="K3276" i="6"/>
  <c r="K3249" i="6"/>
  <c r="K3244" i="6"/>
  <c r="K3240" i="6"/>
  <c r="K3210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K6536" i="6"/>
  <c r="L6432" i="6"/>
  <c r="K6432" i="6"/>
  <c r="M6420" i="6"/>
  <c r="K6388" i="6"/>
  <c r="L6388" i="6"/>
  <c r="M6388" i="6"/>
  <c r="N6343" i="6"/>
  <c r="K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K6303" i="6"/>
  <c r="L6303" i="6"/>
  <c r="N6301" i="6"/>
  <c r="K6283" i="6"/>
  <c r="K6259" i="6"/>
  <c r="M6257" i="6"/>
  <c r="N6257" i="6"/>
  <c r="K6255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L6539" i="6"/>
  <c r="M6539" i="6"/>
  <c r="M6536" i="6"/>
  <c r="L6441" i="6"/>
  <c r="K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K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L6771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K613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K6204" i="6"/>
  <c r="L6195" i="6"/>
  <c r="K6195" i="6"/>
  <c r="M6102" i="6"/>
  <c r="L6090" i="6"/>
  <c r="K6628" i="6"/>
  <c r="K6556" i="6"/>
  <c r="K6484" i="6"/>
  <c r="K6392" i="6"/>
  <c r="K6341" i="6"/>
  <c r="K6333" i="6"/>
  <c r="K6120" i="6"/>
  <c r="K6604" i="6"/>
  <c r="K6353" i="6"/>
  <c r="K6331" i="6"/>
  <c r="K6293" i="6"/>
  <c r="K6223" i="6"/>
  <c r="N4755" i="6"/>
  <c r="N6673" i="6"/>
  <c r="N6604" i="6"/>
  <c r="M6565" i="6"/>
  <c r="K6251" i="6"/>
  <c r="K6187" i="6"/>
  <c r="K6151" i="6"/>
  <c r="K6110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K4176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K4628" i="6"/>
  <c r="M4628" i="6"/>
  <c r="K4210" i="6"/>
  <c r="M4210" i="6"/>
  <c r="N3884" i="6"/>
  <c r="K3736" i="6"/>
  <c r="K3703" i="6"/>
  <c r="M3703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K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K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K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K6520" i="6"/>
  <c r="L6520" i="6"/>
  <c r="M6520" i="6"/>
  <c r="N6511" i="6"/>
  <c r="M6511" i="6"/>
  <c r="L6511" i="6"/>
  <c r="N6499" i="6"/>
  <c r="L6499" i="6"/>
  <c r="M6499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K6236" i="6"/>
  <c r="M6236" i="6"/>
  <c r="N6236" i="6"/>
  <c r="K6148" i="6"/>
  <c r="M6148" i="6"/>
  <c r="N6148" i="6"/>
  <c r="N6567" i="6"/>
  <c r="M6567" i="6"/>
  <c r="L6553" i="6"/>
  <c r="K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K6175" i="6"/>
  <c r="L6175" i="6"/>
  <c r="M6175" i="6"/>
  <c r="L6171" i="6"/>
  <c r="K6171" i="6"/>
  <c r="M6167" i="6"/>
  <c r="N6150" i="6"/>
  <c r="K6150" i="6"/>
  <c r="M6150" i="6"/>
  <c r="L6147" i="6"/>
  <c r="K6147" i="6"/>
  <c r="M6147" i="6"/>
  <c r="K6128" i="6"/>
  <c r="M6128" i="6"/>
  <c r="N6128" i="6"/>
  <c r="N6126" i="6"/>
  <c r="L6126" i="6"/>
  <c r="K6126" i="6"/>
  <c r="K6107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N6415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K4085" i="6"/>
  <c r="M4085" i="6"/>
  <c r="K4077" i="6"/>
  <c r="M4077" i="6"/>
  <c r="K4065" i="6"/>
  <c r="M4065" i="6"/>
  <c r="K4064" i="6"/>
  <c r="M4064" i="6"/>
  <c r="K3783" i="6"/>
  <c r="K3771" i="6"/>
  <c r="M3771" i="6"/>
  <c r="N3633" i="6"/>
  <c r="N3593" i="6"/>
  <c r="K3407" i="6"/>
  <c r="M3407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K4166" i="6"/>
  <c r="M4166" i="6"/>
  <c r="K415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1" i="6"/>
  <c r="M3621" i="6"/>
  <c r="K3620" i="6"/>
  <c r="M3620" i="6"/>
  <c r="N3494" i="6"/>
  <c r="N3233" i="6"/>
  <c r="N3171" i="6"/>
  <c r="K3095" i="6"/>
  <c r="M3095" i="6"/>
  <c r="K3076" i="6"/>
  <c r="M3076" i="6"/>
  <c r="N6024" i="6"/>
  <c r="N5763" i="6"/>
  <c r="N5555" i="6"/>
  <c r="N5229" i="6"/>
  <c r="M5212" i="6"/>
  <c r="M3039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K3536" i="6"/>
  <c r="M3536" i="6"/>
  <c r="K3531" i="6"/>
  <c r="M3531" i="6"/>
  <c r="K3523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K3683" i="6"/>
  <c r="M3683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53" i="6"/>
  <c r="K4045" i="6"/>
  <c r="M4045" i="6"/>
  <c r="K4010" i="6"/>
  <c r="M4010" i="6"/>
  <c r="K3996" i="6"/>
  <c r="M3996" i="6"/>
  <c r="K3938" i="6"/>
  <c r="N3856" i="6"/>
  <c r="K3730" i="6"/>
  <c r="M3730" i="6"/>
  <c r="K366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4145" i="6"/>
  <c r="M4145" i="6"/>
  <c r="K4115" i="6"/>
  <c r="K3807" i="6"/>
  <c r="M3807" i="6"/>
  <c r="K3500" i="6"/>
  <c r="M3500" i="6"/>
  <c r="M3383" i="6"/>
  <c r="N3278" i="6"/>
  <c r="M3273" i="6"/>
  <c r="N3111" i="6"/>
  <c r="N5221" i="6"/>
  <c r="N3900" i="6"/>
  <c r="K3491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K3119" i="6"/>
  <c r="M3119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K4190" i="6"/>
  <c r="M4190" i="6"/>
  <c r="N4149" i="6"/>
  <c r="L4138" i="6"/>
  <c r="N4138" i="6"/>
  <c r="K4138" i="6"/>
  <c r="M4138" i="6"/>
  <c r="K4092" i="6"/>
  <c r="M4092" i="6"/>
  <c r="L4092" i="6"/>
  <c r="N4092" i="6"/>
  <c r="L4041" i="6"/>
  <c r="N4041" i="6"/>
  <c r="K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K3712" i="6"/>
  <c r="M3712" i="6"/>
  <c r="L3559" i="6"/>
  <c r="N3559" i="6"/>
  <c r="K3559" i="6"/>
  <c r="M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K3743" i="6"/>
  <c r="M3743" i="6"/>
  <c r="L3715" i="6"/>
  <c r="N3715" i="6"/>
  <c r="K3715" i="6"/>
  <c r="M3715" i="6"/>
  <c r="L3509" i="6"/>
  <c r="K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K3990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K358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K3511" i="6"/>
  <c r="M3511" i="6"/>
  <c r="K3508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K3051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K34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K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K4132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K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K3675" i="6"/>
  <c r="M3675" i="6"/>
  <c r="L3675" i="6"/>
  <c r="N3675" i="6"/>
  <c r="N3534" i="6"/>
  <c r="L3496" i="6"/>
  <c r="K3496" i="6"/>
  <c r="M3496" i="6"/>
  <c r="K345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K4018" i="6"/>
  <c r="M4018" i="6"/>
  <c r="K399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K3954" i="6"/>
  <c r="M3954" i="6"/>
  <c r="K3767" i="6"/>
  <c r="M3767" i="6"/>
  <c r="K368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K400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K3725" i="6"/>
  <c r="M3725" i="6"/>
  <c r="K3724" i="6"/>
  <c r="M3724" i="6"/>
  <c r="K3696" i="6"/>
  <c r="M3696" i="6"/>
  <c r="K3691" i="6"/>
  <c r="M3691" i="6"/>
  <c r="K3644" i="6"/>
  <c r="M3644" i="6"/>
  <c r="K3628" i="6"/>
  <c r="M3628" i="6"/>
  <c r="K3611" i="6"/>
  <c r="M3611" i="6"/>
  <c r="K3609" i="6"/>
  <c r="M3609" i="6"/>
  <c r="K3608" i="6"/>
  <c r="N3555" i="6"/>
  <c r="K3545" i="6"/>
  <c r="M3545" i="6"/>
  <c r="K3544" i="6"/>
  <c r="M3544" i="6"/>
  <c r="K3532" i="6"/>
  <c r="M3532" i="6"/>
  <c r="K3515" i="6"/>
  <c r="M3515" i="6"/>
  <c r="N3462" i="6"/>
  <c r="K3452" i="6"/>
  <c r="M3452" i="6"/>
  <c r="K343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K4101" i="6"/>
  <c r="M4101" i="6"/>
  <c r="L4101" i="6"/>
  <c r="N4101" i="6"/>
  <c r="L4076" i="6"/>
  <c r="N4076" i="6"/>
  <c r="K4076" i="6"/>
  <c r="M4076" i="6"/>
  <c r="K4040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K3431" i="6"/>
  <c r="M3431" i="6"/>
  <c r="L3431" i="6"/>
  <c r="N3431" i="6"/>
  <c r="K3428" i="6"/>
  <c r="M3428" i="6"/>
  <c r="L3428" i="6"/>
  <c r="N3428" i="6"/>
  <c r="K3411" i="6"/>
  <c r="M3411" i="6"/>
  <c r="L3411" i="6"/>
  <c r="N3411" i="6"/>
  <c r="K3088" i="6"/>
  <c r="M3088" i="6"/>
  <c r="L3088" i="6"/>
  <c r="N3088" i="6"/>
  <c r="L3044" i="6"/>
  <c r="N3044" i="6"/>
  <c r="K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K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K3779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L4105" i="6"/>
  <c r="N4105" i="6"/>
  <c r="K4105" i="6"/>
  <c r="M4105" i="6"/>
  <c r="N3896" i="6"/>
  <c r="K3886" i="6"/>
  <c r="M3886" i="6"/>
  <c r="L3886" i="6"/>
  <c r="N3886" i="6"/>
  <c r="L3859" i="6"/>
  <c r="N3859" i="6"/>
  <c r="K3859" i="6"/>
  <c r="M3859" i="6"/>
  <c r="L3688" i="6"/>
  <c r="N3688" i="6"/>
  <c r="K3688" i="6"/>
  <c r="M3688" i="6"/>
  <c r="L3676" i="6"/>
  <c r="N3676" i="6"/>
  <c r="K3676" i="6"/>
  <c r="M3676" i="6"/>
  <c r="N3649" i="6"/>
  <c r="K3643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K3759" i="6"/>
  <c r="M3759" i="6"/>
  <c r="K3735" i="6"/>
  <c r="M3735" i="6"/>
  <c r="K3723" i="6"/>
  <c r="M3723" i="6"/>
  <c r="K3721" i="6"/>
  <c r="M3721" i="6"/>
  <c r="K3720" i="6"/>
  <c r="M3720" i="6"/>
  <c r="K3695" i="6"/>
  <c r="M3695" i="6"/>
  <c r="K3692" i="6"/>
  <c r="M3692" i="6"/>
  <c r="K3684" i="6"/>
  <c r="M3684" i="6"/>
  <c r="K3651" i="6"/>
  <c r="M3651" i="6"/>
  <c r="L3651" i="6"/>
  <c r="N3651" i="6"/>
  <c r="K3627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K3513" i="6"/>
  <c r="M3513" i="6"/>
  <c r="L3453" i="6"/>
  <c r="N3453" i="6"/>
  <c r="K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K4124" i="6"/>
  <c r="M4124" i="6"/>
  <c r="K410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K4017" i="6"/>
  <c r="M4017" i="6"/>
  <c r="L4010" i="6"/>
  <c r="N4010" i="6"/>
  <c r="K4009" i="6"/>
  <c r="M4009" i="6"/>
  <c r="K4000" i="6"/>
  <c r="M4000" i="6"/>
  <c r="K3992" i="6"/>
  <c r="M3992" i="6"/>
  <c r="K3984" i="6"/>
  <c r="M3984" i="6"/>
  <c r="K3957" i="6"/>
  <c r="M3957" i="6"/>
  <c r="K3920" i="6"/>
  <c r="M3920" i="6"/>
  <c r="K3917" i="6"/>
  <c r="M3917" i="6"/>
  <c r="K3860" i="6"/>
  <c r="M3860" i="6"/>
  <c r="N3767" i="6"/>
  <c r="K3763" i="6"/>
  <c r="M3763" i="6"/>
  <c r="K3717" i="6"/>
  <c r="M3717" i="6"/>
  <c r="L3656" i="6"/>
  <c r="N3656" i="6"/>
  <c r="K3656" i="6"/>
  <c r="M3656" i="6"/>
  <c r="K3635" i="6"/>
  <c r="M3635" i="6"/>
  <c r="L3635" i="6"/>
  <c r="N3635" i="6"/>
  <c r="L3616" i="6"/>
  <c r="N3616" i="6"/>
  <c r="K3616" i="6"/>
  <c r="M3616" i="6"/>
  <c r="L3575" i="6"/>
  <c r="N3575" i="6"/>
  <c r="K3575" i="6"/>
  <c r="M3575" i="6"/>
  <c r="K3549" i="6"/>
  <c r="M3549" i="6"/>
  <c r="L3549" i="6"/>
  <c r="N3549" i="6"/>
  <c r="K3495" i="6"/>
  <c r="M3495" i="6"/>
  <c r="L3495" i="6"/>
  <c r="N3495" i="6"/>
  <c r="L3489" i="6"/>
  <c r="N3489" i="6"/>
  <c r="K3489" i="6"/>
  <c r="M3489" i="6"/>
  <c r="L3419" i="6"/>
  <c r="N3419" i="6"/>
  <c r="K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K4149" i="6"/>
  <c r="M4149" i="6"/>
  <c r="K4140" i="6"/>
  <c r="M4140" i="6"/>
  <c r="K4137" i="6"/>
  <c r="M4137" i="6"/>
  <c r="K4136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K4056" i="6"/>
  <c r="M4056" i="6"/>
  <c r="L4045" i="6"/>
  <c r="N4045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73" i="6"/>
  <c r="M3973" i="6"/>
  <c r="K3965" i="6"/>
  <c r="M3965" i="6"/>
  <c r="K3958" i="6"/>
  <c r="M3958" i="6"/>
  <c r="K3944" i="6"/>
  <c r="M3944" i="6"/>
  <c r="N3931" i="6"/>
  <c r="K3918" i="6"/>
  <c r="M3918" i="6"/>
  <c r="K3910" i="6"/>
  <c r="M3910" i="6"/>
  <c r="K3906" i="6"/>
  <c r="M3906" i="6"/>
  <c r="K3894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K3659" i="6"/>
  <c r="M3659" i="6"/>
  <c r="L3659" i="6"/>
  <c r="N3659" i="6"/>
  <c r="L3640" i="6"/>
  <c r="N3640" i="6"/>
  <c r="K3640" i="6"/>
  <c r="M3640" i="6"/>
  <c r="L3619" i="6"/>
  <c r="N3619" i="6"/>
  <c r="K3619" i="6"/>
  <c r="M3619" i="6"/>
  <c r="K359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K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K3132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K3657" i="6"/>
  <c r="M3657" i="6"/>
  <c r="K3655" i="6"/>
  <c r="M3655" i="6"/>
  <c r="K3647" i="6"/>
  <c r="M3647" i="6"/>
  <c r="K3641" i="6"/>
  <c r="M3641" i="6"/>
  <c r="K3639" i="6"/>
  <c r="M3639" i="6"/>
  <c r="K3631" i="6"/>
  <c r="M3631" i="6"/>
  <c r="K3625" i="6"/>
  <c r="M3625" i="6"/>
  <c r="K3623" i="6"/>
  <c r="M3623" i="6"/>
  <c r="K3617" i="6"/>
  <c r="M3617" i="6"/>
  <c r="K3605" i="6"/>
  <c r="M3605" i="6"/>
  <c r="N3579" i="6"/>
  <c r="K3519" i="6"/>
  <c r="M3519" i="6"/>
  <c r="K3514" i="6"/>
  <c r="M3514" i="6"/>
  <c r="L3508" i="6"/>
  <c r="N3508" i="6"/>
  <c r="K3507" i="6"/>
  <c r="M3507" i="6"/>
  <c r="K3498" i="6"/>
  <c r="M3498" i="6"/>
  <c r="L3473" i="6"/>
  <c r="N3473" i="6"/>
  <c r="K3473" i="6"/>
  <c r="M3473" i="6"/>
  <c r="K3454" i="6"/>
  <c r="M3454" i="6"/>
  <c r="N3442" i="6"/>
  <c r="K3434" i="6"/>
  <c r="M3434" i="6"/>
  <c r="L3417" i="6"/>
  <c r="N3417" i="6"/>
  <c r="K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K3583" i="6"/>
  <c r="M3583" i="6"/>
  <c r="K3551" i="6"/>
  <c r="M3551" i="6"/>
  <c r="K3543" i="6"/>
  <c r="M3543" i="6"/>
  <c r="K3541" i="6"/>
  <c r="M3541" i="6"/>
  <c r="K3540" i="6"/>
  <c r="M3540" i="6"/>
  <c r="K3535" i="6"/>
  <c r="M3535" i="6"/>
  <c r="L3532" i="6"/>
  <c r="N3532" i="6"/>
  <c r="K3520" i="6"/>
  <c r="M3520" i="6"/>
  <c r="K3516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K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K3048" i="6"/>
  <c r="M3048" i="6"/>
  <c r="K3043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K3685" i="6"/>
  <c r="M3685" i="6"/>
  <c r="L3685" i="6"/>
  <c r="N368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K3937" i="6"/>
  <c r="M3937" i="6"/>
  <c r="L3937" i="6"/>
  <c r="N3937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K4069" i="6"/>
  <c r="M4069" i="6"/>
  <c r="K3940" i="6"/>
  <c r="M3940" i="6"/>
  <c r="K3929" i="6"/>
  <c r="M3929" i="6"/>
  <c r="L3929" i="6"/>
  <c r="N3929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K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K4133" i="6"/>
  <c r="M4133" i="6"/>
  <c r="L4093" i="6"/>
  <c r="N4093" i="6"/>
  <c r="K4093" i="6"/>
  <c r="M4093" i="6"/>
  <c r="L4073" i="6"/>
  <c r="N4073" i="6"/>
  <c r="K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K4141" i="6"/>
  <c r="M4141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97" i="6"/>
  <c r="N4097" i="6"/>
  <c r="K4097" i="6"/>
  <c r="M4097" i="6"/>
  <c r="L4060" i="6"/>
  <c r="N4060" i="6"/>
  <c r="K4060" i="6"/>
  <c r="M4060" i="6"/>
  <c r="L4038" i="6"/>
  <c r="N4038" i="6"/>
  <c r="K4038" i="6"/>
  <c r="M4038" i="6"/>
  <c r="N4035" i="6"/>
  <c r="N4027" i="6"/>
  <c r="K3953" i="6"/>
  <c r="M3953" i="6"/>
  <c r="L3953" i="6"/>
  <c r="N3953" i="6"/>
  <c r="L3607" i="6"/>
  <c r="N3607" i="6"/>
  <c r="K3607" i="6"/>
  <c r="M3607" i="6"/>
  <c r="L3525" i="6"/>
  <c r="N3525" i="6"/>
  <c r="K3525" i="6"/>
  <c r="M3525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K3952" i="6"/>
  <c r="M3952" i="6"/>
  <c r="K3941" i="6"/>
  <c r="M3941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K3677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K3410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K3125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K4147" i="6"/>
  <c r="M4147" i="6"/>
  <c r="K4111" i="6"/>
  <c r="M4111" i="6"/>
  <c r="N4089" i="6"/>
  <c r="K4037" i="6"/>
  <c r="M4037" i="6"/>
  <c r="N4031" i="6"/>
  <c r="N4030" i="6"/>
  <c r="K4021" i="6"/>
  <c r="M4021" i="6"/>
  <c r="N4015" i="6"/>
  <c r="K4005" i="6"/>
  <c r="M400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K3697" i="6"/>
  <c r="M3697" i="6"/>
  <c r="L3697" i="6"/>
  <c r="N3697" i="6"/>
  <c r="K3681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K3933" i="6"/>
  <c r="M3933" i="6"/>
  <c r="K3925" i="6"/>
  <c r="M3925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K3653" i="6"/>
  <c r="M3653" i="6"/>
  <c r="K3637" i="6"/>
  <c r="M3637" i="6"/>
  <c r="N3611" i="6"/>
  <c r="N3603" i="6"/>
  <c r="K3526" i="6"/>
  <c r="M3526" i="6"/>
  <c r="N3452" i="6"/>
  <c r="K342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33" i="6"/>
  <c r="M4033" i="6"/>
  <c r="K4029" i="6"/>
  <c r="M4029" i="6"/>
  <c r="K4025" i="6"/>
  <c r="M4025" i="6"/>
  <c r="K4020" i="6"/>
  <c r="M4020" i="6"/>
  <c r="L4017" i="6"/>
  <c r="N4017" i="6"/>
  <c r="K4016" i="6"/>
  <c r="M4016" i="6"/>
  <c r="L4013" i="6"/>
  <c r="N4013" i="6"/>
  <c r="K4012" i="6"/>
  <c r="M4012" i="6"/>
  <c r="L4009" i="6"/>
  <c r="N4009" i="6"/>
  <c r="N4007" i="6"/>
  <c r="K4001" i="6"/>
  <c r="M4001" i="6"/>
  <c r="K3997" i="6"/>
  <c r="M3997" i="6"/>
  <c r="K3993" i="6"/>
  <c r="M3993" i="6"/>
  <c r="K3989" i="6"/>
  <c r="M3989" i="6"/>
  <c r="K3985" i="6"/>
  <c r="M3985" i="6"/>
  <c r="K3981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K3921" i="6"/>
  <c r="M3921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K3719" i="6"/>
  <c r="M3719" i="6"/>
  <c r="K3711" i="6"/>
  <c r="M3711" i="6"/>
  <c r="K3665" i="6"/>
  <c r="M3665" i="6"/>
  <c r="N3665" i="6"/>
  <c r="K3664" i="6"/>
  <c r="M3664" i="6"/>
  <c r="L3657" i="6"/>
  <c r="N3657" i="6"/>
  <c r="N3655" i="6"/>
  <c r="K3649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K3600" i="6"/>
  <c r="M3600" i="6"/>
  <c r="K3597" i="6"/>
  <c r="M3597" i="6"/>
  <c r="K3596" i="6"/>
  <c r="M3596" i="6"/>
  <c r="K3593" i="6"/>
  <c r="M3593" i="6"/>
  <c r="K3592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K3457" i="6"/>
  <c r="M3457" i="6"/>
  <c r="K3442" i="6"/>
  <c r="M3442" i="6"/>
  <c r="K3441" i="6"/>
  <c r="M3441" i="6"/>
  <c r="K3439" i="6"/>
  <c r="M3439" i="6"/>
  <c r="N3436" i="6"/>
  <c r="N3432" i="6"/>
  <c r="K3430" i="6"/>
  <c r="M3430" i="6"/>
  <c r="K3429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K3486" i="6"/>
  <c r="M3486" i="6"/>
  <c r="K3485" i="6"/>
  <c r="M3485" i="6"/>
  <c r="K3470" i="6"/>
  <c r="M3470" i="6"/>
  <c r="K3469" i="6"/>
  <c r="M3469" i="6"/>
  <c r="L3466" i="6"/>
  <c r="N3466" i="6"/>
  <c r="K3462" i="6"/>
  <c r="M3462" i="6"/>
  <c r="K3461" i="6"/>
  <c r="M3461" i="6"/>
  <c r="L3454" i="6"/>
  <c r="N3454" i="6"/>
  <c r="K3450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K3945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K3669" i="6"/>
  <c r="M3669" i="6"/>
  <c r="K3668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K3581" i="6"/>
  <c r="M3581" i="6"/>
  <c r="K3580" i="6"/>
  <c r="M3580" i="6"/>
  <c r="K3577" i="6"/>
  <c r="M3577" i="6"/>
  <c r="K3576" i="6"/>
  <c r="M3576" i="6"/>
  <c r="K3573" i="6"/>
  <c r="M3573" i="6"/>
  <c r="K3572" i="6"/>
  <c r="M3572" i="6"/>
  <c r="K3569" i="6"/>
  <c r="M3569" i="6"/>
  <c r="K3568" i="6"/>
  <c r="M3568" i="6"/>
  <c r="K3565" i="6"/>
  <c r="M3565" i="6"/>
  <c r="K3564" i="6"/>
  <c r="M3564" i="6"/>
  <c r="K3561" i="6"/>
  <c r="M3561" i="6"/>
  <c r="K3560" i="6"/>
  <c r="M3560" i="6"/>
  <c r="K3557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K3112" i="6"/>
  <c r="M3112" i="6"/>
  <c r="K3109" i="6"/>
  <c r="M3109" i="6"/>
  <c r="K3108" i="6"/>
  <c r="M3108" i="6"/>
  <c r="K3105" i="6"/>
  <c r="M3105" i="6"/>
  <c r="K3104" i="6"/>
  <c r="M3104" i="6"/>
  <c r="K3101" i="6"/>
  <c r="M3101" i="6"/>
  <c r="K3100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K3913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K3999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K3983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K3901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K3869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3" i="6"/>
  <c r="M3" i="6" s="1"/>
  <c r="M52" i="6"/>
  <c r="M153" i="6"/>
  <c r="K217" i="6"/>
  <c r="M217" i="6" s="1"/>
  <c r="K269" i="6"/>
  <c r="M269" i="6" s="1"/>
  <c r="K277" i="6"/>
  <c r="M277" i="6" s="1"/>
  <c r="K285" i="6"/>
  <c r="M285" i="6" s="1"/>
  <c r="K293" i="6"/>
  <c r="M293" i="6" s="1"/>
  <c r="K301" i="6"/>
  <c r="M301" i="6" s="1"/>
  <c r="K313" i="6"/>
  <c r="M313" i="6" s="1"/>
  <c r="K321" i="6"/>
  <c r="M321" i="6" s="1"/>
  <c r="K329" i="6"/>
  <c r="M329" i="6" s="1"/>
  <c r="K337" i="6"/>
  <c r="M337" i="6" s="1"/>
  <c r="K349" i="6"/>
  <c r="M349" i="6" s="1"/>
  <c r="K353" i="6"/>
  <c r="M353" i="6" s="1"/>
  <c r="K365" i="6"/>
  <c r="M365" i="6" s="1"/>
  <c r="K373" i="6"/>
  <c r="M373" i="6" s="1"/>
  <c r="K377" i="6"/>
  <c r="M377" i="6" s="1"/>
  <c r="K389" i="6"/>
  <c r="M389" i="6" s="1"/>
  <c r="K397" i="6"/>
  <c r="M397" i="6" s="1"/>
  <c r="K405" i="6"/>
  <c r="M405" i="6" s="1"/>
  <c r="K409" i="6"/>
  <c r="M409" i="6" s="1"/>
  <c r="K417" i="6"/>
  <c r="M417" i="6" s="1"/>
  <c r="K425" i="6"/>
  <c r="M425" i="6" s="1"/>
  <c r="K437" i="6"/>
  <c r="M437" i="6" s="1"/>
  <c r="K440" i="6"/>
  <c r="K441" i="6"/>
  <c r="M441" i="6" s="1"/>
  <c r="K444" i="6"/>
  <c r="K445" i="6"/>
  <c r="M445" i="6" s="1"/>
  <c r="K448" i="6"/>
  <c r="K452" i="6"/>
  <c r="M453" i="6"/>
  <c r="K456" i="6"/>
  <c r="K457" i="6"/>
  <c r="M457" i="6" s="1"/>
  <c r="K460" i="6"/>
  <c r="K461" i="6"/>
  <c r="M461" i="6" s="1"/>
  <c r="K464" i="6"/>
  <c r="K468" i="6"/>
  <c r="M469" i="6"/>
  <c r="K472" i="6"/>
  <c r="K473" i="6"/>
  <c r="M473" i="6" s="1"/>
  <c r="K476" i="6"/>
  <c r="K477" i="6"/>
  <c r="M477" i="6" s="1"/>
  <c r="K480" i="6"/>
  <c r="M480" i="6" s="1"/>
  <c r="K484" i="6"/>
  <c r="M484" i="6" s="1"/>
  <c r="M485" i="6"/>
  <c r="K488" i="6"/>
  <c r="M488" i="6" s="1"/>
  <c r="K489" i="6"/>
  <c r="M489" i="6" s="1"/>
  <c r="K492" i="6"/>
  <c r="K493" i="6"/>
  <c r="M493" i="6" s="1"/>
  <c r="K496" i="6"/>
  <c r="K500" i="6"/>
  <c r="M501" i="6"/>
  <c r="K504" i="6"/>
  <c r="K505" i="6"/>
  <c r="M505" i="6" s="1"/>
  <c r="K508" i="6"/>
  <c r="K509" i="6"/>
  <c r="M509" i="6" s="1"/>
  <c r="K512" i="6"/>
  <c r="K516" i="6"/>
  <c r="M517" i="6"/>
  <c r="K520" i="6"/>
  <c r="K521" i="6"/>
  <c r="M521" i="6" s="1"/>
  <c r="K524" i="6"/>
  <c r="K525" i="6"/>
  <c r="M525" i="6" s="1"/>
  <c r="K528" i="6"/>
  <c r="K532" i="6"/>
  <c r="M533" i="6"/>
  <c r="K536" i="6"/>
  <c r="K537" i="6"/>
  <c r="M537" i="6" s="1"/>
  <c r="K540" i="6"/>
  <c r="K541" i="6"/>
  <c r="M541" i="6" s="1"/>
  <c r="K544" i="6"/>
  <c r="K548" i="6"/>
  <c r="M549" i="6"/>
  <c r="K552" i="6"/>
  <c r="K553" i="6"/>
  <c r="M553" i="6" s="1"/>
  <c r="K556" i="6"/>
  <c r="K557" i="6"/>
  <c r="M557" i="6" s="1"/>
  <c r="K560" i="6"/>
  <c r="K564" i="6"/>
  <c r="M565" i="6"/>
  <c r="K568" i="6"/>
  <c r="K569" i="6"/>
  <c r="M569" i="6" s="1"/>
  <c r="K572" i="6"/>
  <c r="K573" i="6"/>
  <c r="M573" i="6" s="1"/>
  <c r="K576" i="6"/>
  <c r="K580" i="6"/>
  <c r="K584" i="6"/>
  <c r="K588" i="6"/>
  <c r="K592" i="6"/>
  <c r="K596" i="6"/>
  <c r="K600" i="6"/>
  <c r="K604" i="6"/>
  <c r="K608" i="6"/>
  <c r="K612" i="6"/>
  <c r="M612" i="6" s="1"/>
  <c r="K613" i="6"/>
  <c r="M613" i="6" s="1"/>
  <c r="K616" i="6"/>
  <c r="K617" i="6"/>
  <c r="M617" i="6" s="1"/>
  <c r="K620" i="6"/>
  <c r="K624" i="6"/>
  <c r="K628" i="6"/>
  <c r="M628" i="6" s="1"/>
  <c r="K629" i="6"/>
  <c r="M629" i="6" s="1"/>
  <c r="K632" i="6"/>
  <c r="M632" i="6" s="1"/>
  <c r="K633" i="6"/>
  <c r="M633" i="6" s="1"/>
  <c r="K636" i="6"/>
  <c r="M636" i="6"/>
  <c r="K640" i="6"/>
  <c r="M640" i="6" s="1"/>
  <c r="K644" i="6"/>
  <c r="K648" i="6"/>
  <c r="M648" i="6" s="1"/>
  <c r="K652" i="6"/>
  <c r="M652" i="6"/>
  <c r="K653" i="6"/>
  <c r="M653" i="6" s="1"/>
  <c r="K656" i="6"/>
  <c r="M656" i="6" s="1"/>
  <c r="K657" i="6"/>
  <c r="M657" i="6" s="1"/>
  <c r="K660" i="6"/>
  <c r="M660" i="6" s="1"/>
  <c r="K661" i="6"/>
  <c r="M661" i="6" s="1"/>
  <c r="K664" i="6"/>
  <c r="K668" i="6"/>
  <c r="K672" i="6"/>
  <c r="K676" i="6"/>
  <c r="K679" i="6"/>
  <c r="M679" i="6" s="1"/>
  <c r="K680" i="6"/>
  <c r="K681" i="6"/>
  <c r="M681" i="6" s="1"/>
  <c r="K684" i="6"/>
  <c r="K685" i="6"/>
  <c r="M685" i="6" s="1"/>
  <c r="K688" i="6"/>
  <c r="K689" i="6"/>
  <c r="M689" i="6" s="1"/>
  <c r="K692" i="6"/>
  <c r="K693" i="6"/>
  <c r="M693" i="6"/>
  <c r="K694" i="6"/>
  <c r="M694" i="6"/>
  <c r="K695" i="6"/>
  <c r="M695" i="6"/>
  <c r="K696" i="6"/>
  <c r="M696" i="6"/>
  <c r="K697" i="6"/>
  <c r="M697" i="6"/>
  <c r="K698" i="6"/>
  <c r="M698" i="6"/>
  <c r="K699" i="6"/>
  <c r="M699" i="6"/>
  <c r="K700" i="6"/>
  <c r="M700" i="6"/>
  <c r="K701" i="6"/>
  <c r="M701" i="6"/>
  <c r="K702" i="6"/>
  <c r="M702" i="6"/>
  <c r="K703" i="6"/>
  <c r="M703" i="6"/>
  <c r="K704" i="6"/>
  <c r="M704" i="6"/>
  <c r="K705" i="6"/>
  <c r="M705" i="6"/>
  <c r="K706" i="6"/>
  <c r="M706" i="6"/>
  <c r="K707" i="6"/>
  <c r="M707" i="6"/>
  <c r="K708" i="6"/>
  <c r="M708" i="6"/>
  <c r="K709" i="6"/>
  <c r="M709" i="6"/>
  <c r="K710" i="6"/>
  <c r="M710" i="6"/>
  <c r="K711" i="6"/>
  <c r="M711" i="6"/>
  <c r="K712" i="6"/>
  <c r="M712" i="6"/>
  <c r="K713" i="6"/>
  <c r="M713" i="6"/>
  <c r="K714" i="6"/>
  <c r="M714" i="6"/>
  <c r="K715" i="6"/>
  <c r="M715" i="6"/>
  <c r="K716" i="6"/>
  <c r="M716" i="6"/>
  <c r="K717" i="6"/>
  <c r="M717" i="6"/>
  <c r="K718" i="6"/>
  <c r="M718" i="6"/>
  <c r="K719" i="6"/>
  <c r="M719" i="6"/>
  <c r="K720" i="6"/>
  <c r="M720" i="6"/>
  <c r="K721" i="6"/>
  <c r="M721" i="6"/>
  <c r="K722" i="6"/>
  <c r="M722" i="6"/>
  <c r="K723" i="6"/>
  <c r="M723" i="6"/>
  <c r="K724" i="6"/>
  <c r="M724" i="6"/>
  <c r="K725" i="6"/>
  <c r="M725" i="6"/>
  <c r="K726" i="6"/>
  <c r="M726" i="6"/>
  <c r="K727" i="6"/>
  <c r="M727" i="6"/>
  <c r="K728" i="6"/>
  <c r="M728" i="6"/>
  <c r="K729" i="6"/>
  <c r="M729" i="6"/>
  <c r="K730" i="6"/>
  <c r="M730" i="6"/>
  <c r="K731" i="6"/>
  <c r="M731" i="6"/>
  <c r="K732" i="6"/>
  <c r="M732" i="6"/>
  <c r="K733" i="6"/>
  <c r="M733" i="6"/>
  <c r="K734" i="6"/>
  <c r="M734" i="6"/>
  <c r="K735" i="6"/>
  <c r="M735" i="6"/>
  <c r="K736" i="6"/>
  <c r="M736" i="6"/>
  <c r="K737" i="6"/>
  <c r="M737" i="6"/>
  <c r="K738" i="6"/>
  <c r="M738" i="6"/>
  <c r="K739" i="6"/>
  <c r="M739" i="6"/>
  <c r="K740" i="6"/>
  <c r="M740" i="6"/>
  <c r="K741" i="6"/>
  <c r="M741" i="6"/>
  <c r="K742" i="6"/>
  <c r="M742" i="6"/>
  <c r="K743" i="6"/>
  <c r="M743" i="6"/>
  <c r="K744" i="6"/>
  <c r="M744" i="6"/>
  <c r="K745" i="6"/>
  <c r="M745" i="6"/>
  <c r="K746" i="6"/>
  <c r="M746" i="6"/>
  <c r="K747" i="6"/>
  <c r="M747" i="6"/>
  <c r="K748" i="6"/>
  <c r="M748" i="6"/>
  <c r="K749" i="6"/>
  <c r="M749" i="6"/>
  <c r="K750" i="6"/>
  <c r="M750" i="6"/>
  <c r="K751" i="6"/>
  <c r="M751" i="6"/>
  <c r="K752" i="6"/>
  <c r="M752" i="6"/>
  <c r="K753" i="6"/>
  <c r="M753" i="6"/>
  <c r="K754" i="6"/>
  <c r="M754" i="6"/>
  <c r="K755" i="6"/>
  <c r="M755" i="6"/>
  <c r="K756" i="6"/>
  <c r="M756" i="6"/>
  <c r="K757" i="6"/>
  <c r="M757" i="6"/>
  <c r="K758" i="6"/>
  <c r="M758" i="6"/>
  <c r="K759" i="6"/>
  <c r="M759" i="6"/>
  <c r="K760" i="6"/>
  <c r="M760" i="6"/>
  <c r="K761" i="6"/>
  <c r="M761" i="6"/>
  <c r="K762" i="6"/>
  <c r="M762" i="6"/>
  <c r="K763" i="6"/>
  <c r="M763" i="6"/>
  <c r="K764" i="6"/>
  <c r="M764" i="6"/>
  <c r="K765" i="6"/>
  <c r="M765" i="6"/>
  <c r="K766" i="6"/>
  <c r="M766" i="6"/>
  <c r="K767" i="6"/>
  <c r="M767" i="6"/>
  <c r="K768" i="6"/>
  <c r="M768" i="6"/>
  <c r="K769" i="6"/>
  <c r="M769" i="6"/>
  <c r="K770" i="6"/>
  <c r="M770" i="6"/>
  <c r="K771" i="6"/>
  <c r="M771" i="6"/>
  <c r="K772" i="6"/>
  <c r="M772" i="6"/>
  <c r="K773" i="6"/>
  <c r="M773" i="6"/>
  <c r="K774" i="6"/>
  <c r="M774" i="6"/>
  <c r="K775" i="6"/>
  <c r="M775" i="6"/>
  <c r="K776" i="6"/>
  <c r="M776" i="6"/>
  <c r="K777" i="6"/>
  <c r="M777" i="6"/>
  <c r="K778" i="6"/>
  <c r="M778" i="6"/>
  <c r="K779" i="6"/>
  <c r="M779" i="6"/>
  <c r="K780" i="6"/>
  <c r="M780" i="6"/>
  <c r="K781" i="6"/>
  <c r="M781" i="6"/>
  <c r="K782" i="6"/>
  <c r="M782" i="6"/>
  <c r="K783" i="6"/>
  <c r="M783" i="6"/>
  <c r="K784" i="6"/>
  <c r="M784" i="6"/>
  <c r="K785" i="6"/>
  <c r="M785" i="6"/>
  <c r="K786" i="6"/>
  <c r="M786" i="6"/>
  <c r="K787" i="6"/>
  <c r="M787" i="6"/>
  <c r="K788" i="6"/>
  <c r="M788" i="6"/>
  <c r="K789" i="6"/>
  <c r="M789" i="6"/>
  <c r="K790" i="6"/>
  <c r="M790" i="6"/>
  <c r="K791" i="6"/>
  <c r="M791" i="6"/>
  <c r="K792" i="6"/>
  <c r="M792" i="6"/>
  <c r="K793" i="6"/>
  <c r="M793" i="6"/>
  <c r="K794" i="6"/>
  <c r="M794" i="6"/>
  <c r="K795" i="6"/>
  <c r="M795" i="6"/>
  <c r="K796" i="6"/>
  <c r="M796" i="6"/>
  <c r="K797" i="6"/>
  <c r="M797" i="6"/>
  <c r="K798" i="6"/>
  <c r="M798" i="6"/>
  <c r="K799" i="6"/>
  <c r="M799" i="6"/>
  <c r="K800" i="6"/>
  <c r="M800" i="6"/>
  <c r="K801" i="6"/>
  <c r="M801" i="6"/>
  <c r="K802" i="6"/>
  <c r="M802" i="6"/>
  <c r="K803" i="6"/>
  <c r="M803" i="6"/>
  <c r="K804" i="6"/>
  <c r="M804" i="6"/>
  <c r="K805" i="6"/>
  <c r="M805" i="6"/>
  <c r="K806" i="6"/>
  <c r="M806" i="6"/>
  <c r="K807" i="6"/>
  <c r="M807" i="6"/>
  <c r="K808" i="6"/>
  <c r="M808" i="6"/>
  <c r="K809" i="6"/>
  <c r="M809" i="6"/>
  <c r="K810" i="6"/>
  <c r="M810" i="6"/>
  <c r="K811" i="6"/>
  <c r="M811" i="6"/>
  <c r="K812" i="6"/>
  <c r="M812" i="6"/>
  <c r="K813" i="6"/>
  <c r="M813" i="6"/>
  <c r="K814" i="6"/>
  <c r="M814" i="6"/>
  <c r="K815" i="6"/>
  <c r="M815" i="6"/>
  <c r="K816" i="6"/>
  <c r="M816" i="6"/>
  <c r="K817" i="6"/>
  <c r="M817" i="6"/>
  <c r="K818" i="6"/>
  <c r="M818" i="6"/>
  <c r="K819" i="6"/>
  <c r="M819" i="6"/>
  <c r="K820" i="6"/>
  <c r="M820" i="6"/>
  <c r="K821" i="6"/>
  <c r="M821" i="6"/>
  <c r="K822" i="6"/>
  <c r="M822" i="6"/>
  <c r="K823" i="6"/>
  <c r="M823" i="6"/>
  <c r="K824" i="6"/>
  <c r="M824" i="6"/>
  <c r="K825" i="6"/>
  <c r="M825" i="6"/>
  <c r="K826" i="6"/>
  <c r="M826" i="6"/>
  <c r="K827" i="6"/>
  <c r="M827" i="6"/>
  <c r="K828" i="6"/>
  <c r="M828" i="6"/>
  <c r="K829" i="6"/>
  <c r="M829" i="6"/>
  <c r="K830" i="6"/>
  <c r="M830" i="6"/>
  <c r="K831" i="6"/>
  <c r="M831" i="6"/>
  <c r="K832" i="6"/>
  <c r="M832" i="6"/>
  <c r="K833" i="6"/>
  <c r="M833" i="6"/>
  <c r="K834" i="6"/>
  <c r="M834" i="6"/>
  <c r="K835" i="6"/>
  <c r="M835" i="6"/>
  <c r="K836" i="6"/>
  <c r="M836" i="6"/>
  <c r="K837" i="6"/>
  <c r="M837" i="6"/>
  <c r="K838" i="6"/>
  <c r="M838" i="6"/>
  <c r="K839" i="6"/>
  <c r="M839" i="6"/>
  <c r="K840" i="6"/>
  <c r="M840" i="6"/>
  <c r="K841" i="6"/>
  <c r="M841" i="6"/>
  <c r="K842" i="6"/>
  <c r="M842" i="6"/>
  <c r="K843" i="6"/>
  <c r="M843" i="6"/>
  <c r="K844" i="6"/>
  <c r="M844" i="6"/>
  <c r="K845" i="6"/>
  <c r="M845" i="6"/>
  <c r="K846" i="6"/>
  <c r="M846" i="6"/>
  <c r="K847" i="6"/>
  <c r="M847" i="6"/>
  <c r="K848" i="6"/>
  <c r="M848" i="6"/>
  <c r="K849" i="6"/>
  <c r="M849" i="6"/>
  <c r="K850" i="6"/>
  <c r="M850" i="6"/>
  <c r="K851" i="6"/>
  <c r="M851" i="6"/>
  <c r="K852" i="6"/>
  <c r="M852" i="6"/>
  <c r="K853" i="6"/>
  <c r="M853" i="6"/>
  <c r="K854" i="6"/>
  <c r="M854" i="6"/>
  <c r="K855" i="6"/>
  <c r="M855" i="6"/>
  <c r="K856" i="6"/>
  <c r="M856" i="6"/>
  <c r="K857" i="6"/>
  <c r="M857" i="6"/>
  <c r="K858" i="6"/>
  <c r="M858" i="6"/>
  <c r="K859" i="6"/>
  <c r="M859" i="6"/>
  <c r="K860" i="6"/>
  <c r="M860" i="6"/>
  <c r="K861" i="6"/>
  <c r="M861" i="6"/>
  <c r="K862" i="6"/>
  <c r="M862" i="6"/>
  <c r="K863" i="6"/>
  <c r="M863" i="6"/>
  <c r="K864" i="6"/>
  <c r="M864" i="6"/>
  <c r="K865" i="6"/>
  <c r="M865" i="6"/>
  <c r="K866" i="6"/>
  <c r="M866" i="6"/>
  <c r="K867" i="6"/>
  <c r="M867" i="6"/>
  <c r="K868" i="6"/>
  <c r="M868" i="6"/>
  <c r="K869" i="6"/>
  <c r="M869" i="6"/>
  <c r="K870" i="6"/>
  <c r="M870" i="6"/>
  <c r="K871" i="6"/>
  <c r="M871" i="6"/>
  <c r="K872" i="6"/>
  <c r="M872" i="6"/>
  <c r="K873" i="6"/>
  <c r="M873" i="6"/>
  <c r="K874" i="6"/>
  <c r="M874" i="6"/>
  <c r="K875" i="6"/>
  <c r="M875" i="6"/>
  <c r="K876" i="6"/>
  <c r="M876" i="6"/>
  <c r="K877" i="6"/>
  <c r="M877" i="6"/>
  <c r="K878" i="6"/>
  <c r="M878" i="6"/>
  <c r="K879" i="6"/>
  <c r="M879" i="6"/>
  <c r="K880" i="6"/>
  <c r="M880" i="6"/>
  <c r="K881" i="6"/>
  <c r="M881" i="6"/>
  <c r="K882" i="6"/>
  <c r="M882" i="6"/>
  <c r="K883" i="6"/>
  <c r="M883" i="6"/>
  <c r="K884" i="6"/>
  <c r="M884" i="6"/>
  <c r="K885" i="6"/>
  <c r="M885" i="6"/>
  <c r="K886" i="6"/>
  <c r="M886" i="6"/>
  <c r="K887" i="6"/>
  <c r="M887" i="6"/>
  <c r="K888" i="6"/>
  <c r="M888" i="6"/>
  <c r="K889" i="6"/>
  <c r="M889" i="6"/>
  <c r="K890" i="6"/>
  <c r="M890" i="6"/>
  <c r="K891" i="6"/>
  <c r="M891" i="6"/>
  <c r="K892" i="6"/>
  <c r="M892" i="6"/>
  <c r="K893" i="6"/>
  <c r="M893" i="6"/>
  <c r="K894" i="6"/>
  <c r="M894" i="6"/>
  <c r="K895" i="6"/>
  <c r="M895" i="6"/>
  <c r="K896" i="6"/>
  <c r="M896" i="6"/>
  <c r="K897" i="6"/>
  <c r="M897" i="6"/>
  <c r="K898" i="6"/>
  <c r="M898" i="6"/>
  <c r="K899" i="6"/>
  <c r="M899" i="6"/>
  <c r="K900" i="6"/>
  <c r="M900" i="6"/>
  <c r="K901" i="6"/>
  <c r="M901" i="6"/>
  <c r="K902" i="6"/>
  <c r="M902" i="6"/>
  <c r="K903" i="6"/>
  <c r="M903" i="6"/>
  <c r="K904" i="6"/>
  <c r="M904" i="6"/>
  <c r="K905" i="6"/>
  <c r="M905" i="6"/>
  <c r="K906" i="6"/>
  <c r="M906" i="6"/>
  <c r="K907" i="6"/>
  <c r="M907" i="6"/>
  <c r="K908" i="6"/>
  <c r="M908" i="6"/>
  <c r="K909" i="6"/>
  <c r="M909" i="6"/>
  <c r="K910" i="6"/>
  <c r="M910" i="6"/>
  <c r="K911" i="6"/>
  <c r="M911" i="6"/>
  <c r="K912" i="6"/>
  <c r="M912" i="6"/>
  <c r="K913" i="6"/>
  <c r="M913" i="6"/>
  <c r="K914" i="6"/>
  <c r="M914" i="6"/>
  <c r="K915" i="6"/>
  <c r="M915" i="6"/>
  <c r="K916" i="6"/>
  <c r="M916" i="6"/>
  <c r="K917" i="6"/>
  <c r="M917" i="6"/>
  <c r="K918" i="6"/>
  <c r="M918" i="6"/>
  <c r="K919" i="6"/>
  <c r="M919" i="6"/>
  <c r="K920" i="6"/>
  <c r="M920" i="6"/>
  <c r="K921" i="6"/>
  <c r="M921" i="6"/>
  <c r="K922" i="6"/>
  <c r="M922" i="6"/>
  <c r="K923" i="6"/>
  <c r="M923" i="6"/>
  <c r="K924" i="6"/>
  <c r="M924" i="6"/>
  <c r="K925" i="6"/>
  <c r="M925" i="6"/>
  <c r="K926" i="6"/>
  <c r="M926" i="6"/>
  <c r="K927" i="6"/>
  <c r="M927" i="6"/>
  <c r="K928" i="6"/>
  <c r="M928" i="6"/>
  <c r="K929" i="6"/>
  <c r="M929" i="6"/>
  <c r="K930" i="6"/>
  <c r="M930" i="6"/>
  <c r="K931" i="6"/>
  <c r="M931" i="6"/>
  <c r="K932" i="6"/>
  <c r="M932" i="6"/>
  <c r="K933" i="6"/>
  <c r="M933" i="6"/>
  <c r="K934" i="6"/>
  <c r="M934" i="6"/>
  <c r="K935" i="6"/>
  <c r="M935" i="6"/>
  <c r="K936" i="6"/>
  <c r="M936" i="6"/>
  <c r="K937" i="6"/>
  <c r="M937" i="6"/>
  <c r="K938" i="6"/>
  <c r="M938" i="6"/>
  <c r="K939" i="6"/>
  <c r="M939" i="6"/>
  <c r="K940" i="6"/>
  <c r="M940" i="6"/>
  <c r="K941" i="6"/>
  <c r="M941" i="6"/>
  <c r="K942" i="6"/>
  <c r="M942" i="6"/>
  <c r="K943" i="6"/>
  <c r="M943" i="6"/>
  <c r="K944" i="6"/>
  <c r="M944" i="6"/>
  <c r="K945" i="6"/>
  <c r="M945" i="6"/>
  <c r="K946" i="6"/>
  <c r="M946" i="6"/>
  <c r="K947" i="6"/>
  <c r="M947" i="6"/>
  <c r="K948" i="6"/>
  <c r="M948" i="6"/>
  <c r="K949" i="6"/>
  <c r="M949" i="6"/>
  <c r="K950" i="6"/>
  <c r="M950" i="6"/>
  <c r="K951" i="6"/>
  <c r="M951" i="6"/>
  <c r="K952" i="6"/>
  <c r="M952" i="6"/>
  <c r="K953" i="6"/>
  <c r="M953" i="6"/>
  <c r="K954" i="6"/>
  <c r="M954" i="6"/>
  <c r="K955" i="6"/>
  <c r="M955" i="6"/>
  <c r="K956" i="6"/>
  <c r="M956" i="6"/>
  <c r="K957" i="6"/>
  <c r="M957" i="6"/>
  <c r="K958" i="6"/>
  <c r="M958" i="6"/>
  <c r="K959" i="6"/>
  <c r="M959" i="6"/>
  <c r="K960" i="6"/>
  <c r="M960" i="6"/>
  <c r="K961" i="6"/>
  <c r="M961" i="6"/>
  <c r="K962" i="6"/>
  <c r="M962" i="6"/>
  <c r="K963" i="6"/>
  <c r="M963" i="6"/>
  <c r="K964" i="6"/>
  <c r="M964" i="6"/>
  <c r="K965" i="6"/>
  <c r="M965" i="6"/>
  <c r="K966" i="6"/>
  <c r="M966" i="6"/>
  <c r="K967" i="6"/>
  <c r="M967" i="6"/>
  <c r="K968" i="6"/>
  <c r="M968" i="6"/>
  <c r="K969" i="6"/>
  <c r="M969" i="6"/>
  <c r="K970" i="6"/>
  <c r="M970" i="6"/>
  <c r="K971" i="6"/>
  <c r="M971" i="6"/>
  <c r="K972" i="6"/>
  <c r="M972" i="6"/>
  <c r="K973" i="6"/>
  <c r="M973" i="6"/>
  <c r="K974" i="6"/>
  <c r="M974" i="6"/>
  <c r="K975" i="6"/>
  <c r="M975" i="6"/>
  <c r="K976" i="6"/>
  <c r="M976" i="6"/>
  <c r="K977" i="6"/>
  <c r="M977" i="6"/>
  <c r="K978" i="6"/>
  <c r="M978" i="6"/>
  <c r="K979" i="6"/>
  <c r="M979" i="6"/>
  <c r="K980" i="6"/>
  <c r="M980" i="6"/>
  <c r="K981" i="6"/>
  <c r="M981" i="6"/>
  <c r="K982" i="6"/>
  <c r="M982" i="6"/>
  <c r="K983" i="6"/>
  <c r="M983" i="6"/>
  <c r="K984" i="6"/>
  <c r="M984" i="6"/>
  <c r="K985" i="6"/>
  <c r="M985" i="6"/>
  <c r="K986" i="6"/>
  <c r="M986" i="6"/>
  <c r="K987" i="6"/>
  <c r="M987" i="6"/>
  <c r="K988" i="6"/>
  <c r="M988" i="6"/>
  <c r="K989" i="6"/>
  <c r="M989" i="6"/>
  <c r="K990" i="6"/>
  <c r="M990" i="6"/>
  <c r="K991" i="6"/>
  <c r="M991" i="6"/>
  <c r="K992" i="6"/>
  <c r="M992" i="6"/>
  <c r="K993" i="6"/>
  <c r="M993" i="6"/>
  <c r="K994" i="6"/>
  <c r="M994" i="6"/>
  <c r="K995" i="6"/>
  <c r="M995" i="6"/>
  <c r="K996" i="6"/>
  <c r="M996" i="6"/>
  <c r="K997" i="6"/>
  <c r="M997" i="6"/>
  <c r="K998" i="6"/>
  <c r="M998" i="6"/>
  <c r="K999" i="6"/>
  <c r="M999" i="6"/>
  <c r="K1000" i="6"/>
  <c r="M1000" i="6"/>
  <c r="K1001" i="6"/>
  <c r="M1001" i="6"/>
  <c r="K1002" i="6"/>
  <c r="M1002" i="6"/>
  <c r="K1003" i="6"/>
  <c r="M1003" i="6"/>
  <c r="K1004" i="6"/>
  <c r="M1004" i="6"/>
  <c r="K1005" i="6"/>
  <c r="M1005" i="6"/>
  <c r="K1006" i="6"/>
  <c r="M1006" i="6"/>
  <c r="K1007" i="6"/>
  <c r="M1007" i="6"/>
  <c r="K1008" i="6"/>
  <c r="M1008" i="6"/>
  <c r="K1009" i="6"/>
  <c r="M1009" i="6"/>
  <c r="K1010" i="6"/>
  <c r="M1010" i="6"/>
  <c r="K1011" i="6"/>
  <c r="M1011" i="6"/>
  <c r="K1012" i="6"/>
  <c r="M1012" i="6"/>
  <c r="K1013" i="6"/>
  <c r="M1013" i="6"/>
  <c r="K1014" i="6"/>
  <c r="M1014" i="6"/>
  <c r="K1015" i="6"/>
  <c r="M1015" i="6"/>
  <c r="K1016" i="6"/>
  <c r="M1016" i="6"/>
  <c r="K1017" i="6"/>
  <c r="M1017" i="6"/>
  <c r="K1018" i="6"/>
  <c r="M1018" i="6"/>
  <c r="K1019" i="6"/>
  <c r="M1019" i="6"/>
  <c r="K1020" i="6"/>
  <c r="M1020" i="6"/>
  <c r="K1021" i="6"/>
  <c r="M1021" i="6"/>
  <c r="K1022" i="6"/>
  <c r="M1022" i="6"/>
  <c r="K1023" i="6"/>
  <c r="M1023" i="6"/>
  <c r="K1024" i="6"/>
  <c r="M1024" i="6"/>
  <c r="K1025" i="6"/>
  <c r="M1025" i="6"/>
  <c r="K1026" i="6"/>
  <c r="M1026" i="6"/>
  <c r="K1027" i="6"/>
  <c r="M1027" i="6"/>
  <c r="K1028" i="6"/>
  <c r="M1028" i="6"/>
  <c r="K1029" i="6"/>
  <c r="M1029" i="6"/>
  <c r="K1030" i="6"/>
  <c r="M1030" i="6"/>
  <c r="K1031" i="6"/>
  <c r="M1031" i="6"/>
  <c r="K1032" i="6"/>
  <c r="M1032" i="6"/>
  <c r="K1033" i="6"/>
  <c r="M1033" i="6"/>
  <c r="K1034" i="6"/>
  <c r="M1034" i="6"/>
  <c r="K1035" i="6"/>
  <c r="M1035" i="6"/>
  <c r="K1036" i="6"/>
  <c r="M1036" i="6"/>
  <c r="K1037" i="6"/>
  <c r="M1037" i="6"/>
  <c r="K1038" i="6"/>
  <c r="M1038" i="6"/>
  <c r="K1039" i="6"/>
  <c r="M1039" i="6"/>
  <c r="K1040" i="6"/>
  <c r="M1040" i="6"/>
  <c r="K1041" i="6"/>
  <c r="M1041" i="6"/>
  <c r="K1042" i="6"/>
  <c r="M1042" i="6"/>
  <c r="K1043" i="6"/>
  <c r="M1043" i="6"/>
  <c r="K1044" i="6"/>
  <c r="M1044" i="6"/>
  <c r="K1045" i="6"/>
  <c r="M1045" i="6"/>
  <c r="K1046" i="6"/>
  <c r="M1046" i="6"/>
  <c r="K1047" i="6"/>
  <c r="M1047" i="6"/>
  <c r="K1048" i="6"/>
  <c r="M1048" i="6"/>
  <c r="K1049" i="6"/>
  <c r="M1049" i="6"/>
  <c r="K1050" i="6"/>
  <c r="M1050" i="6"/>
  <c r="K1051" i="6"/>
  <c r="M1051" i="6"/>
  <c r="K1052" i="6"/>
  <c r="M1052" i="6"/>
  <c r="K1053" i="6"/>
  <c r="M1053" i="6"/>
  <c r="K1054" i="6"/>
  <c r="M1054" i="6"/>
  <c r="K1055" i="6"/>
  <c r="M1055" i="6"/>
  <c r="K1056" i="6"/>
  <c r="M1056" i="6"/>
  <c r="K1057" i="6"/>
  <c r="M1057" i="6"/>
  <c r="K1058" i="6"/>
  <c r="M1058" i="6"/>
  <c r="K1059" i="6"/>
  <c r="M1059" i="6"/>
  <c r="K1060" i="6"/>
  <c r="M1060" i="6"/>
  <c r="K1061" i="6"/>
  <c r="M1061" i="6"/>
  <c r="K1062" i="6"/>
  <c r="M1062" i="6"/>
  <c r="K1063" i="6"/>
  <c r="M1063" i="6"/>
  <c r="K1064" i="6"/>
  <c r="M1064" i="6"/>
  <c r="K1065" i="6"/>
  <c r="M1065" i="6"/>
  <c r="K1066" i="6"/>
  <c r="M1066" i="6"/>
  <c r="K1067" i="6"/>
  <c r="M1067" i="6"/>
  <c r="K1068" i="6"/>
  <c r="M1068" i="6"/>
  <c r="K1069" i="6"/>
  <c r="M1069" i="6"/>
  <c r="K1070" i="6"/>
  <c r="M1070" i="6"/>
  <c r="K1071" i="6"/>
  <c r="M1071" i="6"/>
  <c r="K1072" i="6"/>
  <c r="M1072" i="6"/>
  <c r="K1073" i="6"/>
  <c r="M1073" i="6"/>
  <c r="K1074" i="6"/>
  <c r="M1074" i="6"/>
  <c r="K1075" i="6"/>
  <c r="M1075" i="6"/>
  <c r="K1076" i="6"/>
  <c r="M1076" i="6"/>
  <c r="K1077" i="6"/>
  <c r="M1077" i="6"/>
  <c r="K1078" i="6"/>
  <c r="M1078" i="6"/>
  <c r="K1079" i="6"/>
  <c r="M1079" i="6"/>
  <c r="K1080" i="6"/>
  <c r="M1080" i="6"/>
  <c r="K1081" i="6"/>
  <c r="M1081" i="6"/>
  <c r="K1082" i="6"/>
  <c r="M1082" i="6"/>
  <c r="K1083" i="6"/>
  <c r="M1083" i="6"/>
  <c r="K1084" i="6"/>
  <c r="M1084" i="6"/>
  <c r="K1085" i="6"/>
  <c r="M1085" i="6"/>
  <c r="K1086" i="6"/>
  <c r="M1086" i="6"/>
  <c r="K1087" i="6"/>
  <c r="M1087" i="6"/>
  <c r="K1088" i="6"/>
  <c r="M1088" i="6"/>
  <c r="K1089" i="6"/>
  <c r="M1089" i="6"/>
  <c r="K1090" i="6"/>
  <c r="M1090" i="6"/>
  <c r="K1091" i="6"/>
  <c r="M1091" i="6"/>
  <c r="K1092" i="6"/>
  <c r="M1092" i="6"/>
  <c r="K1093" i="6"/>
  <c r="M1093" i="6"/>
  <c r="K1094" i="6"/>
  <c r="M1094" i="6"/>
  <c r="K1095" i="6"/>
  <c r="M1095" i="6"/>
  <c r="K1096" i="6"/>
  <c r="M1096" i="6"/>
  <c r="K1097" i="6"/>
  <c r="M1097" i="6"/>
  <c r="K1098" i="6"/>
  <c r="M1098" i="6"/>
  <c r="K1099" i="6"/>
  <c r="M1099" i="6"/>
  <c r="K1100" i="6"/>
  <c r="M1100" i="6"/>
  <c r="K1101" i="6"/>
  <c r="M1101" i="6"/>
  <c r="K1102" i="6"/>
  <c r="M1102" i="6"/>
  <c r="K1103" i="6"/>
  <c r="M1103" i="6"/>
  <c r="K1104" i="6"/>
  <c r="M1104" i="6"/>
  <c r="K1105" i="6"/>
  <c r="M1105" i="6"/>
  <c r="K1106" i="6"/>
  <c r="M1106" i="6"/>
  <c r="K1107" i="6"/>
  <c r="M1107" i="6"/>
  <c r="K1108" i="6"/>
  <c r="M1108" i="6"/>
  <c r="K1109" i="6"/>
  <c r="M1109" i="6"/>
  <c r="K1110" i="6"/>
  <c r="M1110" i="6"/>
  <c r="K1111" i="6"/>
  <c r="M1111" i="6"/>
  <c r="K1112" i="6"/>
  <c r="M1112" i="6"/>
  <c r="K1113" i="6"/>
  <c r="M1113" i="6"/>
  <c r="K1114" i="6"/>
  <c r="M1114" i="6"/>
  <c r="K1115" i="6"/>
  <c r="M1115" i="6"/>
  <c r="K1116" i="6"/>
  <c r="M1116" i="6"/>
  <c r="K1117" i="6"/>
  <c r="M1117" i="6"/>
  <c r="K1118" i="6"/>
  <c r="M1118" i="6"/>
  <c r="K1119" i="6"/>
  <c r="M1119" i="6"/>
  <c r="K1120" i="6"/>
  <c r="M1120" i="6"/>
  <c r="K1121" i="6"/>
  <c r="M1121" i="6"/>
  <c r="K1122" i="6"/>
  <c r="M1122" i="6"/>
  <c r="K1123" i="6"/>
  <c r="M1123" i="6"/>
  <c r="K1124" i="6"/>
  <c r="M1124" i="6"/>
  <c r="K1125" i="6"/>
  <c r="M1125" i="6"/>
  <c r="K1126" i="6"/>
  <c r="M1126" i="6"/>
  <c r="K1127" i="6"/>
  <c r="M1127" i="6"/>
  <c r="K1128" i="6"/>
  <c r="M1128" i="6"/>
  <c r="K1129" i="6"/>
  <c r="M1129" i="6"/>
  <c r="K1130" i="6"/>
  <c r="M1130" i="6"/>
  <c r="K1131" i="6"/>
  <c r="M1131" i="6"/>
  <c r="K1132" i="6"/>
  <c r="M1132" i="6"/>
  <c r="K1133" i="6"/>
  <c r="M1133" i="6"/>
  <c r="K1134" i="6"/>
  <c r="M1134" i="6"/>
  <c r="K1135" i="6"/>
  <c r="M1135" i="6"/>
  <c r="K1136" i="6"/>
  <c r="M1136" i="6"/>
  <c r="K1137" i="6"/>
  <c r="M1137" i="6"/>
  <c r="K1138" i="6"/>
  <c r="M1138" i="6"/>
  <c r="K1139" i="6"/>
  <c r="M1139" i="6"/>
  <c r="K1140" i="6"/>
  <c r="M1140" i="6"/>
  <c r="K1141" i="6"/>
  <c r="M1141" i="6"/>
  <c r="K1142" i="6"/>
  <c r="M1142" i="6"/>
  <c r="K1143" i="6"/>
  <c r="M1143" i="6"/>
  <c r="K1144" i="6"/>
  <c r="M1144" i="6"/>
  <c r="K1145" i="6"/>
  <c r="M1145" i="6"/>
  <c r="K1146" i="6"/>
  <c r="M1146" i="6"/>
  <c r="K1147" i="6"/>
  <c r="M1147" i="6"/>
  <c r="K1148" i="6"/>
  <c r="M1148" i="6"/>
  <c r="K1149" i="6"/>
  <c r="M1149" i="6"/>
  <c r="K1150" i="6"/>
  <c r="M1150" i="6"/>
  <c r="K1151" i="6"/>
  <c r="M1151" i="6"/>
  <c r="K1152" i="6"/>
  <c r="M1152" i="6"/>
  <c r="K1153" i="6"/>
  <c r="M1153" i="6"/>
  <c r="K1154" i="6"/>
  <c r="M1154" i="6"/>
  <c r="K1155" i="6"/>
  <c r="M1155" i="6"/>
  <c r="K1156" i="6"/>
  <c r="M1156" i="6"/>
  <c r="K1157" i="6"/>
  <c r="M1157" i="6"/>
  <c r="K1158" i="6"/>
  <c r="M1158" i="6"/>
  <c r="K1159" i="6"/>
  <c r="M1159" i="6"/>
  <c r="K1160" i="6"/>
  <c r="M1160" i="6"/>
  <c r="K1161" i="6"/>
  <c r="M1161" i="6"/>
  <c r="K1162" i="6"/>
  <c r="M1162" i="6"/>
  <c r="K1163" i="6"/>
  <c r="M1163" i="6"/>
  <c r="K1164" i="6"/>
  <c r="M1164" i="6"/>
  <c r="K1165" i="6"/>
  <c r="M1165" i="6"/>
  <c r="K1166" i="6"/>
  <c r="M1166" i="6"/>
  <c r="K1167" i="6"/>
  <c r="M1167" i="6"/>
  <c r="K1168" i="6"/>
  <c r="M1168" i="6"/>
  <c r="K1169" i="6"/>
  <c r="M1169" i="6"/>
  <c r="K1170" i="6"/>
  <c r="M1170" i="6"/>
  <c r="K1171" i="6"/>
  <c r="M1171" i="6"/>
  <c r="K1172" i="6"/>
  <c r="M1172" i="6"/>
  <c r="K1173" i="6"/>
  <c r="M1173" i="6"/>
  <c r="K1174" i="6"/>
  <c r="M1174" i="6"/>
  <c r="K1175" i="6"/>
  <c r="M1175" i="6"/>
  <c r="K1176" i="6"/>
  <c r="M1176" i="6"/>
  <c r="K1177" i="6"/>
  <c r="M1177" i="6"/>
  <c r="K1178" i="6"/>
  <c r="M1178" i="6"/>
  <c r="K1179" i="6"/>
  <c r="M1179" i="6"/>
  <c r="K1180" i="6"/>
  <c r="M1180" i="6"/>
  <c r="K1181" i="6"/>
  <c r="M1181" i="6"/>
  <c r="K1182" i="6"/>
  <c r="M1182" i="6"/>
  <c r="K1183" i="6"/>
  <c r="M1183" i="6"/>
  <c r="K1184" i="6"/>
  <c r="M1184" i="6"/>
  <c r="K1185" i="6"/>
  <c r="M1185" i="6"/>
  <c r="K1186" i="6"/>
  <c r="M1186" i="6"/>
  <c r="K1187" i="6"/>
  <c r="M1187" i="6"/>
  <c r="K1188" i="6"/>
  <c r="M1188" i="6"/>
  <c r="K1189" i="6"/>
  <c r="M1189" i="6"/>
  <c r="K1190" i="6"/>
  <c r="M1190" i="6"/>
  <c r="K1191" i="6"/>
  <c r="M1191" i="6"/>
  <c r="K1192" i="6"/>
  <c r="M1192" i="6"/>
  <c r="K1193" i="6"/>
  <c r="M1193" i="6"/>
  <c r="K1194" i="6"/>
  <c r="M1194" i="6"/>
  <c r="K1195" i="6"/>
  <c r="M1195" i="6"/>
  <c r="K1196" i="6"/>
  <c r="M1196" i="6"/>
  <c r="K1197" i="6"/>
  <c r="M1197" i="6"/>
  <c r="K1198" i="6"/>
  <c r="M1198" i="6"/>
  <c r="K1199" i="6"/>
  <c r="M1199" i="6"/>
  <c r="K1200" i="6"/>
  <c r="M1200" i="6"/>
  <c r="K1201" i="6"/>
  <c r="M1201" i="6"/>
  <c r="K1202" i="6"/>
  <c r="M1202" i="6"/>
  <c r="K1203" i="6"/>
  <c r="M1203" i="6"/>
  <c r="K1204" i="6"/>
  <c r="M1204" i="6"/>
  <c r="K1205" i="6"/>
  <c r="M1205" i="6"/>
  <c r="K1206" i="6"/>
  <c r="M1206" i="6"/>
  <c r="K1207" i="6"/>
  <c r="M1207" i="6"/>
  <c r="K1208" i="6"/>
  <c r="M1208" i="6"/>
  <c r="K1209" i="6"/>
  <c r="M1209" i="6"/>
  <c r="K1210" i="6"/>
  <c r="M1210" i="6"/>
  <c r="K1211" i="6"/>
  <c r="M1211" i="6"/>
  <c r="K1212" i="6"/>
  <c r="M1212" i="6"/>
  <c r="K1213" i="6"/>
  <c r="M1213" i="6"/>
  <c r="K1214" i="6"/>
  <c r="M1214" i="6"/>
  <c r="K1215" i="6"/>
  <c r="M1215" i="6"/>
  <c r="K1216" i="6"/>
  <c r="M1216" i="6"/>
  <c r="K1217" i="6"/>
  <c r="M1217" i="6"/>
  <c r="K1218" i="6"/>
  <c r="M1218" i="6"/>
  <c r="K1219" i="6"/>
  <c r="M1219" i="6"/>
  <c r="K1220" i="6"/>
  <c r="M1220" i="6"/>
  <c r="K1221" i="6"/>
  <c r="M1221" i="6"/>
  <c r="K1222" i="6"/>
  <c r="M1222" i="6"/>
  <c r="K1223" i="6"/>
  <c r="M1223" i="6"/>
  <c r="K1224" i="6"/>
  <c r="M1224" i="6"/>
  <c r="K1225" i="6"/>
  <c r="M1225" i="6"/>
  <c r="K1226" i="6"/>
  <c r="M1226" i="6"/>
  <c r="K1227" i="6"/>
  <c r="M1227" i="6"/>
  <c r="K1228" i="6"/>
  <c r="M1228" i="6"/>
  <c r="K1229" i="6"/>
  <c r="M1229" i="6"/>
  <c r="K1230" i="6"/>
  <c r="M1230" i="6"/>
  <c r="K1231" i="6"/>
  <c r="M1231" i="6"/>
  <c r="K1232" i="6"/>
  <c r="M1232" i="6"/>
  <c r="K1233" i="6"/>
  <c r="M1233" i="6"/>
  <c r="K1234" i="6"/>
  <c r="M1234" i="6"/>
  <c r="K1235" i="6"/>
  <c r="M1235" i="6"/>
  <c r="K1236" i="6"/>
  <c r="M1236" i="6"/>
  <c r="K1237" i="6"/>
  <c r="M1237" i="6"/>
  <c r="K1238" i="6"/>
  <c r="M1238" i="6"/>
  <c r="K1239" i="6"/>
  <c r="M1239" i="6"/>
  <c r="K1240" i="6"/>
  <c r="M1240" i="6"/>
  <c r="K1241" i="6"/>
  <c r="M1241" i="6"/>
  <c r="K1242" i="6"/>
  <c r="M1242" i="6"/>
  <c r="K1243" i="6"/>
  <c r="M1243" i="6"/>
  <c r="K1244" i="6"/>
  <c r="M1244" i="6"/>
  <c r="K1245" i="6"/>
  <c r="M1245" i="6"/>
  <c r="K1246" i="6"/>
  <c r="M1246" i="6"/>
  <c r="K1247" i="6"/>
  <c r="M1247" i="6"/>
  <c r="K1248" i="6"/>
  <c r="M1248" i="6"/>
  <c r="K1249" i="6"/>
  <c r="M1249" i="6"/>
  <c r="K1250" i="6"/>
  <c r="M1250" i="6"/>
  <c r="K1251" i="6"/>
  <c r="M1251" i="6"/>
  <c r="K1252" i="6"/>
  <c r="M1252" i="6"/>
  <c r="K1253" i="6"/>
  <c r="M1253" i="6"/>
  <c r="K1254" i="6"/>
  <c r="M1254" i="6"/>
  <c r="K1255" i="6"/>
  <c r="M1255" i="6"/>
  <c r="K1256" i="6"/>
  <c r="M1256" i="6"/>
  <c r="K1257" i="6"/>
  <c r="M1257" i="6"/>
  <c r="K1258" i="6"/>
  <c r="M1258" i="6"/>
  <c r="K1259" i="6"/>
  <c r="M1259" i="6"/>
  <c r="K1260" i="6"/>
  <c r="M1260" i="6"/>
  <c r="K1261" i="6"/>
  <c r="M1261" i="6"/>
  <c r="K1262" i="6"/>
  <c r="M1262" i="6"/>
  <c r="K1263" i="6"/>
  <c r="M1263" i="6"/>
  <c r="K1264" i="6"/>
  <c r="M1264" i="6"/>
  <c r="K1265" i="6"/>
  <c r="M1265" i="6"/>
  <c r="K1266" i="6"/>
  <c r="M1266" i="6"/>
  <c r="K1267" i="6"/>
  <c r="M1267" i="6"/>
  <c r="K1268" i="6"/>
  <c r="M1268" i="6"/>
  <c r="K1269" i="6"/>
  <c r="M1269" i="6"/>
  <c r="K1270" i="6"/>
  <c r="M1270" i="6"/>
  <c r="K1271" i="6"/>
  <c r="M1271" i="6"/>
  <c r="K1272" i="6"/>
  <c r="M1272" i="6"/>
  <c r="K1273" i="6"/>
  <c r="M1273" i="6"/>
  <c r="K1274" i="6"/>
  <c r="M1274" i="6"/>
  <c r="K1275" i="6"/>
  <c r="M1275" i="6"/>
  <c r="K1276" i="6"/>
  <c r="M1276" i="6"/>
  <c r="K1277" i="6"/>
  <c r="M1277" i="6"/>
  <c r="K1278" i="6"/>
  <c r="M1278" i="6"/>
  <c r="K1279" i="6"/>
  <c r="M1279" i="6"/>
  <c r="K1280" i="6"/>
  <c r="M1280" i="6"/>
  <c r="K1281" i="6"/>
  <c r="M1281" i="6"/>
  <c r="K1282" i="6"/>
  <c r="M1282" i="6"/>
  <c r="K1283" i="6"/>
  <c r="M1283" i="6"/>
  <c r="K1284" i="6"/>
  <c r="M1284" i="6"/>
  <c r="K1285" i="6"/>
  <c r="M1285" i="6"/>
  <c r="K1286" i="6"/>
  <c r="M1286" i="6"/>
  <c r="K1287" i="6"/>
  <c r="M1287" i="6"/>
  <c r="K1288" i="6"/>
  <c r="M1288" i="6"/>
  <c r="K1289" i="6"/>
  <c r="M1289" i="6"/>
  <c r="K1290" i="6"/>
  <c r="M1290" i="6"/>
  <c r="K1291" i="6"/>
  <c r="M1291" i="6"/>
  <c r="K1292" i="6"/>
  <c r="M1292" i="6"/>
  <c r="K1293" i="6"/>
  <c r="M1293" i="6"/>
  <c r="K1294" i="6"/>
  <c r="M1294" i="6"/>
  <c r="K1295" i="6"/>
  <c r="M1295" i="6"/>
  <c r="K1296" i="6"/>
  <c r="M1296" i="6"/>
  <c r="K1297" i="6"/>
  <c r="M1297" i="6"/>
  <c r="K1298" i="6"/>
  <c r="M1298" i="6"/>
  <c r="K1299" i="6"/>
  <c r="M1299" i="6"/>
  <c r="K1300" i="6"/>
  <c r="M1300" i="6"/>
  <c r="K1301" i="6"/>
  <c r="M1301" i="6"/>
  <c r="K1302" i="6"/>
  <c r="M1302" i="6"/>
  <c r="K1303" i="6"/>
  <c r="M1303" i="6"/>
  <c r="K1304" i="6"/>
  <c r="M1304" i="6"/>
  <c r="K1305" i="6"/>
  <c r="M1305" i="6"/>
  <c r="K1306" i="6"/>
  <c r="M1306" i="6"/>
  <c r="K1307" i="6"/>
  <c r="M1307" i="6"/>
  <c r="K1308" i="6"/>
  <c r="M1308" i="6"/>
  <c r="K1309" i="6"/>
  <c r="M1309" i="6"/>
  <c r="K1310" i="6"/>
  <c r="M1310" i="6"/>
  <c r="K1311" i="6"/>
  <c r="M1311" i="6"/>
  <c r="K1312" i="6"/>
  <c r="M1312" i="6"/>
  <c r="K1313" i="6"/>
  <c r="M1313" i="6"/>
  <c r="K1314" i="6"/>
  <c r="M1314" i="6"/>
  <c r="K1315" i="6"/>
  <c r="M1315" i="6"/>
  <c r="K1316" i="6"/>
  <c r="M1316" i="6"/>
  <c r="K1317" i="6"/>
  <c r="M1317" i="6"/>
  <c r="K1318" i="6"/>
  <c r="M1318" i="6"/>
  <c r="K1319" i="6"/>
  <c r="M1319" i="6"/>
  <c r="K1320" i="6"/>
  <c r="M1320" i="6"/>
  <c r="K1321" i="6"/>
  <c r="M1321" i="6"/>
  <c r="K1322" i="6"/>
  <c r="M1322" i="6"/>
  <c r="K1323" i="6"/>
  <c r="M1323" i="6"/>
  <c r="K1324" i="6"/>
  <c r="M1324" i="6"/>
  <c r="K1325" i="6"/>
  <c r="M1325" i="6"/>
  <c r="K1326" i="6"/>
  <c r="M1326" i="6"/>
  <c r="K1327" i="6"/>
  <c r="M1327" i="6"/>
  <c r="K1328" i="6"/>
  <c r="M1328" i="6"/>
  <c r="K1329" i="6"/>
  <c r="M1329" i="6"/>
  <c r="K1330" i="6"/>
  <c r="M1330" i="6"/>
  <c r="K1331" i="6"/>
  <c r="M1331" i="6"/>
  <c r="K1332" i="6"/>
  <c r="M1332" i="6"/>
  <c r="K1333" i="6"/>
  <c r="M1333" i="6"/>
  <c r="K1334" i="6"/>
  <c r="M1334" i="6"/>
  <c r="K1335" i="6"/>
  <c r="M1335" i="6"/>
  <c r="K1336" i="6"/>
  <c r="M1336" i="6"/>
  <c r="K1337" i="6"/>
  <c r="M1337" i="6"/>
  <c r="K1338" i="6"/>
  <c r="M1338" i="6"/>
  <c r="K1339" i="6"/>
  <c r="M1339" i="6"/>
  <c r="K1340" i="6"/>
  <c r="M1340" i="6"/>
  <c r="K1341" i="6"/>
  <c r="M1341" i="6"/>
  <c r="K1342" i="6"/>
  <c r="M1342" i="6"/>
  <c r="K1343" i="6"/>
  <c r="M1343" i="6"/>
  <c r="K1344" i="6"/>
  <c r="M1344" i="6"/>
  <c r="K1345" i="6"/>
  <c r="M1345" i="6"/>
  <c r="K1346" i="6"/>
  <c r="M1346" i="6"/>
  <c r="K1347" i="6"/>
  <c r="M1347" i="6"/>
  <c r="K1348" i="6"/>
  <c r="M1348" i="6"/>
  <c r="K1349" i="6"/>
  <c r="M1349" i="6"/>
  <c r="K1350" i="6"/>
  <c r="M1350" i="6"/>
  <c r="K1351" i="6"/>
  <c r="M1351" i="6"/>
  <c r="K1352" i="6"/>
  <c r="M1352" i="6"/>
  <c r="K1353" i="6"/>
  <c r="M1353" i="6"/>
  <c r="K1354" i="6"/>
  <c r="M1354" i="6"/>
  <c r="K1355" i="6"/>
  <c r="M1355" i="6"/>
  <c r="K1356" i="6"/>
  <c r="M1356" i="6"/>
  <c r="K1357" i="6"/>
  <c r="M1357" i="6"/>
  <c r="K1358" i="6"/>
  <c r="M1358" i="6"/>
  <c r="K1359" i="6"/>
  <c r="M1359" i="6"/>
  <c r="K1360" i="6"/>
  <c r="M1360" i="6"/>
  <c r="K1361" i="6"/>
  <c r="M1361" i="6"/>
  <c r="K1362" i="6"/>
  <c r="M1362" i="6"/>
  <c r="K1363" i="6"/>
  <c r="M1363" i="6"/>
  <c r="K1364" i="6"/>
  <c r="M1364" i="6"/>
  <c r="K1365" i="6"/>
  <c r="M1365" i="6"/>
  <c r="K1366" i="6"/>
  <c r="M1366" i="6"/>
  <c r="K1367" i="6"/>
  <c r="M1367" i="6"/>
  <c r="K1368" i="6"/>
  <c r="M1368" i="6"/>
  <c r="K1369" i="6"/>
  <c r="M1369" i="6"/>
  <c r="K1370" i="6"/>
  <c r="M1370" i="6"/>
  <c r="K1371" i="6"/>
  <c r="M1371" i="6"/>
  <c r="K1372" i="6"/>
  <c r="M1372" i="6"/>
  <c r="K1373" i="6"/>
  <c r="M1373" i="6"/>
  <c r="K1374" i="6"/>
  <c r="M1374" i="6"/>
  <c r="K1375" i="6"/>
  <c r="M1375" i="6"/>
  <c r="K1376" i="6"/>
  <c r="M1376" i="6"/>
  <c r="K1377" i="6"/>
  <c r="M1377" i="6"/>
  <c r="K1378" i="6"/>
  <c r="M1378" i="6"/>
  <c r="K1379" i="6"/>
  <c r="M1379" i="6"/>
  <c r="K1380" i="6"/>
  <c r="M1380" i="6"/>
  <c r="K1381" i="6"/>
  <c r="M1381" i="6"/>
  <c r="K1382" i="6"/>
  <c r="M1382" i="6"/>
  <c r="K1383" i="6"/>
  <c r="M1383" i="6"/>
  <c r="K1384" i="6"/>
  <c r="M1384" i="6"/>
  <c r="K1385" i="6"/>
  <c r="M1385" i="6"/>
  <c r="K1386" i="6"/>
  <c r="M1386" i="6"/>
  <c r="K1387" i="6"/>
  <c r="M1387" i="6"/>
  <c r="K1388" i="6"/>
  <c r="M1388" i="6"/>
  <c r="K1389" i="6"/>
  <c r="M1389" i="6"/>
  <c r="K1390" i="6"/>
  <c r="M1390" i="6"/>
  <c r="K1391" i="6"/>
  <c r="M1391" i="6"/>
  <c r="K1392" i="6"/>
  <c r="M1392" i="6"/>
  <c r="K1393" i="6"/>
  <c r="M1393" i="6"/>
  <c r="K1394" i="6"/>
  <c r="M1394" i="6"/>
  <c r="K1395" i="6"/>
  <c r="M1395" i="6"/>
  <c r="K1396" i="6"/>
  <c r="M1396" i="6"/>
  <c r="K1397" i="6"/>
  <c r="M1397" i="6"/>
  <c r="K1398" i="6"/>
  <c r="M1398" i="6"/>
  <c r="K1399" i="6"/>
  <c r="M1399" i="6"/>
  <c r="K1400" i="6"/>
  <c r="M1400" i="6"/>
  <c r="K1401" i="6"/>
  <c r="M1401" i="6"/>
  <c r="K1402" i="6"/>
  <c r="M1402" i="6"/>
  <c r="K1403" i="6"/>
  <c r="M1403" i="6"/>
  <c r="K1404" i="6"/>
  <c r="M1404" i="6"/>
  <c r="K1405" i="6"/>
  <c r="M1405" i="6"/>
  <c r="K1406" i="6"/>
  <c r="M1406" i="6"/>
  <c r="K1407" i="6"/>
  <c r="M1407" i="6"/>
  <c r="K1408" i="6"/>
  <c r="M1408" i="6"/>
  <c r="K1409" i="6"/>
  <c r="M1409" i="6"/>
  <c r="K1410" i="6"/>
  <c r="M1410" i="6"/>
  <c r="K1411" i="6"/>
  <c r="M1411" i="6"/>
  <c r="K1412" i="6"/>
  <c r="M1412" i="6"/>
  <c r="K1413" i="6"/>
  <c r="M1413" i="6"/>
  <c r="K1414" i="6"/>
  <c r="M1414" i="6"/>
  <c r="K1415" i="6"/>
  <c r="M1415" i="6"/>
  <c r="K1416" i="6"/>
  <c r="M1416" i="6"/>
  <c r="K1417" i="6"/>
  <c r="M1417" i="6"/>
  <c r="K1418" i="6"/>
  <c r="M1418" i="6"/>
  <c r="K1419" i="6"/>
  <c r="M1419" i="6"/>
  <c r="K1420" i="6"/>
  <c r="M1420" i="6"/>
  <c r="K1421" i="6"/>
  <c r="M1421" i="6"/>
  <c r="K1422" i="6"/>
  <c r="M1422" i="6"/>
  <c r="K1423" i="6"/>
  <c r="M1423" i="6"/>
  <c r="K1424" i="6"/>
  <c r="M1424" i="6"/>
  <c r="K1425" i="6"/>
  <c r="M1425" i="6"/>
  <c r="K1426" i="6"/>
  <c r="M1426" i="6"/>
  <c r="K1427" i="6"/>
  <c r="M1427" i="6"/>
  <c r="K1428" i="6"/>
  <c r="M1428" i="6"/>
  <c r="K1429" i="6"/>
  <c r="M1429" i="6"/>
  <c r="K1430" i="6"/>
  <c r="M1430" i="6"/>
  <c r="K1431" i="6"/>
  <c r="M1431" i="6"/>
  <c r="K1432" i="6"/>
  <c r="M1432" i="6"/>
  <c r="K1433" i="6"/>
  <c r="M1433" i="6"/>
  <c r="K1434" i="6"/>
  <c r="M1434" i="6"/>
  <c r="K1435" i="6"/>
  <c r="M1435" i="6"/>
  <c r="K1436" i="6"/>
  <c r="M1436" i="6"/>
  <c r="K1437" i="6"/>
  <c r="M1437" i="6"/>
  <c r="K1438" i="6"/>
  <c r="M1438" i="6"/>
  <c r="K1439" i="6"/>
  <c r="M1439" i="6"/>
  <c r="K1440" i="6"/>
  <c r="M1440" i="6"/>
  <c r="K1441" i="6"/>
  <c r="M1441" i="6"/>
  <c r="K1442" i="6"/>
  <c r="M1442" i="6"/>
  <c r="K1443" i="6"/>
  <c r="M1443" i="6"/>
  <c r="K1444" i="6"/>
  <c r="M1444" i="6"/>
  <c r="K1445" i="6"/>
  <c r="M1445" i="6"/>
  <c r="K1446" i="6"/>
  <c r="M1446" i="6"/>
  <c r="K1447" i="6"/>
  <c r="M1447" i="6"/>
  <c r="K1448" i="6"/>
  <c r="M1448" i="6"/>
  <c r="K1449" i="6"/>
  <c r="M1449" i="6"/>
  <c r="K1450" i="6"/>
  <c r="M1450" i="6"/>
  <c r="K1451" i="6"/>
  <c r="M1451" i="6"/>
  <c r="K1452" i="6"/>
  <c r="M1452" i="6"/>
  <c r="K1453" i="6"/>
  <c r="M1453" i="6"/>
  <c r="K1454" i="6"/>
  <c r="M1454" i="6"/>
  <c r="K1455" i="6"/>
  <c r="M1455" i="6"/>
  <c r="K1456" i="6"/>
  <c r="M1456" i="6"/>
  <c r="K1457" i="6"/>
  <c r="M1457" i="6"/>
  <c r="K1458" i="6"/>
  <c r="M1458" i="6"/>
  <c r="K1459" i="6"/>
  <c r="M1459" i="6"/>
  <c r="K1460" i="6"/>
  <c r="M1460" i="6"/>
  <c r="K1461" i="6"/>
  <c r="M1461" i="6"/>
  <c r="K1462" i="6"/>
  <c r="M1462" i="6"/>
  <c r="K1463" i="6"/>
  <c r="M1463" i="6"/>
  <c r="K1464" i="6"/>
  <c r="M1464" i="6"/>
  <c r="K1465" i="6"/>
  <c r="M1465" i="6"/>
  <c r="K1466" i="6"/>
  <c r="M1466" i="6"/>
  <c r="K1467" i="6"/>
  <c r="M1467" i="6"/>
  <c r="K1468" i="6"/>
  <c r="M1468" i="6"/>
  <c r="K1469" i="6"/>
  <c r="M1469" i="6"/>
  <c r="K1470" i="6"/>
  <c r="M1470" i="6"/>
  <c r="K1471" i="6"/>
  <c r="M1471" i="6"/>
  <c r="K1472" i="6"/>
  <c r="M1472" i="6"/>
  <c r="K1473" i="6"/>
  <c r="M1473" i="6"/>
  <c r="K1474" i="6"/>
  <c r="M1474" i="6"/>
  <c r="K1475" i="6"/>
  <c r="M1475" i="6"/>
  <c r="K1476" i="6"/>
  <c r="M1476" i="6"/>
  <c r="K1477" i="6"/>
  <c r="M1477" i="6"/>
  <c r="K1478" i="6"/>
  <c r="M1478" i="6"/>
  <c r="K1479" i="6"/>
  <c r="M1479" i="6"/>
  <c r="K1480" i="6"/>
  <c r="M1480" i="6"/>
  <c r="K1481" i="6"/>
  <c r="M1481" i="6"/>
  <c r="K1482" i="6"/>
  <c r="M1482" i="6"/>
  <c r="K1483" i="6"/>
  <c r="M1483" i="6"/>
  <c r="K1484" i="6"/>
  <c r="M1484" i="6"/>
  <c r="K1485" i="6"/>
  <c r="M1485" i="6"/>
  <c r="K1486" i="6"/>
  <c r="M1486" i="6"/>
  <c r="K1487" i="6"/>
  <c r="M1487" i="6"/>
  <c r="K1488" i="6"/>
  <c r="M1488" i="6"/>
  <c r="K1489" i="6"/>
  <c r="M1489" i="6"/>
  <c r="K1490" i="6"/>
  <c r="M1490" i="6"/>
  <c r="K1491" i="6"/>
  <c r="M1491" i="6"/>
  <c r="K1492" i="6"/>
  <c r="M1492" i="6"/>
  <c r="K1493" i="6"/>
  <c r="M1493" i="6"/>
  <c r="K1494" i="6"/>
  <c r="M1494" i="6"/>
  <c r="K1495" i="6"/>
  <c r="M1495" i="6"/>
  <c r="K1496" i="6"/>
  <c r="M1496" i="6"/>
  <c r="K1497" i="6"/>
  <c r="M1497" i="6"/>
  <c r="K1498" i="6"/>
  <c r="M1498" i="6"/>
  <c r="K1499" i="6"/>
  <c r="M1499" i="6"/>
  <c r="K1500" i="6"/>
  <c r="M1500" i="6"/>
  <c r="K1501" i="6"/>
  <c r="M1501" i="6"/>
  <c r="K1502" i="6"/>
  <c r="M1502" i="6"/>
  <c r="K1503" i="6"/>
  <c r="M1503" i="6"/>
  <c r="K1504" i="6"/>
  <c r="M1504" i="6"/>
  <c r="K1505" i="6"/>
  <c r="M1505" i="6"/>
  <c r="K1506" i="6"/>
  <c r="M1506" i="6"/>
  <c r="K1507" i="6"/>
  <c r="M1507" i="6"/>
  <c r="K1508" i="6"/>
  <c r="M1508" i="6"/>
  <c r="K1509" i="6"/>
  <c r="M1509" i="6"/>
  <c r="K1510" i="6"/>
  <c r="M1510" i="6"/>
  <c r="K1511" i="6"/>
  <c r="M1511" i="6"/>
  <c r="K1512" i="6"/>
  <c r="M1512" i="6"/>
  <c r="K1513" i="6"/>
  <c r="M1513" i="6"/>
  <c r="K1514" i="6"/>
  <c r="M1514" i="6"/>
  <c r="K1515" i="6"/>
  <c r="M1515" i="6"/>
  <c r="K1516" i="6"/>
  <c r="M1516" i="6"/>
  <c r="K1517" i="6"/>
  <c r="M1517" i="6"/>
  <c r="K1518" i="6"/>
  <c r="M1518" i="6"/>
  <c r="K1519" i="6"/>
  <c r="M1519" i="6"/>
  <c r="K1520" i="6"/>
  <c r="M1520" i="6"/>
  <c r="K1521" i="6"/>
  <c r="M1521" i="6"/>
  <c r="K1522" i="6"/>
  <c r="M1522" i="6"/>
  <c r="K1523" i="6"/>
  <c r="M1523" i="6"/>
  <c r="K1524" i="6"/>
  <c r="M1524" i="6"/>
  <c r="K1525" i="6"/>
  <c r="M1525" i="6"/>
  <c r="K1526" i="6"/>
  <c r="M1526" i="6"/>
  <c r="K1527" i="6"/>
  <c r="M1527" i="6"/>
  <c r="K1528" i="6"/>
  <c r="M1528" i="6"/>
  <c r="K1529" i="6"/>
  <c r="M1529" i="6"/>
  <c r="K1530" i="6"/>
  <c r="M1530" i="6"/>
  <c r="K1531" i="6"/>
  <c r="M1531" i="6"/>
  <c r="K1532" i="6"/>
  <c r="M1532" i="6"/>
  <c r="K1533" i="6"/>
  <c r="M1533" i="6"/>
  <c r="K1534" i="6"/>
  <c r="M1534" i="6"/>
  <c r="K1535" i="6"/>
  <c r="M1535" i="6"/>
  <c r="K1536" i="6"/>
  <c r="M1536" i="6"/>
  <c r="K1537" i="6"/>
  <c r="M1537" i="6"/>
  <c r="K1538" i="6"/>
  <c r="M1538" i="6"/>
  <c r="K1539" i="6"/>
  <c r="M1539" i="6"/>
  <c r="K1540" i="6"/>
  <c r="M1540" i="6"/>
  <c r="K1541" i="6"/>
  <c r="M1541" i="6"/>
  <c r="K1542" i="6"/>
  <c r="M1542" i="6"/>
  <c r="K1543" i="6"/>
  <c r="M1543" i="6"/>
  <c r="K1544" i="6"/>
  <c r="M1544" i="6"/>
  <c r="K1545" i="6"/>
  <c r="M1545" i="6"/>
  <c r="K1546" i="6"/>
  <c r="M1546" i="6"/>
  <c r="K1547" i="6"/>
  <c r="M1547" i="6"/>
  <c r="K1548" i="6"/>
  <c r="M1548" i="6"/>
  <c r="K1549" i="6"/>
  <c r="M1549" i="6"/>
  <c r="K1550" i="6"/>
  <c r="M1550" i="6"/>
  <c r="K1551" i="6"/>
  <c r="M1551" i="6"/>
  <c r="K1552" i="6"/>
  <c r="M1552" i="6"/>
  <c r="K1553" i="6"/>
  <c r="M1553" i="6"/>
  <c r="K1554" i="6"/>
  <c r="M1554" i="6"/>
  <c r="K1555" i="6"/>
  <c r="M1555" i="6"/>
  <c r="K1556" i="6"/>
  <c r="M1556" i="6"/>
  <c r="K1557" i="6"/>
  <c r="M1557" i="6"/>
  <c r="K1558" i="6"/>
  <c r="M1558" i="6"/>
  <c r="K1559" i="6"/>
  <c r="M1559" i="6"/>
  <c r="K1560" i="6"/>
  <c r="M1560" i="6"/>
  <c r="K1561" i="6"/>
  <c r="M1561" i="6"/>
  <c r="K1562" i="6"/>
  <c r="M1562" i="6"/>
  <c r="K1563" i="6"/>
  <c r="M1563" i="6"/>
  <c r="K1564" i="6"/>
  <c r="M1564" i="6"/>
  <c r="K1565" i="6"/>
  <c r="M1565" i="6"/>
  <c r="K1566" i="6"/>
  <c r="M1566" i="6"/>
  <c r="K1567" i="6"/>
  <c r="M1567" i="6"/>
  <c r="K1568" i="6"/>
  <c r="M1568" i="6"/>
  <c r="K1569" i="6"/>
  <c r="M1569" i="6"/>
  <c r="K1570" i="6"/>
  <c r="M1570" i="6"/>
  <c r="K1571" i="6"/>
  <c r="M1571" i="6"/>
  <c r="K1572" i="6"/>
  <c r="M1572" i="6"/>
  <c r="K1573" i="6"/>
  <c r="M1573" i="6"/>
  <c r="K1574" i="6"/>
  <c r="M1574" i="6"/>
  <c r="K1575" i="6"/>
  <c r="M1575" i="6"/>
  <c r="K1576" i="6"/>
  <c r="M1576" i="6"/>
  <c r="K1577" i="6"/>
  <c r="M1577" i="6"/>
  <c r="K1578" i="6"/>
  <c r="M1578" i="6"/>
  <c r="K1579" i="6"/>
  <c r="M1579" i="6"/>
  <c r="K1580" i="6"/>
  <c r="M1580" i="6"/>
  <c r="K1581" i="6"/>
  <c r="M1581" i="6"/>
  <c r="K1582" i="6"/>
  <c r="M1582" i="6"/>
  <c r="K1583" i="6"/>
  <c r="M1583" i="6"/>
  <c r="K1584" i="6"/>
  <c r="M1584" i="6"/>
  <c r="K1585" i="6"/>
  <c r="M1585" i="6"/>
  <c r="K1586" i="6"/>
  <c r="M1586" i="6"/>
  <c r="K1587" i="6"/>
  <c r="M1587" i="6"/>
  <c r="K1588" i="6"/>
  <c r="M1588" i="6"/>
  <c r="K1589" i="6"/>
  <c r="M1589" i="6"/>
  <c r="K1590" i="6"/>
  <c r="M1590" i="6"/>
  <c r="K1591" i="6"/>
  <c r="M1591" i="6"/>
  <c r="K1592" i="6"/>
  <c r="M1592" i="6"/>
  <c r="K1593" i="6"/>
  <c r="M1593" i="6"/>
  <c r="K1594" i="6"/>
  <c r="M1594" i="6"/>
  <c r="K1595" i="6"/>
  <c r="M1595" i="6"/>
  <c r="K1596" i="6"/>
  <c r="M1596" i="6"/>
  <c r="K1597" i="6"/>
  <c r="M1597" i="6"/>
  <c r="K1598" i="6"/>
  <c r="M1598" i="6"/>
  <c r="K1599" i="6"/>
  <c r="M1599" i="6"/>
  <c r="K1600" i="6"/>
  <c r="M1600" i="6"/>
  <c r="K1601" i="6"/>
  <c r="M1601" i="6"/>
  <c r="K1602" i="6"/>
  <c r="M1602" i="6"/>
  <c r="K1603" i="6"/>
  <c r="M1603" i="6"/>
  <c r="K1604" i="6"/>
  <c r="M1604" i="6"/>
  <c r="K1605" i="6"/>
  <c r="M1605" i="6"/>
  <c r="K1606" i="6"/>
  <c r="M1606" i="6"/>
  <c r="K1607" i="6"/>
  <c r="M1607" i="6"/>
  <c r="K1608" i="6"/>
  <c r="M1608" i="6"/>
  <c r="K1609" i="6"/>
  <c r="M1609" i="6"/>
  <c r="K1610" i="6"/>
  <c r="M1610" i="6"/>
  <c r="K1611" i="6"/>
  <c r="M1611" i="6"/>
  <c r="K1612" i="6"/>
  <c r="M1612" i="6"/>
  <c r="K1613" i="6"/>
  <c r="M1613" i="6"/>
  <c r="K1614" i="6"/>
  <c r="M1614" i="6"/>
  <c r="K1615" i="6"/>
  <c r="M1615" i="6"/>
  <c r="K1616" i="6"/>
  <c r="M1616" i="6"/>
  <c r="K1617" i="6"/>
  <c r="M1617" i="6"/>
  <c r="K1618" i="6"/>
  <c r="M1618" i="6"/>
  <c r="K1619" i="6"/>
  <c r="M1619" i="6"/>
  <c r="K1620" i="6"/>
  <c r="M1620" i="6"/>
  <c r="K1621" i="6"/>
  <c r="M1621" i="6"/>
  <c r="K1622" i="6"/>
  <c r="M1622" i="6"/>
  <c r="K1623" i="6"/>
  <c r="M1623" i="6"/>
  <c r="K1624" i="6"/>
  <c r="M1624" i="6"/>
  <c r="K1625" i="6"/>
  <c r="M1625" i="6"/>
  <c r="K1626" i="6"/>
  <c r="M1626" i="6"/>
  <c r="K1627" i="6"/>
  <c r="M1627" i="6"/>
  <c r="K1628" i="6"/>
  <c r="M1628" i="6"/>
  <c r="K1629" i="6"/>
  <c r="M1629" i="6"/>
  <c r="K1630" i="6"/>
  <c r="M1630" i="6"/>
  <c r="K1631" i="6"/>
  <c r="M1631" i="6"/>
  <c r="K1632" i="6"/>
  <c r="M1632" i="6"/>
  <c r="K1633" i="6"/>
  <c r="M1633" i="6"/>
  <c r="K1634" i="6"/>
  <c r="M1634" i="6"/>
  <c r="K1635" i="6"/>
  <c r="M1635" i="6"/>
  <c r="K1636" i="6"/>
  <c r="M1636" i="6"/>
  <c r="K1637" i="6"/>
  <c r="M1637" i="6"/>
  <c r="K1638" i="6"/>
  <c r="M1638" i="6"/>
  <c r="K1639" i="6"/>
  <c r="M1639" i="6"/>
  <c r="K1640" i="6"/>
  <c r="M1640" i="6"/>
  <c r="K1641" i="6"/>
  <c r="M1641" i="6"/>
  <c r="K1642" i="6"/>
  <c r="M1642" i="6"/>
  <c r="K1643" i="6"/>
  <c r="M1643" i="6"/>
  <c r="K1644" i="6"/>
  <c r="M1644" i="6"/>
  <c r="K1645" i="6"/>
  <c r="M1645" i="6"/>
  <c r="K1646" i="6"/>
  <c r="M1646" i="6"/>
  <c r="K1647" i="6"/>
  <c r="M1647" i="6"/>
  <c r="K1648" i="6"/>
  <c r="M1648" i="6"/>
  <c r="K1649" i="6"/>
  <c r="M1649" i="6"/>
  <c r="K1650" i="6"/>
  <c r="M1650" i="6"/>
  <c r="K1651" i="6"/>
  <c r="M1651" i="6"/>
  <c r="K1652" i="6"/>
  <c r="M1652" i="6"/>
  <c r="K1653" i="6"/>
  <c r="M1653" i="6"/>
  <c r="K1654" i="6"/>
  <c r="M1654" i="6"/>
  <c r="K1655" i="6"/>
  <c r="M1655" i="6"/>
  <c r="K1656" i="6"/>
  <c r="M1656" i="6"/>
  <c r="K1657" i="6"/>
  <c r="M1657" i="6"/>
  <c r="K1658" i="6"/>
  <c r="M1658" i="6"/>
  <c r="K1659" i="6"/>
  <c r="M1659" i="6"/>
  <c r="K1660" i="6"/>
  <c r="M1660" i="6"/>
  <c r="K1661" i="6"/>
  <c r="M1661" i="6"/>
  <c r="K1662" i="6"/>
  <c r="M1662" i="6"/>
  <c r="K1663" i="6"/>
  <c r="M1663" i="6"/>
  <c r="K1664" i="6"/>
  <c r="M1664" i="6"/>
  <c r="K1665" i="6"/>
  <c r="M1665" i="6"/>
  <c r="K1666" i="6"/>
  <c r="M1666" i="6"/>
  <c r="K1667" i="6"/>
  <c r="M1667" i="6"/>
  <c r="K1668" i="6"/>
  <c r="M1668" i="6"/>
  <c r="K1669" i="6"/>
  <c r="M1669" i="6"/>
  <c r="K1670" i="6"/>
  <c r="M1670" i="6"/>
  <c r="K1671" i="6"/>
  <c r="M1671" i="6"/>
  <c r="K1672" i="6"/>
  <c r="M1672" i="6"/>
  <c r="K1673" i="6"/>
  <c r="M1673" i="6"/>
  <c r="K1674" i="6"/>
  <c r="M1674" i="6"/>
  <c r="K1675" i="6"/>
  <c r="M1675" i="6"/>
  <c r="K1676" i="6"/>
  <c r="M1676" i="6"/>
  <c r="K1677" i="6"/>
  <c r="M1677" i="6"/>
  <c r="K1678" i="6"/>
  <c r="M1678" i="6"/>
  <c r="K1679" i="6"/>
  <c r="M1679" i="6"/>
  <c r="K1680" i="6"/>
  <c r="M1680" i="6"/>
  <c r="K1681" i="6"/>
  <c r="M1681" i="6"/>
  <c r="K1682" i="6"/>
  <c r="M1682" i="6"/>
  <c r="K1683" i="6"/>
  <c r="M1683" i="6"/>
  <c r="K1684" i="6"/>
  <c r="M1684" i="6"/>
  <c r="K1685" i="6"/>
  <c r="M1685" i="6"/>
  <c r="K1686" i="6"/>
  <c r="M1686" i="6"/>
  <c r="K1687" i="6"/>
  <c r="M1687" i="6"/>
  <c r="K1688" i="6"/>
  <c r="M1688" i="6"/>
  <c r="K1689" i="6"/>
  <c r="M1689" i="6"/>
  <c r="K1690" i="6"/>
  <c r="M1690" i="6"/>
  <c r="K1691" i="6"/>
  <c r="M1691" i="6"/>
  <c r="K1692" i="6"/>
  <c r="M1692" i="6"/>
  <c r="K1693" i="6"/>
  <c r="M1693" i="6"/>
  <c r="K1694" i="6"/>
  <c r="M1694" i="6"/>
  <c r="K1695" i="6"/>
  <c r="M1695" i="6"/>
  <c r="K1696" i="6"/>
  <c r="M1696" i="6"/>
  <c r="K1697" i="6"/>
  <c r="M1697" i="6"/>
  <c r="K1698" i="6"/>
  <c r="M1698" i="6"/>
  <c r="K1699" i="6"/>
  <c r="M1699" i="6"/>
  <c r="K1700" i="6"/>
  <c r="M1700" i="6"/>
  <c r="K1701" i="6"/>
  <c r="M1701" i="6"/>
  <c r="K1702" i="6"/>
  <c r="M1702" i="6"/>
  <c r="K1703" i="6"/>
  <c r="M1703" i="6"/>
  <c r="K1704" i="6"/>
  <c r="M1704" i="6"/>
  <c r="K1705" i="6"/>
  <c r="M1705" i="6"/>
  <c r="K1706" i="6"/>
  <c r="M1706" i="6"/>
  <c r="K1707" i="6"/>
  <c r="M1707" i="6"/>
  <c r="K1708" i="6"/>
  <c r="M1708" i="6"/>
  <c r="K1709" i="6"/>
  <c r="M1709" i="6"/>
  <c r="K1710" i="6"/>
  <c r="M1710" i="6"/>
  <c r="K1711" i="6"/>
  <c r="M1711" i="6"/>
  <c r="K1712" i="6"/>
  <c r="M1712" i="6"/>
  <c r="K1713" i="6"/>
  <c r="M1713" i="6"/>
  <c r="K1714" i="6"/>
  <c r="M1714" i="6"/>
  <c r="K1715" i="6"/>
  <c r="M1715" i="6"/>
  <c r="K1716" i="6"/>
  <c r="M1716" i="6"/>
  <c r="K1717" i="6"/>
  <c r="M1717" i="6"/>
  <c r="K1718" i="6"/>
  <c r="M1718" i="6"/>
  <c r="K1719" i="6"/>
  <c r="M1719" i="6"/>
  <c r="K1720" i="6"/>
  <c r="M1720" i="6"/>
  <c r="K1721" i="6"/>
  <c r="M1721" i="6"/>
  <c r="K1722" i="6"/>
  <c r="M1722" i="6"/>
  <c r="K1723" i="6"/>
  <c r="M1723" i="6"/>
  <c r="K1724" i="6"/>
  <c r="M1724" i="6"/>
  <c r="K1725" i="6"/>
  <c r="M1725" i="6"/>
  <c r="K1726" i="6"/>
  <c r="M1726" i="6"/>
  <c r="K1727" i="6"/>
  <c r="M1727" i="6"/>
  <c r="K1728" i="6"/>
  <c r="M1728" i="6"/>
  <c r="K1729" i="6"/>
  <c r="M1729" i="6"/>
  <c r="K1730" i="6"/>
  <c r="M1730" i="6"/>
  <c r="K1731" i="6"/>
  <c r="M1731" i="6"/>
  <c r="K1732" i="6"/>
  <c r="M1732" i="6"/>
  <c r="K1733" i="6"/>
  <c r="M1733" i="6"/>
  <c r="K1734" i="6"/>
  <c r="M1734" i="6"/>
  <c r="K1735" i="6"/>
  <c r="M1735" i="6"/>
  <c r="K1736" i="6"/>
  <c r="M1736" i="6"/>
  <c r="K1737" i="6"/>
  <c r="M1737" i="6"/>
  <c r="K1738" i="6"/>
  <c r="M1738" i="6"/>
  <c r="K1739" i="6"/>
  <c r="M1739" i="6"/>
  <c r="K1740" i="6"/>
  <c r="M1740" i="6"/>
  <c r="K1741" i="6"/>
  <c r="M1741" i="6"/>
  <c r="K1742" i="6"/>
  <c r="M1742" i="6"/>
  <c r="K1743" i="6"/>
  <c r="M1743" i="6"/>
  <c r="K1744" i="6"/>
  <c r="M1744" i="6"/>
  <c r="K1745" i="6"/>
  <c r="M1745" i="6"/>
  <c r="K1746" i="6"/>
  <c r="M1746" i="6"/>
  <c r="K1747" i="6"/>
  <c r="M1747" i="6"/>
  <c r="K1748" i="6"/>
  <c r="M1748" i="6"/>
  <c r="K1749" i="6"/>
  <c r="M1749" i="6"/>
  <c r="K1750" i="6"/>
  <c r="M1750" i="6"/>
  <c r="K1751" i="6"/>
  <c r="M1751" i="6"/>
  <c r="K1752" i="6"/>
  <c r="M1752" i="6"/>
  <c r="K1753" i="6"/>
  <c r="M1753" i="6"/>
  <c r="K1754" i="6"/>
  <c r="M1754" i="6"/>
  <c r="K1755" i="6"/>
  <c r="M1755" i="6"/>
  <c r="K1756" i="6"/>
  <c r="M1756" i="6"/>
  <c r="K1757" i="6"/>
  <c r="M1757" i="6"/>
  <c r="K1758" i="6"/>
  <c r="M1758" i="6"/>
  <c r="K1759" i="6"/>
  <c r="M1759" i="6"/>
  <c r="K1760" i="6"/>
  <c r="M1760" i="6"/>
  <c r="K1761" i="6"/>
  <c r="M1761" i="6"/>
  <c r="K1762" i="6"/>
  <c r="M1762" i="6"/>
  <c r="K1763" i="6"/>
  <c r="M1763" i="6"/>
  <c r="K1764" i="6"/>
  <c r="M1764" i="6"/>
  <c r="K1765" i="6"/>
  <c r="M1765" i="6"/>
  <c r="K1766" i="6"/>
  <c r="M1766" i="6"/>
  <c r="K1767" i="6"/>
  <c r="M1767" i="6"/>
  <c r="K1768" i="6"/>
  <c r="M1768" i="6"/>
  <c r="K1769" i="6"/>
  <c r="M1769" i="6"/>
  <c r="K1770" i="6"/>
  <c r="M1770" i="6"/>
  <c r="K1771" i="6"/>
  <c r="M1771" i="6"/>
  <c r="K1772" i="6"/>
  <c r="M1772" i="6"/>
  <c r="K1773" i="6"/>
  <c r="M1773" i="6"/>
  <c r="K1774" i="6"/>
  <c r="M1774" i="6"/>
  <c r="K1775" i="6"/>
  <c r="M1775" i="6"/>
  <c r="K1776" i="6"/>
  <c r="M1776" i="6"/>
  <c r="K1777" i="6"/>
  <c r="M1777" i="6"/>
  <c r="K1778" i="6"/>
  <c r="M1778" i="6"/>
  <c r="K1779" i="6"/>
  <c r="M1779" i="6"/>
  <c r="K1780" i="6"/>
  <c r="M1780" i="6"/>
  <c r="K1781" i="6"/>
  <c r="M1781" i="6"/>
  <c r="K1782" i="6"/>
  <c r="M1782" i="6"/>
  <c r="K1783" i="6"/>
  <c r="M1783" i="6"/>
  <c r="K1784" i="6"/>
  <c r="M1784" i="6"/>
  <c r="K1785" i="6"/>
  <c r="M1785" i="6"/>
  <c r="K1786" i="6"/>
  <c r="M1786" i="6"/>
  <c r="K1787" i="6"/>
  <c r="M1787" i="6"/>
  <c r="K1788" i="6"/>
  <c r="M1788" i="6"/>
  <c r="K1789" i="6"/>
  <c r="M1789" i="6"/>
  <c r="K1790" i="6"/>
  <c r="M1790" i="6"/>
  <c r="K1791" i="6"/>
  <c r="M1791" i="6"/>
  <c r="K1792" i="6"/>
  <c r="M1792" i="6"/>
  <c r="K1793" i="6"/>
  <c r="M1793" i="6"/>
  <c r="K1794" i="6"/>
  <c r="M1794" i="6"/>
  <c r="K1795" i="6"/>
  <c r="M1795" i="6"/>
  <c r="K1796" i="6"/>
  <c r="M1796" i="6"/>
  <c r="K1797" i="6"/>
  <c r="M1797" i="6"/>
  <c r="K1798" i="6"/>
  <c r="M1798" i="6"/>
  <c r="K1799" i="6"/>
  <c r="M1799" i="6"/>
  <c r="K1800" i="6"/>
  <c r="M1800" i="6"/>
  <c r="K1801" i="6"/>
  <c r="M1801" i="6"/>
  <c r="K1802" i="6"/>
  <c r="M1802" i="6"/>
  <c r="K1803" i="6"/>
  <c r="M1803" i="6"/>
  <c r="K1804" i="6"/>
  <c r="M1804" i="6"/>
  <c r="K1805" i="6"/>
  <c r="M1805" i="6"/>
  <c r="K1806" i="6"/>
  <c r="M1806" i="6"/>
  <c r="K1807" i="6"/>
  <c r="M1807" i="6"/>
  <c r="K1808" i="6"/>
  <c r="M1808" i="6"/>
  <c r="K1809" i="6"/>
  <c r="M1809" i="6"/>
  <c r="K1810" i="6"/>
  <c r="M1810" i="6"/>
  <c r="K1811" i="6"/>
  <c r="M1811" i="6"/>
  <c r="K1812" i="6"/>
  <c r="M1812" i="6"/>
  <c r="K1813" i="6"/>
  <c r="M1813" i="6"/>
  <c r="K1814" i="6"/>
  <c r="M1814" i="6"/>
  <c r="K1815" i="6"/>
  <c r="M1815" i="6"/>
  <c r="K1816" i="6"/>
  <c r="M1816" i="6"/>
  <c r="K1817" i="6"/>
  <c r="M1817" i="6"/>
  <c r="K1818" i="6"/>
  <c r="M1818" i="6"/>
  <c r="K1819" i="6"/>
  <c r="M1819" i="6"/>
  <c r="K1820" i="6"/>
  <c r="M1820" i="6"/>
  <c r="K1821" i="6"/>
  <c r="M1821" i="6"/>
  <c r="K1822" i="6"/>
  <c r="M1822" i="6"/>
  <c r="K1823" i="6"/>
  <c r="M1823" i="6"/>
  <c r="K1824" i="6"/>
  <c r="M1824" i="6"/>
  <c r="K1825" i="6"/>
  <c r="M1825" i="6"/>
  <c r="K1826" i="6"/>
  <c r="M1826" i="6"/>
  <c r="K1827" i="6"/>
  <c r="M1827" i="6"/>
  <c r="K1828" i="6"/>
  <c r="M1828" i="6"/>
  <c r="K1829" i="6"/>
  <c r="M1829" i="6"/>
  <c r="K1830" i="6"/>
  <c r="M1830" i="6"/>
  <c r="K1831" i="6"/>
  <c r="M1831" i="6"/>
  <c r="K1832" i="6"/>
  <c r="M1832" i="6"/>
  <c r="K1833" i="6"/>
  <c r="M1833" i="6"/>
  <c r="K1834" i="6"/>
  <c r="M1834" i="6"/>
  <c r="K1835" i="6"/>
  <c r="M1835" i="6"/>
  <c r="K1836" i="6"/>
  <c r="M1836" i="6"/>
  <c r="K1837" i="6"/>
  <c r="M1837" i="6"/>
  <c r="K1838" i="6"/>
  <c r="M1838" i="6"/>
  <c r="K1839" i="6"/>
  <c r="M1839" i="6"/>
  <c r="K1840" i="6"/>
  <c r="M1840" i="6"/>
  <c r="K1841" i="6"/>
  <c r="M1841" i="6"/>
  <c r="K1842" i="6"/>
  <c r="M1842" i="6"/>
  <c r="K1843" i="6"/>
  <c r="M1843" i="6"/>
  <c r="K1844" i="6"/>
  <c r="M1844" i="6"/>
  <c r="K1845" i="6"/>
  <c r="M1845" i="6"/>
  <c r="K1846" i="6"/>
  <c r="M1846" i="6"/>
  <c r="K1847" i="6"/>
  <c r="M1847" i="6"/>
  <c r="K1848" i="6"/>
  <c r="M1848" i="6"/>
  <c r="K1849" i="6"/>
  <c r="M1849" i="6"/>
  <c r="K1850" i="6"/>
  <c r="M1850" i="6"/>
  <c r="K1851" i="6"/>
  <c r="M1851" i="6"/>
  <c r="K1852" i="6"/>
  <c r="M1852" i="6"/>
  <c r="K1853" i="6"/>
  <c r="M1853" i="6"/>
  <c r="K1854" i="6"/>
  <c r="M1854" i="6"/>
  <c r="K1855" i="6"/>
  <c r="M1855" i="6"/>
  <c r="K1856" i="6"/>
  <c r="M1856" i="6"/>
  <c r="K1857" i="6"/>
  <c r="M1857" i="6"/>
  <c r="K1858" i="6"/>
  <c r="M1858" i="6"/>
  <c r="K1859" i="6"/>
  <c r="M1859" i="6"/>
  <c r="K1860" i="6"/>
  <c r="M1860" i="6"/>
  <c r="K1861" i="6"/>
  <c r="M1861" i="6"/>
  <c r="K1862" i="6"/>
  <c r="M1862" i="6"/>
  <c r="K1863" i="6"/>
  <c r="M1863" i="6"/>
  <c r="K1864" i="6"/>
  <c r="M1864" i="6"/>
  <c r="K1865" i="6"/>
  <c r="M1865" i="6"/>
  <c r="K1866" i="6"/>
  <c r="M1866" i="6"/>
  <c r="K1867" i="6"/>
  <c r="M1867" i="6"/>
  <c r="K1868" i="6"/>
  <c r="M1868" i="6"/>
  <c r="K1869" i="6"/>
  <c r="M1869" i="6"/>
  <c r="K1870" i="6"/>
  <c r="M1870" i="6"/>
  <c r="K1871" i="6"/>
  <c r="M1871" i="6"/>
  <c r="K1872" i="6"/>
  <c r="M1872" i="6"/>
  <c r="K1873" i="6"/>
  <c r="M1873" i="6"/>
  <c r="K1874" i="6"/>
  <c r="M1874" i="6"/>
  <c r="K1875" i="6"/>
  <c r="M1875" i="6"/>
  <c r="K1876" i="6"/>
  <c r="M1876" i="6"/>
  <c r="K1877" i="6"/>
  <c r="M1877" i="6"/>
  <c r="K1878" i="6"/>
  <c r="M1878" i="6"/>
  <c r="K1879" i="6"/>
  <c r="M1879" i="6"/>
  <c r="K1880" i="6"/>
  <c r="M1880" i="6"/>
  <c r="K1881" i="6"/>
  <c r="M1881" i="6"/>
  <c r="K1882" i="6"/>
  <c r="M1882" i="6"/>
  <c r="K1883" i="6"/>
  <c r="M1883" i="6"/>
  <c r="K1884" i="6"/>
  <c r="M1884" i="6"/>
  <c r="K1885" i="6"/>
  <c r="M1885" i="6"/>
  <c r="K1886" i="6"/>
  <c r="M1886" i="6"/>
  <c r="K1887" i="6"/>
  <c r="M1887" i="6"/>
  <c r="K1888" i="6"/>
  <c r="M1888" i="6"/>
  <c r="K1889" i="6"/>
  <c r="M1889" i="6"/>
  <c r="K1890" i="6"/>
  <c r="M1890" i="6"/>
  <c r="K1891" i="6"/>
  <c r="M1891" i="6"/>
  <c r="K1892" i="6"/>
  <c r="M1892" i="6"/>
  <c r="K1893" i="6"/>
  <c r="M1893" i="6"/>
  <c r="K1894" i="6"/>
  <c r="M1894" i="6"/>
  <c r="K1895" i="6"/>
  <c r="M1895" i="6"/>
  <c r="K1896" i="6"/>
  <c r="M1896" i="6"/>
  <c r="K1897" i="6"/>
  <c r="M1897" i="6"/>
  <c r="K1898" i="6"/>
  <c r="M1898" i="6"/>
  <c r="K1899" i="6"/>
  <c r="M1899" i="6"/>
  <c r="K1900" i="6"/>
  <c r="M1900" i="6"/>
  <c r="K1901" i="6"/>
  <c r="M1901" i="6"/>
  <c r="K1902" i="6"/>
  <c r="M1902" i="6"/>
  <c r="K1903" i="6"/>
  <c r="M1903" i="6"/>
  <c r="K1904" i="6"/>
  <c r="M1904" i="6"/>
  <c r="K1905" i="6"/>
  <c r="M1905" i="6"/>
  <c r="K1906" i="6"/>
  <c r="M1906" i="6"/>
  <c r="K1907" i="6"/>
  <c r="M1907" i="6"/>
  <c r="K1908" i="6"/>
  <c r="M1908" i="6"/>
  <c r="K1909" i="6"/>
  <c r="M1909" i="6"/>
  <c r="K1910" i="6"/>
  <c r="M1910" i="6"/>
  <c r="K1911" i="6"/>
  <c r="M1911" i="6"/>
  <c r="K1912" i="6"/>
  <c r="M1912" i="6"/>
  <c r="K1913" i="6"/>
  <c r="M1913" i="6"/>
  <c r="K1914" i="6"/>
  <c r="M1914" i="6"/>
  <c r="K1915" i="6"/>
  <c r="M1915" i="6"/>
  <c r="K1916" i="6"/>
  <c r="M1916" i="6"/>
  <c r="K1917" i="6"/>
  <c r="M1917" i="6"/>
  <c r="K1918" i="6"/>
  <c r="M1918" i="6"/>
  <c r="K1919" i="6"/>
  <c r="M1919" i="6"/>
  <c r="K1920" i="6"/>
  <c r="M1920" i="6"/>
  <c r="K1921" i="6"/>
  <c r="M1921" i="6"/>
  <c r="K1922" i="6"/>
  <c r="M1922" i="6"/>
  <c r="K1923" i="6"/>
  <c r="M1923" i="6"/>
  <c r="K1924" i="6"/>
  <c r="M1924" i="6"/>
  <c r="K1925" i="6"/>
  <c r="M1925" i="6"/>
  <c r="K1926" i="6"/>
  <c r="M1926" i="6"/>
  <c r="K1927" i="6"/>
  <c r="M1927" i="6"/>
  <c r="K1928" i="6"/>
  <c r="M1928" i="6"/>
  <c r="K1929" i="6"/>
  <c r="M1929" i="6"/>
  <c r="K1930" i="6"/>
  <c r="M1930" i="6"/>
  <c r="K1931" i="6"/>
  <c r="M1931" i="6"/>
  <c r="K1932" i="6"/>
  <c r="M1932" i="6"/>
  <c r="K1933" i="6"/>
  <c r="M1933" i="6"/>
  <c r="K1934" i="6"/>
  <c r="M1934" i="6"/>
  <c r="K1935" i="6"/>
  <c r="M1935" i="6"/>
  <c r="K1936" i="6"/>
  <c r="M1936" i="6"/>
  <c r="K1937" i="6"/>
  <c r="M1937" i="6"/>
  <c r="K1938" i="6"/>
  <c r="M1938" i="6"/>
  <c r="K1939" i="6"/>
  <c r="M1939" i="6"/>
  <c r="K1940" i="6"/>
  <c r="M1940" i="6"/>
  <c r="K1941" i="6"/>
  <c r="M1941" i="6"/>
  <c r="K1942" i="6"/>
  <c r="M1942" i="6"/>
  <c r="K1943" i="6"/>
  <c r="M1943" i="6"/>
  <c r="K1944" i="6"/>
  <c r="M1944" i="6"/>
  <c r="K1945" i="6"/>
  <c r="M1945" i="6"/>
  <c r="K1946" i="6"/>
  <c r="M1946" i="6"/>
  <c r="K1947" i="6"/>
  <c r="M1947" i="6"/>
  <c r="K1948" i="6"/>
  <c r="M1948" i="6"/>
  <c r="K1949" i="6"/>
  <c r="M1949" i="6"/>
  <c r="K1950" i="6"/>
  <c r="M1950" i="6"/>
  <c r="K1951" i="6"/>
  <c r="M1951" i="6"/>
  <c r="K1952" i="6"/>
  <c r="M1952" i="6"/>
  <c r="K1953" i="6"/>
  <c r="M1953" i="6"/>
  <c r="K1954" i="6"/>
  <c r="M1954" i="6"/>
  <c r="K1955" i="6"/>
  <c r="M1955" i="6"/>
  <c r="K1956" i="6"/>
  <c r="M1956" i="6"/>
  <c r="K1957" i="6"/>
  <c r="M1957" i="6"/>
  <c r="K1958" i="6"/>
  <c r="M1958" i="6"/>
  <c r="K1959" i="6"/>
  <c r="M1959" i="6"/>
  <c r="K1960" i="6"/>
  <c r="M1960" i="6"/>
  <c r="K1961" i="6"/>
  <c r="M1961" i="6"/>
  <c r="K1962" i="6"/>
  <c r="M1962" i="6"/>
  <c r="K1963" i="6"/>
  <c r="M1963" i="6"/>
  <c r="K1964" i="6"/>
  <c r="M1964" i="6"/>
  <c r="K1965" i="6"/>
  <c r="M1965" i="6"/>
  <c r="K1966" i="6"/>
  <c r="M1966" i="6"/>
  <c r="K1967" i="6"/>
  <c r="M1967" i="6"/>
  <c r="K1968" i="6"/>
  <c r="M1968" i="6"/>
  <c r="K1969" i="6"/>
  <c r="M1969" i="6"/>
  <c r="K1970" i="6"/>
  <c r="M1970" i="6"/>
  <c r="K1971" i="6"/>
  <c r="M1971" i="6"/>
  <c r="K1972" i="6"/>
  <c r="M1972" i="6"/>
  <c r="K1973" i="6"/>
  <c r="M1973" i="6"/>
  <c r="K1974" i="6"/>
  <c r="M1974" i="6"/>
  <c r="K1975" i="6"/>
  <c r="M1975" i="6"/>
  <c r="K1976" i="6"/>
  <c r="M1976" i="6"/>
  <c r="K1977" i="6"/>
  <c r="M1977" i="6"/>
  <c r="K1978" i="6"/>
  <c r="M1978" i="6"/>
  <c r="K1979" i="6"/>
  <c r="M1979" i="6"/>
  <c r="K1980" i="6"/>
  <c r="M1980" i="6"/>
  <c r="K1981" i="6"/>
  <c r="M1981" i="6"/>
  <c r="K1982" i="6"/>
  <c r="M1982" i="6"/>
  <c r="K1983" i="6"/>
  <c r="M1983" i="6"/>
  <c r="K1984" i="6"/>
  <c r="M1984" i="6"/>
  <c r="K1985" i="6"/>
  <c r="M1985" i="6"/>
  <c r="K1986" i="6"/>
  <c r="M1986" i="6"/>
  <c r="K1987" i="6"/>
  <c r="M1987" i="6"/>
  <c r="K1988" i="6"/>
  <c r="M1988" i="6"/>
  <c r="K1989" i="6"/>
  <c r="M1989" i="6"/>
  <c r="K1990" i="6"/>
  <c r="M1990" i="6"/>
  <c r="K1991" i="6"/>
  <c r="M1991" i="6"/>
  <c r="K1992" i="6"/>
  <c r="M1992" i="6"/>
  <c r="K1993" i="6"/>
  <c r="M1993" i="6"/>
  <c r="K1994" i="6"/>
  <c r="M1994" i="6"/>
  <c r="K1995" i="6"/>
  <c r="M1995" i="6"/>
  <c r="K1996" i="6"/>
  <c r="M1996" i="6"/>
  <c r="K1997" i="6"/>
  <c r="M1997" i="6"/>
  <c r="K1998" i="6"/>
  <c r="M1998" i="6"/>
  <c r="K1999" i="6"/>
  <c r="M1999" i="6"/>
  <c r="K2000" i="6"/>
  <c r="M2000" i="6"/>
  <c r="K2001" i="6"/>
  <c r="M2001" i="6"/>
  <c r="K2002" i="6"/>
  <c r="M2002" i="6"/>
  <c r="K2003" i="6"/>
  <c r="M2003" i="6"/>
  <c r="K2004" i="6"/>
  <c r="M2004" i="6"/>
  <c r="K2005" i="6"/>
  <c r="M2005" i="6"/>
  <c r="K2006" i="6"/>
  <c r="M2006" i="6"/>
  <c r="K2007" i="6"/>
  <c r="M2007" i="6"/>
  <c r="K2008" i="6"/>
  <c r="M2008" i="6"/>
  <c r="K2009" i="6"/>
  <c r="M2009" i="6"/>
  <c r="K2010" i="6"/>
  <c r="M2010" i="6"/>
  <c r="K2011" i="6"/>
  <c r="M2011" i="6"/>
  <c r="K2012" i="6"/>
  <c r="M2012" i="6"/>
  <c r="K2013" i="6"/>
  <c r="M2013" i="6"/>
  <c r="K2014" i="6"/>
  <c r="M2014" i="6"/>
  <c r="K2015" i="6"/>
  <c r="M2015" i="6"/>
  <c r="K2016" i="6"/>
  <c r="M2016" i="6"/>
  <c r="K2017" i="6"/>
  <c r="M2017" i="6"/>
  <c r="K2018" i="6"/>
  <c r="M2018" i="6"/>
  <c r="K2019" i="6"/>
  <c r="M2019" i="6"/>
  <c r="K2020" i="6"/>
  <c r="M2020" i="6"/>
  <c r="K2021" i="6"/>
  <c r="M2021" i="6"/>
  <c r="K2022" i="6"/>
  <c r="M2022" i="6"/>
  <c r="K2023" i="6"/>
  <c r="M2023" i="6"/>
  <c r="K2024" i="6"/>
  <c r="M2024" i="6"/>
  <c r="K2025" i="6"/>
  <c r="M2025" i="6"/>
  <c r="K2026" i="6"/>
  <c r="M2026" i="6"/>
  <c r="K2027" i="6"/>
  <c r="M2027" i="6"/>
  <c r="K2028" i="6"/>
  <c r="M2028" i="6"/>
  <c r="K2029" i="6"/>
  <c r="M2029" i="6"/>
  <c r="K2030" i="6"/>
  <c r="M2030" i="6"/>
  <c r="K2031" i="6"/>
  <c r="M2031" i="6"/>
  <c r="K2032" i="6"/>
  <c r="M2032" i="6"/>
  <c r="K2033" i="6"/>
  <c r="M2033" i="6"/>
  <c r="K2034" i="6"/>
  <c r="M2034" i="6"/>
  <c r="K2035" i="6"/>
  <c r="M2035" i="6"/>
  <c r="K2036" i="6"/>
  <c r="M2036" i="6"/>
  <c r="K2037" i="6"/>
  <c r="M2037" i="6"/>
  <c r="K2038" i="6"/>
  <c r="M2038" i="6"/>
  <c r="K2039" i="6"/>
  <c r="M2039" i="6"/>
  <c r="K2040" i="6"/>
  <c r="M2040" i="6"/>
  <c r="K2041" i="6"/>
  <c r="M2041" i="6"/>
  <c r="K2042" i="6"/>
  <c r="M2042" i="6"/>
  <c r="K2043" i="6"/>
  <c r="M2043" i="6"/>
  <c r="K2044" i="6"/>
  <c r="M2044" i="6"/>
  <c r="K2045" i="6"/>
  <c r="M2045" i="6"/>
  <c r="K2046" i="6"/>
  <c r="M2046" i="6"/>
  <c r="K2047" i="6"/>
  <c r="M2047" i="6"/>
  <c r="K2048" i="6"/>
  <c r="M2048" i="6"/>
  <c r="K2049" i="6"/>
  <c r="M2049" i="6"/>
  <c r="K2050" i="6"/>
  <c r="M2050" i="6"/>
  <c r="K2051" i="6"/>
  <c r="M2051" i="6"/>
  <c r="K2052" i="6"/>
  <c r="M2052" i="6"/>
  <c r="K2053" i="6"/>
  <c r="M2053" i="6"/>
  <c r="K2054" i="6"/>
  <c r="M2054" i="6"/>
  <c r="K2055" i="6"/>
  <c r="M2055" i="6"/>
  <c r="K2056" i="6"/>
  <c r="M2056" i="6"/>
  <c r="K2057" i="6"/>
  <c r="M2057" i="6"/>
  <c r="K2058" i="6"/>
  <c r="M2058" i="6"/>
  <c r="K2059" i="6"/>
  <c r="M2059" i="6"/>
  <c r="K2060" i="6"/>
  <c r="M2060" i="6"/>
  <c r="K2061" i="6"/>
  <c r="M2061" i="6"/>
  <c r="K2062" i="6"/>
  <c r="M2062" i="6"/>
  <c r="K2063" i="6"/>
  <c r="M2063" i="6"/>
  <c r="K2064" i="6"/>
  <c r="M2064" i="6"/>
  <c r="K2065" i="6"/>
  <c r="M2065" i="6"/>
  <c r="K2066" i="6"/>
  <c r="M2066" i="6"/>
  <c r="K2067" i="6"/>
  <c r="M2067" i="6"/>
  <c r="K2068" i="6"/>
  <c r="M2068" i="6"/>
  <c r="K2069" i="6"/>
  <c r="M2069" i="6"/>
  <c r="K2070" i="6"/>
  <c r="M2070" i="6"/>
  <c r="K2071" i="6"/>
  <c r="M2071" i="6"/>
  <c r="K2072" i="6"/>
  <c r="M2072" i="6"/>
  <c r="K2073" i="6"/>
  <c r="M2073" i="6"/>
  <c r="K2074" i="6"/>
  <c r="M2074" i="6"/>
  <c r="K2075" i="6"/>
  <c r="M2075" i="6"/>
  <c r="K2076" i="6"/>
  <c r="M2076" i="6"/>
  <c r="K2077" i="6"/>
  <c r="M2077" i="6"/>
  <c r="K2078" i="6"/>
  <c r="M2078" i="6"/>
  <c r="K2079" i="6"/>
  <c r="M2079" i="6"/>
  <c r="K2080" i="6"/>
  <c r="M2080" i="6"/>
  <c r="K2081" i="6"/>
  <c r="M2081" i="6"/>
  <c r="K2082" i="6"/>
  <c r="M2082" i="6"/>
  <c r="K2083" i="6"/>
  <c r="M2083" i="6"/>
  <c r="K2084" i="6"/>
  <c r="M2084" i="6"/>
  <c r="K2085" i="6"/>
  <c r="M2085" i="6"/>
  <c r="K2086" i="6"/>
  <c r="M2086" i="6"/>
  <c r="K2087" i="6"/>
  <c r="M2087" i="6"/>
  <c r="K2088" i="6"/>
  <c r="M2088" i="6"/>
  <c r="K2089" i="6"/>
  <c r="M2089" i="6"/>
  <c r="K2090" i="6"/>
  <c r="M2090" i="6"/>
  <c r="K2091" i="6"/>
  <c r="M2091" i="6"/>
  <c r="K2092" i="6"/>
  <c r="M2092" i="6"/>
  <c r="K2093" i="6"/>
  <c r="M2093" i="6"/>
  <c r="K2094" i="6"/>
  <c r="M2094" i="6"/>
  <c r="K2095" i="6"/>
  <c r="M2095" i="6"/>
  <c r="K2096" i="6"/>
  <c r="M2096" i="6"/>
  <c r="K2097" i="6"/>
  <c r="M2097" i="6"/>
  <c r="K2098" i="6"/>
  <c r="M2098" i="6"/>
  <c r="K2099" i="6"/>
  <c r="M2099" i="6"/>
  <c r="K2100" i="6"/>
  <c r="M2100" i="6"/>
  <c r="K2101" i="6"/>
  <c r="M2101" i="6"/>
  <c r="K2102" i="6"/>
  <c r="M2102" i="6"/>
  <c r="K2103" i="6"/>
  <c r="M2103" i="6"/>
  <c r="K2104" i="6"/>
  <c r="M2104" i="6"/>
  <c r="K2105" i="6"/>
  <c r="M2105" i="6"/>
  <c r="K2106" i="6"/>
  <c r="M2106" i="6"/>
  <c r="K2107" i="6"/>
  <c r="M2107" i="6"/>
  <c r="K2108" i="6"/>
  <c r="M2108" i="6"/>
  <c r="K2109" i="6"/>
  <c r="M2109" i="6"/>
  <c r="K2110" i="6"/>
  <c r="M2110" i="6"/>
  <c r="K2111" i="6"/>
  <c r="M2111" i="6"/>
  <c r="K2112" i="6"/>
  <c r="M2112" i="6"/>
  <c r="K2113" i="6"/>
  <c r="M2113" i="6"/>
  <c r="K2114" i="6"/>
  <c r="M2114" i="6"/>
  <c r="K2115" i="6"/>
  <c r="M2115" i="6"/>
  <c r="K2116" i="6"/>
  <c r="M2116" i="6"/>
  <c r="K2117" i="6"/>
  <c r="M2117" i="6"/>
  <c r="K2118" i="6"/>
  <c r="M2118" i="6"/>
  <c r="K2119" i="6"/>
  <c r="M2119" i="6"/>
  <c r="K2120" i="6"/>
  <c r="M2120" i="6"/>
  <c r="K2121" i="6"/>
  <c r="M2121" i="6"/>
  <c r="K2122" i="6"/>
  <c r="M2122" i="6"/>
  <c r="K2123" i="6"/>
  <c r="M2123" i="6"/>
  <c r="K2124" i="6"/>
  <c r="M2124" i="6"/>
  <c r="K2125" i="6"/>
  <c r="M2125" i="6"/>
  <c r="K2126" i="6"/>
  <c r="M2126" i="6"/>
  <c r="K2127" i="6"/>
  <c r="M2127" i="6"/>
  <c r="K2128" i="6"/>
  <c r="M2128" i="6"/>
  <c r="K2129" i="6"/>
  <c r="M2129" i="6"/>
  <c r="K2130" i="6"/>
  <c r="M2130" i="6"/>
  <c r="K2131" i="6"/>
  <c r="M2131" i="6"/>
  <c r="K2132" i="6"/>
  <c r="M2132" i="6"/>
  <c r="K2133" i="6"/>
  <c r="M2133" i="6"/>
  <c r="K2134" i="6"/>
  <c r="M2134" i="6"/>
  <c r="K2135" i="6"/>
  <c r="M2135" i="6"/>
  <c r="K2136" i="6"/>
  <c r="M2136" i="6"/>
  <c r="K2137" i="6"/>
  <c r="M2137" i="6"/>
  <c r="K2138" i="6"/>
  <c r="M2138" i="6"/>
  <c r="K2139" i="6"/>
  <c r="M2139" i="6"/>
  <c r="K2140" i="6"/>
  <c r="M2140" i="6"/>
  <c r="K2141" i="6"/>
  <c r="M2141" i="6"/>
  <c r="K2142" i="6"/>
  <c r="M2142" i="6"/>
  <c r="K2143" i="6"/>
  <c r="M2143" i="6"/>
  <c r="K2144" i="6"/>
  <c r="M2144" i="6"/>
  <c r="K2145" i="6"/>
  <c r="M2145" i="6"/>
  <c r="K2146" i="6"/>
  <c r="M2146" i="6"/>
  <c r="K2147" i="6"/>
  <c r="M2147" i="6"/>
  <c r="K2148" i="6"/>
  <c r="M2148" i="6"/>
  <c r="K2149" i="6"/>
  <c r="M2149" i="6"/>
  <c r="K2150" i="6"/>
  <c r="M2150" i="6"/>
  <c r="K2151" i="6"/>
  <c r="M2151" i="6"/>
  <c r="K2152" i="6"/>
  <c r="M2152" i="6"/>
  <c r="K2153" i="6"/>
  <c r="M2153" i="6"/>
  <c r="K2154" i="6"/>
  <c r="M2154" i="6"/>
  <c r="K2155" i="6"/>
  <c r="M2155" i="6"/>
  <c r="K2156" i="6"/>
  <c r="M2156" i="6"/>
  <c r="K2157" i="6"/>
  <c r="M2157" i="6"/>
  <c r="K2158" i="6"/>
  <c r="M2158" i="6"/>
  <c r="K2159" i="6"/>
  <c r="M2159" i="6"/>
  <c r="K2160" i="6"/>
  <c r="M2160" i="6"/>
  <c r="K2161" i="6"/>
  <c r="M2161" i="6"/>
  <c r="K2162" i="6"/>
  <c r="M2162" i="6"/>
  <c r="K2163" i="6"/>
  <c r="M2163" i="6"/>
  <c r="K2164" i="6"/>
  <c r="M2164" i="6"/>
  <c r="K2165" i="6"/>
  <c r="M2165" i="6"/>
  <c r="K2166" i="6"/>
  <c r="M2166" i="6"/>
  <c r="K2167" i="6"/>
  <c r="M2167" i="6"/>
  <c r="K2168" i="6"/>
  <c r="M2168" i="6"/>
  <c r="K2169" i="6"/>
  <c r="M2169" i="6"/>
  <c r="K2170" i="6"/>
  <c r="M2170" i="6"/>
  <c r="K2171" i="6"/>
  <c r="M2171" i="6"/>
  <c r="K2172" i="6"/>
  <c r="M2172" i="6"/>
  <c r="K2173" i="6"/>
  <c r="M2173" i="6"/>
  <c r="K2174" i="6"/>
  <c r="M2174" i="6"/>
  <c r="K2175" i="6"/>
  <c r="M2175" i="6"/>
  <c r="K2176" i="6"/>
  <c r="M2176" i="6"/>
  <c r="K2177" i="6"/>
  <c r="M2177" i="6"/>
  <c r="K2178" i="6"/>
  <c r="M2178" i="6"/>
  <c r="K2179" i="6"/>
  <c r="M2179" i="6"/>
  <c r="K2180" i="6"/>
  <c r="M2180" i="6"/>
  <c r="K2181" i="6"/>
  <c r="M2181" i="6"/>
  <c r="K2182" i="6"/>
  <c r="M2182" i="6"/>
  <c r="K2183" i="6"/>
  <c r="M2183" i="6"/>
  <c r="K2184" i="6"/>
  <c r="M2184" i="6"/>
  <c r="K2185" i="6"/>
  <c r="M2185" i="6"/>
  <c r="K2186" i="6"/>
  <c r="M2186" i="6"/>
  <c r="K2187" i="6"/>
  <c r="M2187" i="6"/>
  <c r="K2188" i="6"/>
  <c r="M2188" i="6"/>
  <c r="K2189" i="6"/>
  <c r="M2189" i="6"/>
  <c r="K2190" i="6"/>
  <c r="M2190" i="6"/>
  <c r="K2191" i="6"/>
  <c r="M2191" i="6"/>
  <c r="K2192" i="6"/>
  <c r="M2192" i="6"/>
  <c r="K2193" i="6"/>
  <c r="M2193" i="6"/>
  <c r="K2194" i="6"/>
  <c r="M2194" i="6"/>
  <c r="K2195" i="6"/>
  <c r="M2195" i="6"/>
  <c r="K2196" i="6"/>
  <c r="M2196" i="6"/>
  <c r="K2197" i="6"/>
  <c r="M2197" i="6"/>
  <c r="K2198" i="6"/>
  <c r="M2198" i="6"/>
  <c r="K2199" i="6"/>
  <c r="M2199" i="6"/>
  <c r="K2200" i="6"/>
  <c r="M2200" i="6"/>
  <c r="K2201" i="6"/>
  <c r="M2201" i="6"/>
  <c r="K2202" i="6"/>
  <c r="M2202" i="6"/>
  <c r="K2203" i="6"/>
  <c r="M2203" i="6"/>
  <c r="K2204" i="6"/>
  <c r="M2204" i="6"/>
  <c r="K2205" i="6"/>
  <c r="M2205" i="6"/>
  <c r="K2206" i="6"/>
  <c r="M2206" i="6"/>
  <c r="K2207" i="6"/>
  <c r="M2207" i="6"/>
  <c r="K2208" i="6"/>
  <c r="M2208" i="6"/>
  <c r="K2209" i="6"/>
  <c r="M2209" i="6"/>
  <c r="K2210" i="6"/>
  <c r="M2210" i="6"/>
  <c r="K2211" i="6"/>
  <c r="M2211" i="6"/>
  <c r="K2212" i="6"/>
  <c r="M2212" i="6"/>
  <c r="K2213" i="6"/>
  <c r="M2213" i="6"/>
  <c r="K2214" i="6"/>
  <c r="M2214" i="6"/>
  <c r="K2215" i="6"/>
  <c r="M2215" i="6"/>
  <c r="K2216" i="6"/>
  <c r="M2216" i="6"/>
  <c r="K2217" i="6"/>
  <c r="M2217" i="6"/>
  <c r="K2218" i="6"/>
  <c r="M2218" i="6"/>
  <c r="K2219" i="6"/>
  <c r="M2219" i="6"/>
  <c r="K2220" i="6"/>
  <c r="M2220" i="6"/>
  <c r="K2221" i="6"/>
  <c r="M2221" i="6"/>
  <c r="K2222" i="6"/>
  <c r="M2222" i="6"/>
  <c r="K2223" i="6"/>
  <c r="M2223" i="6"/>
  <c r="K2224" i="6"/>
  <c r="M2224" i="6"/>
  <c r="K2225" i="6"/>
  <c r="M2225" i="6"/>
  <c r="K2226" i="6"/>
  <c r="M2226" i="6"/>
  <c r="K2227" i="6"/>
  <c r="M2227" i="6"/>
  <c r="K2228" i="6"/>
  <c r="M2228" i="6"/>
  <c r="K2229" i="6"/>
  <c r="M2229" i="6"/>
  <c r="K2230" i="6"/>
  <c r="M2230" i="6"/>
  <c r="K2231" i="6"/>
  <c r="M2231" i="6"/>
  <c r="K2232" i="6"/>
  <c r="M2232" i="6"/>
  <c r="K2233" i="6"/>
  <c r="M2233" i="6"/>
  <c r="K2234" i="6"/>
  <c r="M2234" i="6"/>
  <c r="K2235" i="6"/>
  <c r="M2235" i="6"/>
  <c r="K2236" i="6"/>
  <c r="M2236" i="6"/>
  <c r="K2237" i="6"/>
  <c r="M2237" i="6"/>
  <c r="K2238" i="6"/>
  <c r="M2238" i="6"/>
  <c r="K2239" i="6"/>
  <c r="M2239" i="6"/>
  <c r="K2240" i="6"/>
  <c r="M2240" i="6"/>
  <c r="K2241" i="6"/>
  <c r="M2241" i="6"/>
  <c r="K2242" i="6"/>
  <c r="M2242" i="6"/>
  <c r="K2243" i="6"/>
  <c r="M2243" i="6"/>
  <c r="K2244" i="6"/>
  <c r="M2244" i="6"/>
  <c r="K2245" i="6"/>
  <c r="M2245" i="6"/>
  <c r="K2246" i="6"/>
  <c r="M2246" i="6"/>
  <c r="K2247" i="6"/>
  <c r="M2247" i="6"/>
  <c r="K2248" i="6"/>
  <c r="M2248" i="6"/>
  <c r="K2249" i="6"/>
  <c r="M2249" i="6"/>
  <c r="K2250" i="6"/>
  <c r="M2250" i="6"/>
  <c r="K2251" i="6"/>
  <c r="M2251" i="6"/>
  <c r="K2252" i="6"/>
  <c r="M2252" i="6"/>
  <c r="K2253" i="6"/>
  <c r="M2253" i="6"/>
  <c r="K2254" i="6"/>
  <c r="M2254" i="6"/>
  <c r="K2255" i="6"/>
  <c r="M2255" i="6"/>
  <c r="K2256" i="6"/>
  <c r="M2256" i="6"/>
  <c r="K2257" i="6"/>
  <c r="M2257" i="6"/>
  <c r="K2258" i="6"/>
  <c r="M2258" i="6"/>
  <c r="K2259" i="6"/>
  <c r="M2259" i="6"/>
  <c r="K2260" i="6"/>
  <c r="M2260" i="6"/>
  <c r="K2261" i="6"/>
  <c r="M2261" i="6"/>
  <c r="K2262" i="6"/>
  <c r="M2262" i="6"/>
  <c r="K2263" i="6"/>
  <c r="M2263" i="6"/>
  <c r="K2264" i="6"/>
  <c r="M2264" i="6"/>
  <c r="K2265" i="6"/>
  <c r="M2265" i="6"/>
  <c r="K2266" i="6"/>
  <c r="M2266" i="6"/>
  <c r="K2267" i="6"/>
  <c r="M2267" i="6"/>
  <c r="K2268" i="6"/>
  <c r="M2268" i="6"/>
  <c r="K2269" i="6"/>
  <c r="M2269" i="6"/>
  <c r="K2270" i="6"/>
  <c r="M2270" i="6"/>
  <c r="K2271" i="6"/>
  <c r="M2271" i="6"/>
  <c r="K2272" i="6"/>
  <c r="M2272" i="6"/>
  <c r="K2273" i="6"/>
  <c r="M2273" i="6"/>
  <c r="K2274" i="6"/>
  <c r="M2274" i="6"/>
  <c r="K2275" i="6"/>
  <c r="M2275" i="6"/>
  <c r="K2276" i="6"/>
  <c r="M2276" i="6"/>
  <c r="K2277" i="6"/>
  <c r="M2277" i="6"/>
  <c r="K2278" i="6"/>
  <c r="M2278" i="6"/>
  <c r="K2279" i="6"/>
  <c r="M2279" i="6"/>
  <c r="K2280" i="6"/>
  <c r="M2280" i="6"/>
  <c r="K2281" i="6"/>
  <c r="M2281" i="6"/>
  <c r="K2282" i="6"/>
  <c r="M2282" i="6"/>
  <c r="K2283" i="6"/>
  <c r="M2283" i="6"/>
  <c r="K2284" i="6"/>
  <c r="M2284" i="6"/>
  <c r="K2285" i="6"/>
  <c r="M2285" i="6"/>
  <c r="K2286" i="6"/>
  <c r="M2286" i="6"/>
  <c r="K2287" i="6"/>
  <c r="M2287" i="6"/>
  <c r="K2288" i="6"/>
  <c r="M2288" i="6"/>
  <c r="K2289" i="6"/>
  <c r="M2289" i="6"/>
  <c r="K2290" i="6"/>
  <c r="M2290" i="6"/>
  <c r="K2291" i="6"/>
  <c r="M2291" i="6"/>
  <c r="K2292" i="6"/>
  <c r="M2292" i="6"/>
  <c r="K2293" i="6"/>
  <c r="M2293" i="6"/>
  <c r="K2294" i="6"/>
  <c r="M2294" i="6"/>
  <c r="K2295" i="6"/>
  <c r="M2295" i="6"/>
  <c r="K2296" i="6"/>
  <c r="M2296" i="6"/>
  <c r="K2297" i="6"/>
  <c r="M2297" i="6"/>
  <c r="K2298" i="6"/>
  <c r="M2298" i="6"/>
  <c r="K2299" i="6"/>
  <c r="M2299" i="6"/>
  <c r="K2300" i="6"/>
  <c r="M2300" i="6"/>
  <c r="K2301" i="6"/>
  <c r="M2301" i="6"/>
  <c r="K2302" i="6"/>
  <c r="M2302" i="6"/>
  <c r="K2303" i="6"/>
  <c r="M2303" i="6"/>
  <c r="K2304" i="6"/>
  <c r="M2304" i="6"/>
  <c r="K2305" i="6"/>
  <c r="M2305" i="6"/>
  <c r="K2306" i="6"/>
  <c r="M2306" i="6"/>
  <c r="K2307" i="6"/>
  <c r="M2307" i="6"/>
  <c r="K2308" i="6"/>
  <c r="M2308" i="6"/>
  <c r="K2309" i="6"/>
  <c r="M2309" i="6"/>
  <c r="K2310" i="6"/>
  <c r="M2310" i="6"/>
  <c r="K2311" i="6"/>
  <c r="M2311" i="6"/>
  <c r="K2312" i="6"/>
  <c r="M2312" i="6"/>
  <c r="K2313" i="6"/>
  <c r="M2313" i="6"/>
  <c r="K2314" i="6"/>
  <c r="M2314" i="6"/>
  <c r="K2315" i="6"/>
  <c r="M2315" i="6"/>
  <c r="K2316" i="6"/>
  <c r="M2316" i="6"/>
  <c r="K2317" i="6"/>
  <c r="M2317" i="6"/>
  <c r="K2318" i="6"/>
  <c r="M2318" i="6"/>
  <c r="K2319" i="6"/>
  <c r="M2319" i="6"/>
  <c r="K2320" i="6"/>
  <c r="M2320" i="6"/>
  <c r="K2321" i="6"/>
  <c r="M2321" i="6"/>
  <c r="K2322" i="6"/>
  <c r="M2322" i="6"/>
  <c r="K2323" i="6"/>
  <c r="M2323" i="6"/>
  <c r="K2324" i="6"/>
  <c r="M2324" i="6"/>
  <c r="K2325" i="6"/>
  <c r="M2325" i="6"/>
  <c r="K2326" i="6"/>
  <c r="M2326" i="6"/>
  <c r="K2327" i="6"/>
  <c r="M2327" i="6"/>
  <c r="K2328" i="6"/>
  <c r="M2328" i="6"/>
  <c r="K2329" i="6"/>
  <c r="M2329" i="6"/>
  <c r="K2330" i="6"/>
  <c r="M2330" i="6"/>
  <c r="K2331" i="6"/>
  <c r="M2331" i="6"/>
  <c r="K2332" i="6"/>
  <c r="M2332" i="6"/>
  <c r="K2333" i="6"/>
  <c r="M2333" i="6"/>
  <c r="K2334" i="6"/>
  <c r="M2334" i="6"/>
  <c r="K2335" i="6"/>
  <c r="M2335" i="6"/>
  <c r="K2336" i="6"/>
  <c r="M2336" i="6"/>
  <c r="K2337" i="6"/>
  <c r="M2337" i="6"/>
  <c r="K2338" i="6"/>
  <c r="M2338" i="6"/>
  <c r="K2339" i="6"/>
  <c r="M2339" i="6"/>
  <c r="K2340" i="6"/>
  <c r="M2340" i="6"/>
  <c r="K2341" i="6"/>
  <c r="M2341" i="6"/>
  <c r="K2342" i="6"/>
  <c r="M2342" i="6"/>
  <c r="K2343" i="6"/>
  <c r="M2343" i="6"/>
  <c r="K2344" i="6"/>
  <c r="M2344" i="6"/>
  <c r="K2345" i="6"/>
  <c r="M2345" i="6"/>
  <c r="K2346" i="6"/>
  <c r="M2346" i="6"/>
  <c r="K2347" i="6"/>
  <c r="M2347" i="6"/>
  <c r="K2348" i="6"/>
  <c r="M2348" i="6"/>
  <c r="K2349" i="6"/>
  <c r="M2349" i="6"/>
  <c r="K2350" i="6"/>
  <c r="M2350" i="6"/>
  <c r="K2351" i="6"/>
  <c r="M2351" i="6"/>
  <c r="K2352" i="6"/>
  <c r="M2352" i="6"/>
  <c r="K2353" i="6"/>
  <c r="M2353" i="6"/>
  <c r="K2354" i="6"/>
  <c r="M2354" i="6"/>
  <c r="K2355" i="6"/>
  <c r="M2355" i="6"/>
  <c r="K2356" i="6"/>
  <c r="M2356" i="6"/>
  <c r="K2357" i="6"/>
  <c r="M2357" i="6"/>
  <c r="K2358" i="6"/>
  <c r="M2358" i="6"/>
  <c r="K2359" i="6"/>
  <c r="M2359" i="6"/>
  <c r="K2360" i="6"/>
  <c r="M2360" i="6"/>
  <c r="K2361" i="6"/>
  <c r="M2361" i="6"/>
  <c r="K2362" i="6"/>
  <c r="M2362" i="6"/>
  <c r="K2363" i="6"/>
  <c r="M2363" i="6"/>
  <c r="K2364" i="6"/>
  <c r="M2364" i="6"/>
  <c r="K2365" i="6"/>
  <c r="M2365" i="6"/>
  <c r="K2366" i="6"/>
  <c r="M2366" i="6"/>
  <c r="K2367" i="6"/>
  <c r="M2367" i="6"/>
  <c r="K2368" i="6"/>
  <c r="M2368" i="6"/>
  <c r="K2369" i="6"/>
  <c r="M2369" i="6"/>
  <c r="K2370" i="6"/>
  <c r="M2370" i="6"/>
  <c r="K2371" i="6"/>
  <c r="M2371" i="6"/>
  <c r="K2372" i="6"/>
  <c r="M2372" i="6"/>
  <c r="K2373" i="6"/>
  <c r="M2373" i="6"/>
  <c r="K2374" i="6"/>
  <c r="M2374" i="6"/>
  <c r="K2375" i="6"/>
  <c r="M2375" i="6"/>
  <c r="K2376" i="6"/>
  <c r="M2376" i="6"/>
  <c r="K2377" i="6"/>
  <c r="M2377" i="6"/>
  <c r="K2378" i="6"/>
  <c r="M2378" i="6"/>
  <c r="K2379" i="6"/>
  <c r="M2379" i="6"/>
  <c r="K2380" i="6"/>
  <c r="M2380" i="6"/>
  <c r="K2381" i="6"/>
  <c r="M2381" i="6"/>
  <c r="K2382" i="6"/>
  <c r="M2382" i="6"/>
  <c r="K2383" i="6"/>
  <c r="M2383" i="6"/>
  <c r="K2384" i="6"/>
  <c r="M2384" i="6"/>
  <c r="K2385" i="6"/>
  <c r="M2385" i="6"/>
  <c r="K2386" i="6"/>
  <c r="M2386" i="6"/>
  <c r="K2387" i="6"/>
  <c r="M2387" i="6"/>
  <c r="K2388" i="6"/>
  <c r="M2388" i="6"/>
  <c r="K2389" i="6"/>
  <c r="M2389" i="6"/>
  <c r="K2390" i="6"/>
  <c r="M2390" i="6"/>
  <c r="K2391" i="6"/>
  <c r="M2391" i="6"/>
  <c r="K2392" i="6"/>
  <c r="M2392" i="6"/>
  <c r="K2393" i="6"/>
  <c r="M2393" i="6"/>
  <c r="K2394" i="6"/>
  <c r="M2394" i="6"/>
  <c r="K2395" i="6"/>
  <c r="M2395" i="6"/>
  <c r="K2396" i="6"/>
  <c r="M2396" i="6"/>
  <c r="K2397" i="6"/>
  <c r="M2397" i="6"/>
  <c r="K2398" i="6"/>
  <c r="M2398" i="6"/>
  <c r="K2399" i="6"/>
  <c r="M2399" i="6"/>
  <c r="K2400" i="6"/>
  <c r="M2400" i="6"/>
  <c r="K2401" i="6"/>
  <c r="M2401" i="6"/>
  <c r="K2402" i="6"/>
  <c r="M2402" i="6"/>
  <c r="K2403" i="6"/>
  <c r="M2403" i="6"/>
  <c r="K2404" i="6"/>
  <c r="M2404" i="6"/>
  <c r="K2405" i="6"/>
  <c r="M2405" i="6"/>
  <c r="K2406" i="6"/>
  <c r="M2406" i="6"/>
  <c r="K2407" i="6"/>
  <c r="M2407" i="6"/>
  <c r="K2408" i="6"/>
  <c r="M2408" i="6"/>
  <c r="K2409" i="6"/>
  <c r="M2409" i="6"/>
  <c r="K2410" i="6"/>
  <c r="M2410" i="6"/>
  <c r="K2411" i="6"/>
  <c r="M2411" i="6"/>
  <c r="K2412" i="6"/>
  <c r="M2412" i="6"/>
  <c r="K2413" i="6"/>
  <c r="M2413" i="6"/>
  <c r="K2414" i="6"/>
  <c r="M2414" i="6"/>
  <c r="K2415" i="6"/>
  <c r="M2415" i="6"/>
  <c r="K2416" i="6"/>
  <c r="M2416" i="6"/>
  <c r="K2417" i="6"/>
  <c r="M2417" i="6"/>
  <c r="K2418" i="6"/>
  <c r="M2418" i="6"/>
  <c r="K2419" i="6"/>
  <c r="M2419" i="6"/>
  <c r="K2420" i="6"/>
  <c r="M2420" i="6"/>
  <c r="K2421" i="6"/>
  <c r="M2421" i="6"/>
  <c r="K2422" i="6"/>
  <c r="M2422" i="6"/>
  <c r="K2423" i="6"/>
  <c r="M2423" i="6"/>
  <c r="K2424" i="6"/>
  <c r="M2424" i="6"/>
  <c r="K2425" i="6"/>
  <c r="M2425" i="6"/>
  <c r="K2426" i="6"/>
  <c r="M2426" i="6"/>
  <c r="K2427" i="6"/>
  <c r="M2427" i="6"/>
  <c r="K2428" i="6"/>
  <c r="M2428" i="6"/>
  <c r="K2429" i="6"/>
  <c r="M2429" i="6"/>
  <c r="K2430" i="6"/>
  <c r="M2430" i="6"/>
  <c r="K2431" i="6"/>
  <c r="M2431" i="6"/>
  <c r="K2432" i="6"/>
  <c r="M2432" i="6"/>
  <c r="K2433" i="6"/>
  <c r="M2433" i="6"/>
  <c r="K2434" i="6"/>
  <c r="M2434" i="6"/>
  <c r="K2435" i="6"/>
  <c r="M2435" i="6"/>
  <c r="K2436" i="6"/>
  <c r="M2436" i="6"/>
  <c r="K2437" i="6"/>
  <c r="M2437" i="6"/>
  <c r="K2438" i="6"/>
  <c r="M2438" i="6"/>
  <c r="K2439" i="6"/>
  <c r="M2439" i="6"/>
  <c r="K2440" i="6"/>
  <c r="M2440" i="6"/>
  <c r="K2441" i="6"/>
  <c r="M2441" i="6"/>
  <c r="K2442" i="6"/>
  <c r="M2442" i="6"/>
  <c r="K2443" i="6"/>
  <c r="M2443" i="6"/>
  <c r="K2444" i="6"/>
  <c r="M2444" i="6"/>
  <c r="K2445" i="6"/>
  <c r="M2445" i="6"/>
  <c r="K2446" i="6"/>
  <c r="M2446" i="6"/>
  <c r="K2447" i="6"/>
  <c r="M2447" i="6"/>
  <c r="K2448" i="6"/>
  <c r="M2448" i="6"/>
  <c r="K2449" i="6"/>
  <c r="M2449" i="6"/>
  <c r="K2450" i="6"/>
  <c r="M2450" i="6"/>
  <c r="K2451" i="6"/>
  <c r="M2451" i="6"/>
  <c r="K2452" i="6"/>
  <c r="M2452" i="6"/>
  <c r="K2453" i="6"/>
  <c r="M2453" i="6"/>
  <c r="K2454" i="6"/>
  <c r="M2454" i="6"/>
  <c r="K2455" i="6"/>
  <c r="M2455" i="6"/>
  <c r="K2456" i="6"/>
  <c r="M2456" i="6"/>
  <c r="K2457" i="6"/>
  <c r="M2457" i="6"/>
  <c r="K2458" i="6"/>
  <c r="M2458" i="6"/>
  <c r="K2459" i="6"/>
  <c r="M2459" i="6"/>
  <c r="K2460" i="6"/>
  <c r="M2460" i="6"/>
  <c r="K2461" i="6"/>
  <c r="M2461" i="6"/>
  <c r="K2462" i="6"/>
  <c r="M2462" i="6"/>
  <c r="K2463" i="6"/>
  <c r="M2463" i="6"/>
  <c r="K2464" i="6"/>
  <c r="M2464" i="6"/>
  <c r="K2465" i="6"/>
  <c r="M2465" i="6"/>
  <c r="K2466" i="6"/>
  <c r="M2466" i="6"/>
  <c r="K2467" i="6"/>
  <c r="M2467" i="6"/>
  <c r="K2468" i="6"/>
  <c r="M2468" i="6"/>
  <c r="K2469" i="6"/>
  <c r="M2469" i="6"/>
  <c r="K2470" i="6"/>
  <c r="M2470" i="6"/>
  <c r="K2471" i="6"/>
  <c r="M2471" i="6"/>
  <c r="K2472" i="6"/>
  <c r="M2472" i="6"/>
  <c r="K2473" i="6"/>
  <c r="M2473" i="6"/>
  <c r="K2474" i="6"/>
  <c r="M2474" i="6"/>
  <c r="K2475" i="6"/>
  <c r="M2475" i="6"/>
  <c r="K2476" i="6"/>
  <c r="M2476" i="6"/>
  <c r="K2477" i="6"/>
  <c r="M2477" i="6"/>
  <c r="K2478" i="6"/>
  <c r="M2478" i="6"/>
  <c r="K2479" i="6"/>
  <c r="M2479" i="6"/>
  <c r="K2480" i="6"/>
  <c r="M2480" i="6"/>
  <c r="K2481" i="6"/>
  <c r="M2481" i="6"/>
  <c r="K2482" i="6"/>
  <c r="M2482" i="6"/>
  <c r="K2483" i="6"/>
  <c r="M2483" i="6"/>
  <c r="K2484" i="6"/>
  <c r="M2484" i="6"/>
  <c r="K2485" i="6"/>
  <c r="M2485" i="6"/>
  <c r="K2486" i="6"/>
  <c r="M2486" i="6"/>
  <c r="K2487" i="6"/>
  <c r="M2487" i="6"/>
  <c r="K2488" i="6"/>
  <c r="M2488" i="6"/>
  <c r="K2489" i="6"/>
  <c r="M2489" i="6"/>
  <c r="K2490" i="6"/>
  <c r="M2490" i="6"/>
  <c r="K2491" i="6"/>
  <c r="M2491" i="6"/>
  <c r="K2492" i="6"/>
  <c r="M2492" i="6"/>
  <c r="K2493" i="6"/>
  <c r="M2493" i="6"/>
  <c r="K2494" i="6"/>
  <c r="M2494" i="6"/>
  <c r="K2495" i="6"/>
  <c r="M2495" i="6"/>
  <c r="K2496" i="6"/>
  <c r="M2496" i="6"/>
  <c r="K2497" i="6"/>
  <c r="M2497" i="6"/>
  <c r="K2498" i="6"/>
  <c r="M2498" i="6"/>
  <c r="K2499" i="6"/>
  <c r="M2499" i="6"/>
  <c r="K2500" i="6"/>
  <c r="M2500" i="6"/>
  <c r="K2501" i="6"/>
  <c r="M2501" i="6"/>
  <c r="K2502" i="6"/>
  <c r="M2502" i="6"/>
  <c r="K2503" i="6"/>
  <c r="M2503" i="6"/>
  <c r="K2504" i="6"/>
  <c r="M2504" i="6"/>
  <c r="K2505" i="6"/>
  <c r="M2505" i="6"/>
  <c r="K2506" i="6"/>
  <c r="M2506" i="6"/>
  <c r="K2507" i="6"/>
  <c r="M2507" i="6"/>
  <c r="K2508" i="6"/>
  <c r="M2508" i="6"/>
  <c r="K2509" i="6"/>
  <c r="M2509" i="6"/>
  <c r="K2510" i="6"/>
  <c r="M2510" i="6"/>
  <c r="K2511" i="6"/>
  <c r="M2511" i="6"/>
  <c r="K2512" i="6"/>
  <c r="M2512" i="6"/>
  <c r="K2513" i="6"/>
  <c r="M2513" i="6"/>
  <c r="K2514" i="6"/>
  <c r="M2514" i="6"/>
  <c r="K2515" i="6"/>
  <c r="M2515" i="6"/>
  <c r="K2516" i="6"/>
  <c r="M2516" i="6"/>
  <c r="K2517" i="6"/>
  <c r="M2517" i="6"/>
  <c r="K2518" i="6"/>
  <c r="M2518" i="6"/>
  <c r="K2519" i="6"/>
  <c r="M2519" i="6"/>
  <c r="K2520" i="6"/>
  <c r="M2520" i="6"/>
  <c r="K2521" i="6"/>
  <c r="M2521" i="6"/>
  <c r="K2522" i="6"/>
  <c r="M2522" i="6"/>
  <c r="K2523" i="6"/>
  <c r="M2523" i="6"/>
  <c r="K2524" i="6"/>
  <c r="M2524" i="6"/>
  <c r="K2525" i="6"/>
  <c r="M2525" i="6"/>
  <c r="K2526" i="6"/>
  <c r="M2526" i="6"/>
  <c r="K2527" i="6"/>
  <c r="M2527" i="6"/>
  <c r="K2528" i="6"/>
  <c r="M2528" i="6"/>
  <c r="K2529" i="6"/>
  <c r="M2529" i="6"/>
  <c r="K2530" i="6"/>
  <c r="M2530" i="6"/>
  <c r="K2531" i="6"/>
  <c r="M2531" i="6"/>
  <c r="K2532" i="6"/>
  <c r="M2532" i="6"/>
  <c r="K2533" i="6"/>
  <c r="M2533" i="6"/>
  <c r="K2534" i="6"/>
  <c r="M2534" i="6"/>
  <c r="K2535" i="6"/>
  <c r="M2535" i="6"/>
  <c r="K2536" i="6"/>
  <c r="M2536" i="6"/>
  <c r="K2537" i="6"/>
  <c r="M2537" i="6"/>
  <c r="K2538" i="6"/>
  <c r="M2538" i="6"/>
  <c r="K2539" i="6"/>
  <c r="M2539" i="6"/>
  <c r="K2540" i="6"/>
  <c r="M2540" i="6"/>
  <c r="K2541" i="6"/>
  <c r="M2541" i="6"/>
  <c r="K2542" i="6"/>
  <c r="M2542" i="6"/>
  <c r="K2543" i="6"/>
  <c r="M2543" i="6"/>
  <c r="K2544" i="6"/>
  <c r="M2544" i="6"/>
  <c r="K2545" i="6"/>
  <c r="M2545" i="6"/>
  <c r="K2546" i="6"/>
  <c r="M2546" i="6"/>
  <c r="K2547" i="6"/>
  <c r="M2547" i="6"/>
  <c r="K2548" i="6"/>
  <c r="M2548" i="6"/>
  <c r="K2549" i="6"/>
  <c r="M2549" i="6"/>
  <c r="K2550" i="6"/>
  <c r="M2550" i="6"/>
  <c r="K2551" i="6"/>
  <c r="M2551" i="6"/>
  <c r="K2552" i="6"/>
  <c r="M2552" i="6"/>
  <c r="K2553" i="6"/>
  <c r="M2553" i="6"/>
  <c r="K2554" i="6"/>
  <c r="M2554" i="6"/>
  <c r="K2555" i="6"/>
  <c r="M2555" i="6"/>
  <c r="K2556" i="6"/>
  <c r="M2556" i="6"/>
  <c r="K2557" i="6"/>
  <c r="M2557" i="6"/>
  <c r="K2558" i="6"/>
  <c r="M2558" i="6"/>
  <c r="K2559" i="6"/>
  <c r="M2559" i="6"/>
  <c r="K2560" i="6"/>
  <c r="M2560" i="6"/>
  <c r="K2561" i="6"/>
  <c r="M2561" i="6"/>
  <c r="K2562" i="6"/>
  <c r="M2562" i="6"/>
  <c r="K2563" i="6"/>
  <c r="M2563" i="6"/>
  <c r="K2564" i="6"/>
  <c r="M2564" i="6"/>
  <c r="K2565" i="6"/>
  <c r="M2565" i="6"/>
  <c r="K2566" i="6"/>
  <c r="M2566" i="6"/>
  <c r="K2567" i="6"/>
  <c r="M2567" i="6"/>
  <c r="K2568" i="6"/>
  <c r="M2568" i="6"/>
  <c r="K2569" i="6"/>
  <c r="M2569" i="6"/>
  <c r="K2570" i="6"/>
  <c r="M2570" i="6"/>
  <c r="K2571" i="6"/>
  <c r="M2571" i="6"/>
  <c r="K2572" i="6"/>
  <c r="M2572" i="6"/>
  <c r="K2573" i="6"/>
  <c r="M2573" i="6"/>
  <c r="K2574" i="6"/>
  <c r="M2574" i="6"/>
  <c r="K2575" i="6"/>
  <c r="M2575" i="6"/>
  <c r="K2576" i="6"/>
  <c r="M2576" i="6"/>
  <c r="K2577" i="6"/>
  <c r="M2577" i="6"/>
  <c r="K2578" i="6"/>
  <c r="M2578" i="6"/>
  <c r="K2579" i="6"/>
  <c r="M2579" i="6"/>
  <c r="K2580" i="6"/>
  <c r="M2580" i="6"/>
  <c r="K2581" i="6"/>
  <c r="M2581" i="6"/>
  <c r="K2582" i="6"/>
  <c r="M2582" i="6"/>
  <c r="K2583" i="6"/>
  <c r="M2583" i="6"/>
  <c r="K2584" i="6"/>
  <c r="M2584" i="6"/>
  <c r="K2585" i="6"/>
  <c r="M2585" i="6"/>
  <c r="K2586" i="6"/>
  <c r="M2586" i="6"/>
  <c r="K2587" i="6"/>
  <c r="M2587" i="6"/>
  <c r="K2588" i="6"/>
  <c r="M2588" i="6"/>
  <c r="K2589" i="6"/>
  <c r="M2589" i="6"/>
  <c r="K2590" i="6"/>
  <c r="M2590" i="6"/>
  <c r="K2591" i="6"/>
  <c r="M2591" i="6"/>
  <c r="K2592" i="6"/>
  <c r="M2592" i="6"/>
  <c r="K2593" i="6"/>
  <c r="M2593" i="6"/>
  <c r="K2594" i="6"/>
  <c r="M2594" i="6"/>
  <c r="K2595" i="6"/>
  <c r="M2595" i="6"/>
  <c r="K2596" i="6"/>
  <c r="M2596" i="6"/>
  <c r="K2597" i="6"/>
  <c r="M2597" i="6"/>
  <c r="K2598" i="6"/>
  <c r="M2598" i="6"/>
  <c r="K2599" i="6"/>
  <c r="M2599" i="6"/>
  <c r="K2600" i="6"/>
  <c r="M2600" i="6"/>
  <c r="K2601" i="6"/>
  <c r="M2601" i="6"/>
  <c r="K2602" i="6"/>
  <c r="M2602" i="6"/>
  <c r="K2603" i="6"/>
  <c r="M2603" i="6"/>
  <c r="K2604" i="6"/>
  <c r="M2604" i="6"/>
  <c r="K2605" i="6"/>
  <c r="M2605" i="6"/>
  <c r="K2606" i="6"/>
  <c r="M2606" i="6"/>
  <c r="K2607" i="6"/>
  <c r="M2607" i="6"/>
  <c r="K2608" i="6"/>
  <c r="M2608" i="6"/>
  <c r="K2609" i="6"/>
  <c r="M2609" i="6"/>
  <c r="K2610" i="6"/>
  <c r="M2610" i="6"/>
  <c r="K2611" i="6"/>
  <c r="M2611" i="6"/>
  <c r="K2612" i="6"/>
  <c r="M2612" i="6"/>
  <c r="K2613" i="6"/>
  <c r="M2613" i="6"/>
  <c r="K2614" i="6"/>
  <c r="M2614" i="6"/>
  <c r="K2615" i="6"/>
  <c r="M2615" i="6"/>
  <c r="K2616" i="6"/>
  <c r="M2616" i="6"/>
  <c r="K2617" i="6"/>
  <c r="M2617" i="6"/>
  <c r="K2618" i="6"/>
  <c r="M2618" i="6"/>
  <c r="K2619" i="6"/>
  <c r="M2619" i="6"/>
  <c r="K2620" i="6"/>
  <c r="M2620" i="6"/>
  <c r="K2621" i="6"/>
  <c r="M2621" i="6"/>
  <c r="K2622" i="6"/>
  <c r="M2622" i="6"/>
  <c r="K2623" i="6"/>
  <c r="M2623" i="6"/>
  <c r="K2624" i="6"/>
  <c r="M2624" i="6"/>
  <c r="K2625" i="6"/>
  <c r="M2625" i="6"/>
  <c r="K2626" i="6"/>
  <c r="M2626" i="6"/>
  <c r="K2627" i="6"/>
  <c r="M2627" i="6"/>
  <c r="K2628" i="6"/>
  <c r="M2628" i="6"/>
  <c r="K2629" i="6"/>
  <c r="M2629" i="6"/>
  <c r="K2630" i="6"/>
  <c r="M2630" i="6"/>
  <c r="K2631" i="6"/>
  <c r="M2631" i="6"/>
  <c r="K2632" i="6"/>
  <c r="M2632" i="6"/>
  <c r="K2633" i="6"/>
  <c r="M2633" i="6"/>
  <c r="K2634" i="6"/>
  <c r="M2634" i="6"/>
  <c r="K2635" i="6"/>
  <c r="M2635" i="6"/>
  <c r="K2636" i="6"/>
  <c r="M2636" i="6"/>
  <c r="K2637" i="6"/>
  <c r="M2637" i="6"/>
  <c r="K2638" i="6"/>
  <c r="M2638" i="6"/>
  <c r="K2639" i="6"/>
  <c r="M2639" i="6"/>
  <c r="K2640" i="6"/>
  <c r="M2640" i="6"/>
  <c r="K2641" i="6"/>
  <c r="M2641" i="6"/>
  <c r="K2642" i="6"/>
  <c r="M2642" i="6"/>
  <c r="K2643" i="6"/>
  <c r="M2643" i="6"/>
  <c r="K2644" i="6"/>
  <c r="M2644" i="6"/>
  <c r="K2645" i="6"/>
  <c r="M2645" i="6"/>
  <c r="K2646" i="6"/>
  <c r="M2646" i="6"/>
  <c r="K2647" i="6"/>
  <c r="M2647" i="6"/>
  <c r="K2648" i="6"/>
  <c r="M2648" i="6"/>
  <c r="K2649" i="6"/>
  <c r="M2649" i="6"/>
  <c r="K2650" i="6"/>
  <c r="M2650" i="6"/>
  <c r="K2651" i="6"/>
  <c r="M2651" i="6"/>
  <c r="K2652" i="6"/>
  <c r="M2652" i="6"/>
  <c r="K2653" i="6"/>
  <c r="M2653" i="6"/>
  <c r="K2654" i="6"/>
  <c r="M2654" i="6"/>
  <c r="K2655" i="6"/>
  <c r="M2655" i="6"/>
  <c r="K2656" i="6"/>
  <c r="M2656" i="6"/>
  <c r="K2657" i="6"/>
  <c r="M2657" i="6"/>
  <c r="K2658" i="6"/>
  <c r="M2658" i="6"/>
  <c r="K2659" i="6"/>
  <c r="M2659" i="6"/>
  <c r="K2660" i="6"/>
  <c r="M2660" i="6"/>
  <c r="K2661" i="6"/>
  <c r="M2661" i="6"/>
  <c r="K2662" i="6"/>
  <c r="M2662" i="6"/>
  <c r="K2663" i="6"/>
  <c r="M2663" i="6"/>
  <c r="K2664" i="6"/>
  <c r="M2664" i="6"/>
  <c r="K2665" i="6"/>
  <c r="M2665" i="6"/>
  <c r="K2666" i="6"/>
  <c r="M2666" i="6"/>
  <c r="K2667" i="6"/>
  <c r="M2667" i="6"/>
  <c r="K2668" i="6"/>
  <c r="M2668" i="6"/>
  <c r="K2669" i="6"/>
  <c r="M2669" i="6"/>
  <c r="K2670" i="6"/>
  <c r="M2670" i="6"/>
  <c r="K2671" i="6"/>
  <c r="M2671" i="6"/>
  <c r="K2672" i="6"/>
  <c r="M2672" i="6"/>
  <c r="K2673" i="6"/>
  <c r="M2673" i="6"/>
  <c r="K2674" i="6"/>
  <c r="M2674" i="6"/>
  <c r="K2675" i="6"/>
  <c r="M2675" i="6"/>
  <c r="K2676" i="6"/>
  <c r="M2676" i="6"/>
  <c r="K2677" i="6"/>
  <c r="M2677" i="6"/>
  <c r="K2678" i="6"/>
  <c r="M2678" i="6"/>
  <c r="K2679" i="6"/>
  <c r="M2679" i="6"/>
  <c r="K2680" i="6"/>
  <c r="M2680" i="6"/>
  <c r="K2681" i="6"/>
  <c r="M2681" i="6"/>
  <c r="K2682" i="6"/>
  <c r="M2682" i="6"/>
  <c r="K2683" i="6"/>
  <c r="M2683" i="6"/>
  <c r="K2684" i="6"/>
  <c r="M2684" i="6"/>
  <c r="K2685" i="6"/>
  <c r="M2685" i="6"/>
  <c r="K2686" i="6"/>
  <c r="M2686" i="6"/>
  <c r="K2687" i="6"/>
  <c r="M2687" i="6"/>
  <c r="K2688" i="6"/>
  <c r="M2688" i="6"/>
  <c r="K2689" i="6"/>
  <c r="M2689" i="6"/>
  <c r="K2690" i="6"/>
  <c r="M2690" i="6"/>
  <c r="K2691" i="6"/>
  <c r="M2691" i="6"/>
  <c r="K2692" i="6"/>
  <c r="M2692" i="6"/>
  <c r="K2693" i="6"/>
  <c r="M2693" i="6"/>
  <c r="K2694" i="6"/>
  <c r="M2694" i="6"/>
  <c r="K2695" i="6"/>
  <c r="M2695" i="6"/>
  <c r="K2696" i="6"/>
  <c r="M2696" i="6"/>
  <c r="K2697" i="6"/>
  <c r="M2697" i="6"/>
  <c r="K2698" i="6"/>
  <c r="M2698" i="6"/>
  <c r="K2699" i="6"/>
  <c r="M2699" i="6"/>
  <c r="K2700" i="6"/>
  <c r="M2700" i="6"/>
  <c r="K2701" i="6"/>
  <c r="M2701" i="6"/>
  <c r="K2702" i="6"/>
  <c r="M2702" i="6"/>
  <c r="K2703" i="6"/>
  <c r="M2703" i="6"/>
  <c r="K2704" i="6"/>
  <c r="M2704" i="6"/>
  <c r="K2705" i="6"/>
  <c r="M2705" i="6"/>
  <c r="K2706" i="6"/>
  <c r="M2706" i="6"/>
  <c r="K2707" i="6"/>
  <c r="M2707" i="6"/>
  <c r="K2708" i="6"/>
  <c r="M2708" i="6"/>
  <c r="K2709" i="6"/>
  <c r="M2709" i="6"/>
  <c r="K2710" i="6"/>
  <c r="M2710" i="6"/>
  <c r="K2711" i="6"/>
  <c r="M2711" i="6"/>
  <c r="K2712" i="6"/>
  <c r="M2712" i="6"/>
  <c r="K2713" i="6"/>
  <c r="M2713" i="6"/>
  <c r="K2714" i="6"/>
  <c r="M2714" i="6"/>
  <c r="K2715" i="6"/>
  <c r="M2715" i="6"/>
  <c r="K2716" i="6"/>
  <c r="M2716" i="6"/>
  <c r="K2717" i="6"/>
  <c r="M2717" i="6"/>
  <c r="K2718" i="6"/>
  <c r="M2718" i="6"/>
  <c r="K2719" i="6"/>
  <c r="M2719" i="6"/>
  <c r="K2720" i="6"/>
  <c r="M2720" i="6"/>
  <c r="K2721" i="6"/>
  <c r="M2721" i="6"/>
  <c r="K2722" i="6"/>
  <c r="M2722" i="6"/>
  <c r="K2723" i="6"/>
  <c r="M2723" i="6"/>
  <c r="K2724" i="6"/>
  <c r="M2724" i="6"/>
  <c r="K2725" i="6"/>
  <c r="M2725" i="6"/>
  <c r="K2726" i="6"/>
  <c r="M2726" i="6"/>
  <c r="K2727" i="6"/>
  <c r="M2727" i="6"/>
  <c r="K2728" i="6"/>
  <c r="M2728" i="6"/>
  <c r="K2729" i="6"/>
  <c r="M2729" i="6"/>
  <c r="K2730" i="6"/>
  <c r="M2730" i="6"/>
  <c r="K2731" i="6"/>
  <c r="M2731" i="6"/>
  <c r="K2732" i="6"/>
  <c r="M2732" i="6"/>
  <c r="K2733" i="6"/>
  <c r="M2733" i="6"/>
  <c r="K2734" i="6"/>
  <c r="M2734" i="6"/>
  <c r="K2735" i="6"/>
  <c r="M2735" i="6"/>
  <c r="K2736" i="6"/>
  <c r="M2736" i="6"/>
  <c r="K2737" i="6"/>
  <c r="M2737" i="6"/>
  <c r="K2738" i="6"/>
  <c r="M2738" i="6"/>
  <c r="K2739" i="6"/>
  <c r="M2739" i="6"/>
  <c r="K2740" i="6"/>
  <c r="M2740" i="6"/>
  <c r="K2741" i="6"/>
  <c r="M2741" i="6"/>
  <c r="K2742" i="6"/>
  <c r="M2742" i="6"/>
  <c r="K2743" i="6"/>
  <c r="M2743" i="6"/>
  <c r="K2744" i="6"/>
  <c r="M2744" i="6"/>
  <c r="K2745" i="6"/>
  <c r="M2745" i="6"/>
  <c r="K2746" i="6"/>
  <c r="M2746" i="6"/>
  <c r="K2747" i="6"/>
  <c r="M2747" i="6"/>
  <c r="K2748" i="6"/>
  <c r="M2748" i="6"/>
  <c r="K2749" i="6"/>
  <c r="M2749" i="6"/>
  <c r="K2750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3" i="6"/>
  <c r="N3" i="6" s="1"/>
  <c r="L7" i="6"/>
  <c r="N7" i="6" s="1"/>
  <c r="L11" i="6"/>
  <c r="N11" i="6" s="1"/>
  <c r="L15" i="6"/>
  <c r="N15" i="6" s="1"/>
  <c r="L19" i="6"/>
  <c r="N19" i="6" s="1"/>
  <c r="L23" i="6"/>
  <c r="N23" i="6" s="1"/>
  <c r="L27" i="6"/>
  <c r="N27" i="6" s="1"/>
  <c r="L31" i="6"/>
  <c r="N31" i="6" s="1"/>
  <c r="L35" i="6"/>
  <c r="N35" i="6" s="1"/>
  <c r="L39" i="6"/>
  <c r="N39" i="6" s="1"/>
  <c r="L43" i="6"/>
  <c r="L45" i="6"/>
  <c r="N45" i="6" s="1"/>
  <c r="L46" i="6"/>
  <c r="L48" i="6"/>
  <c r="N48" i="6" s="1"/>
  <c r="L50" i="6"/>
  <c r="L52" i="6"/>
  <c r="L54" i="6"/>
  <c r="L56" i="6"/>
  <c r="L61" i="6"/>
  <c r="N61" i="6" s="1"/>
  <c r="L65" i="6"/>
  <c r="N65" i="6" s="1"/>
  <c r="L69" i="6"/>
  <c r="N69" i="6" s="1"/>
  <c r="L73" i="6"/>
  <c r="N73" i="6" s="1"/>
  <c r="L74" i="6"/>
  <c r="L76" i="6"/>
  <c r="L78" i="6"/>
  <c r="L79" i="6"/>
  <c r="L80" i="6"/>
  <c r="L82" i="6"/>
  <c r="L84" i="6"/>
  <c r="L86" i="6"/>
  <c r="L88" i="6"/>
  <c r="L91" i="6"/>
  <c r="N91" i="6" s="1"/>
  <c r="L93" i="6"/>
  <c r="N93" i="6" s="1"/>
  <c r="L95" i="6"/>
  <c r="N95" i="6" s="1"/>
  <c r="L97" i="6"/>
  <c r="N97" i="6" s="1"/>
  <c r="L101" i="6"/>
  <c r="N101" i="6" s="1"/>
  <c r="L105" i="6"/>
  <c r="N105" i="6" s="1"/>
  <c r="L107" i="6"/>
  <c r="N107" i="6" s="1"/>
  <c r="L109" i="6"/>
  <c r="N109" i="6" s="1"/>
  <c r="L111" i="6"/>
  <c r="N111" i="6" s="1"/>
  <c r="L113" i="6"/>
  <c r="N113" i="6" s="1"/>
  <c r="L115" i="6"/>
  <c r="N115" i="6" s="1"/>
  <c r="L117" i="6"/>
  <c r="N117" i="6" s="1"/>
  <c r="L121" i="6"/>
  <c r="N121" i="6" s="1"/>
  <c r="L125" i="6"/>
  <c r="N125" i="6" s="1"/>
  <c r="L129" i="6"/>
  <c r="N129" i="6" s="1"/>
  <c r="L133" i="6"/>
  <c r="N133" i="6" s="1"/>
  <c r="L137" i="6"/>
  <c r="N137" i="6" s="1"/>
  <c r="N139" i="6"/>
  <c r="L141" i="6"/>
  <c r="N141" i="6" s="1"/>
  <c r="L143" i="6"/>
  <c r="N143" i="6" s="1"/>
  <c r="L145" i="6"/>
  <c r="N145" i="6" s="1"/>
  <c r="L147" i="6"/>
  <c r="N147" i="6" s="1"/>
  <c r="L149" i="6"/>
  <c r="N149" i="6" s="1"/>
  <c r="L153" i="6"/>
  <c r="N153" i="6" s="1"/>
  <c r="L155" i="6"/>
  <c r="N155" i="6" s="1"/>
  <c r="L157" i="6"/>
  <c r="N157" i="6" s="1"/>
  <c r="L161" i="6"/>
  <c r="N161" i="6" s="1"/>
  <c r="L165" i="6"/>
  <c r="N165" i="6" s="1"/>
  <c r="L167" i="6"/>
  <c r="N167" i="6" s="1"/>
  <c r="L169" i="6"/>
  <c r="N169" i="6" s="1"/>
  <c r="L171" i="6"/>
  <c r="N171" i="6" s="1"/>
  <c r="L173" i="6"/>
  <c r="N173" i="6" s="1"/>
  <c r="L175" i="6"/>
  <c r="N175" i="6" s="1"/>
  <c r="L177" i="6"/>
  <c r="N177" i="6" s="1"/>
  <c r="L179" i="6"/>
  <c r="N179" i="6" s="1"/>
  <c r="L181" i="6"/>
  <c r="N181" i="6" s="1"/>
  <c r="L183" i="6"/>
  <c r="N183" i="6" s="1"/>
  <c r="L185" i="6"/>
  <c r="N185" i="6" s="1"/>
  <c r="L187" i="6"/>
  <c r="N187" i="6" s="1"/>
  <c r="L189" i="6"/>
  <c r="N189" i="6" s="1"/>
  <c r="L191" i="6"/>
  <c r="N191" i="6" s="1"/>
  <c r="L193" i="6"/>
  <c r="N193" i="6" s="1"/>
  <c r="L195" i="6"/>
  <c r="N195" i="6" s="1"/>
  <c r="L197" i="6"/>
  <c r="N197" i="6" s="1"/>
  <c r="L199" i="6"/>
  <c r="N199" i="6" s="1"/>
  <c r="L201" i="6"/>
  <c r="N201" i="6" s="1"/>
  <c r="L203" i="6"/>
  <c r="N203" i="6" s="1"/>
  <c r="L205" i="6"/>
  <c r="N205" i="6" s="1"/>
  <c r="L207" i="6"/>
  <c r="N207" i="6" s="1"/>
  <c r="L209" i="6"/>
  <c r="N209" i="6" s="1"/>
  <c r="L211" i="6"/>
  <c r="N211" i="6" s="1"/>
  <c r="L213" i="6"/>
  <c r="N213" i="6" s="1"/>
  <c r="L215" i="6"/>
  <c r="N215" i="6" s="1"/>
  <c r="L217" i="6"/>
  <c r="N217" i="6" s="1"/>
  <c r="L219" i="6"/>
  <c r="N219" i="6" s="1"/>
  <c r="L221" i="6"/>
  <c r="N221" i="6" s="1"/>
  <c r="L223" i="6"/>
  <c r="N223" i="6" s="1"/>
  <c r="L225" i="6"/>
  <c r="N225" i="6" s="1"/>
  <c r="L227" i="6"/>
  <c r="N227" i="6" s="1"/>
  <c r="L229" i="6"/>
  <c r="N229" i="6" s="1"/>
  <c r="L231" i="6"/>
  <c r="N231" i="6" s="1"/>
  <c r="L233" i="6"/>
  <c r="N233" i="6" s="1"/>
  <c r="L235" i="6"/>
  <c r="N235" i="6" s="1"/>
  <c r="L237" i="6"/>
  <c r="N237" i="6" s="1"/>
  <c r="L239" i="6"/>
  <c r="N239" i="6" s="1"/>
  <c r="L241" i="6"/>
  <c r="N241" i="6" s="1"/>
  <c r="L243" i="6"/>
  <c r="N243" i="6" s="1"/>
  <c r="L245" i="6"/>
  <c r="N245" i="6" s="1"/>
  <c r="L247" i="6"/>
  <c r="N247" i="6" s="1"/>
  <c r="L249" i="6"/>
  <c r="N249" i="6" s="1"/>
  <c r="L251" i="6"/>
  <c r="N251" i="6" s="1"/>
  <c r="L253" i="6"/>
  <c r="N253" i="6" s="1"/>
  <c r="L255" i="6"/>
  <c r="N255" i="6" s="1"/>
  <c r="L257" i="6"/>
  <c r="N257" i="6" s="1"/>
  <c r="L259" i="6"/>
  <c r="N259" i="6" s="1"/>
  <c r="L261" i="6"/>
  <c r="N261" i="6" s="1"/>
  <c r="L263" i="6"/>
  <c r="N263" i="6" s="1"/>
  <c r="L265" i="6"/>
  <c r="N265" i="6" s="1"/>
  <c r="L267" i="6"/>
  <c r="N267" i="6" s="1"/>
  <c r="L268" i="6"/>
  <c r="L269" i="6"/>
  <c r="N269" i="6" s="1"/>
  <c r="L271" i="6"/>
  <c r="N271" i="6" s="1"/>
  <c r="L272" i="6"/>
  <c r="L273" i="6"/>
  <c r="N273" i="6" s="1"/>
  <c r="L275" i="6"/>
  <c r="N275" i="6" s="1"/>
  <c r="L276" i="6"/>
  <c r="L277" i="6"/>
  <c r="N277" i="6" s="1"/>
  <c r="L279" i="6"/>
  <c r="N279" i="6" s="1"/>
  <c r="L280" i="6"/>
  <c r="L281" i="6"/>
  <c r="N281" i="6" s="1"/>
  <c r="L283" i="6"/>
  <c r="N283" i="6" s="1"/>
  <c r="L284" i="6"/>
  <c r="N284" i="6" s="1"/>
  <c r="L285" i="6"/>
  <c r="N285" i="6" s="1"/>
  <c r="L287" i="6"/>
  <c r="N287" i="6" s="1"/>
  <c r="L288" i="6"/>
  <c r="N288" i="6" s="1"/>
  <c r="L289" i="6"/>
  <c r="N289" i="6" s="1"/>
  <c r="L291" i="6"/>
  <c r="N291" i="6" s="1"/>
  <c r="L292" i="6"/>
  <c r="L293" i="6"/>
  <c r="N293" i="6" s="1"/>
  <c r="L295" i="6"/>
  <c r="N295" i="6" s="1"/>
  <c r="L296" i="6"/>
  <c r="L297" i="6"/>
  <c r="N297" i="6" s="1"/>
  <c r="L299" i="6"/>
  <c r="N299" i="6" s="1"/>
  <c r="L300" i="6"/>
  <c r="L301" i="6"/>
  <c r="N301" i="6" s="1"/>
  <c r="L303" i="6"/>
  <c r="N303" i="6" s="1"/>
  <c r="L304" i="6"/>
  <c r="L305" i="6"/>
  <c r="N305" i="6" s="1"/>
  <c r="L307" i="6"/>
  <c r="N307" i="6" s="1"/>
  <c r="L308" i="6"/>
  <c r="L309" i="6"/>
  <c r="N309" i="6" s="1"/>
  <c r="L311" i="6"/>
  <c r="N311" i="6" s="1"/>
  <c r="L312" i="6"/>
  <c r="L313" i="6"/>
  <c r="N313" i="6" s="1"/>
  <c r="L315" i="6"/>
  <c r="N315" i="6" s="1"/>
  <c r="L316" i="6"/>
  <c r="L317" i="6"/>
  <c r="N317" i="6" s="1"/>
  <c r="L319" i="6"/>
  <c r="N319" i="6" s="1"/>
  <c r="L320" i="6"/>
  <c r="L321" i="6"/>
  <c r="N321" i="6" s="1"/>
  <c r="L323" i="6"/>
  <c r="N323" i="6" s="1"/>
  <c r="L324" i="6"/>
  <c r="L325" i="6"/>
  <c r="N325" i="6" s="1"/>
  <c r="L327" i="6"/>
  <c r="N327" i="6" s="1"/>
  <c r="L328" i="6"/>
  <c r="L329" i="6"/>
  <c r="N329" i="6" s="1"/>
  <c r="L331" i="6"/>
  <c r="N331" i="6" s="1"/>
  <c r="L332" i="6"/>
  <c r="L333" i="6"/>
  <c r="N333" i="6" s="1"/>
  <c r="L335" i="6"/>
  <c r="N335" i="6" s="1"/>
  <c r="L336" i="6"/>
  <c r="L337" i="6"/>
  <c r="N337" i="6" s="1"/>
  <c r="L339" i="6"/>
  <c r="N339" i="6" s="1"/>
  <c r="L340" i="6"/>
  <c r="L341" i="6"/>
  <c r="N341" i="6" s="1"/>
  <c r="L343" i="6"/>
  <c r="N343" i="6" s="1"/>
  <c r="L344" i="6"/>
  <c r="L345" i="6"/>
  <c r="N345" i="6" s="1"/>
  <c r="L347" i="6"/>
  <c r="N347" i="6" s="1"/>
  <c r="L348" i="6"/>
  <c r="L349" i="6"/>
  <c r="N349" i="6" s="1"/>
  <c r="L351" i="6"/>
  <c r="N351" i="6" s="1"/>
  <c r="L352" i="6"/>
  <c r="L353" i="6"/>
  <c r="N353" i="6" s="1"/>
  <c r="L355" i="6"/>
  <c r="N355" i="6" s="1"/>
  <c r="L356" i="6"/>
  <c r="L357" i="6"/>
  <c r="N357" i="6" s="1"/>
  <c r="L359" i="6"/>
  <c r="N359" i="6" s="1"/>
  <c r="L360" i="6"/>
  <c r="L361" i="6"/>
  <c r="N361" i="6" s="1"/>
  <c r="L363" i="6"/>
  <c r="N363" i="6" s="1"/>
  <c r="L364" i="6"/>
  <c r="L365" i="6"/>
  <c r="N365" i="6" s="1"/>
  <c r="L367" i="6"/>
  <c r="N367" i="6" s="1"/>
  <c r="L368" i="6"/>
  <c r="L369" i="6"/>
  <c r="N369" i="6" s="1"/>
  <c r="L371" i="6"/>
  <c r="N371" i="6" s="1"/>
  <c r="L372" i="6"/>
  <c r="L373" i="6"/>
  <c r="N373" i="6" s="1"/>
  <c r="L375" i="6"/>
  <c r="N375" i="6" s="1"/>
  <c r="L376" i="6"/>
  <c r="L377" i="6"/>
  <c r="N377" i="6" s="1"/>
  <c r="L379" i="6"/>
  <c r="N379" i="6" s="1"/>
  <c r="L380" i="6"/>
  <c r="L381" i="6"/>
  <c r="N381" i="6" s="1"/>
  <c r="L383" i="6"/>
  <c r="N383" i="6" s="1"/>
  <c r="L384" i="6"/>
  <c r="L385" i="6"/>
  <c r="N385" i="6" s="1"/>
  <c r="L387" i="6"/>
  <c r="N387" i="6" s="1"/>
  <c r="L388" i="6"/>
  <c r="L389" i="6"/>
  <c r="N389" i="6" s="1"/>
  <c r="L391" i="6"/>
  <c r="N391" i="6" s="1"/>
  <c r="L392" i="6"/>
  <c r="L393" i="6"/>
  <c r="N393" i="6" s="1"/>
  <c r="L395" i="6"/>
  <c r="N395" i="6" s="1"/>
  <c r="L396" i="6"/>
  <c r="L397" i="6"/>
  <c r="N397" i="6" s="1"/>
  <c r="L399" i="6"/>
  <c r="N399" i="6" s="1"/>
  <c r="L400" i="6"/>
  <c r="L401" i="6"/>
  <c r="N401" i="6" s="1"/>
  <c r="L403" i="6"/>
  <c r="N403" i="6" s="1"/>
  <c r="L404" i="6"/>
  <c r="L405" i="6"/>
  <c r="N405" i="6" s="1"/>
  <c r="L407" i="6"/>
  <c r="N407" i="6" s="1"/>
  <c r="L408" i="6"/>
  <c r="L409" i="6"/>
  <c r="N409" i="6" s="1"/>
  <c r="L411" i="6"/>
  <c r="N411" i="6" s="1"/>
  <c r="L412" i="6"/>
  <c r="L413" i="6"/>
  <c r="N413" i="6" s="1"/>
  <c r="L415" i="6"/>
  <c r="N415" i="6" s="1"/>
  <c r="L416" i="6"/>
  <c r="L417" i="6"/>
  <c r="N417" i="6" s="1"/>
  <c r="L419" i="6"/>
  <c r="N419" i="6" s="1"/>
  <c r="L420" i="6"/>
  <c r="L421" i="6"/>
  <c r="N421" i="6" s="1"/>
  <c r="L423" i="6"/>
  <c r="N423" i="6" s="1"/>
  <c r="L424" i="6"/>
  <c r="L425" i="6"/>
  <c r="N425" i="6" s="1"/>
  <c r="L427" i="6"/>
  <c r="N427" i="6" s="1"/>
  <c r="L428" i="6"/>
  <c r="L429" i="6"/>
  <c r="N429" i="6" s="1"/>
  <c r="L431" i="6"/>
  <c r="N431" i="6" s="1"/>
  <c r="L432" i="6"/>
  <c r="L433" i="6"/>
  <c r="N433" i="6" s="1"/>
  <c r="L435" i="6"/>
  <c r="N435" i="6" s="1"/>
  <c r="L436" i="6"/>
  <c r="L437" i="6"/>
  <c r="N437" i="6" s="1"/>
  <c r="L439" i="6"/>
  <c r="N439" i="6" s="1"/>
  <c r="L440" i="6"/>
  <c r="L441" i="6"/>
  <c r="N441" i="6" s="1"/>
  <c r="L443" i="6"/>
  <c r="N443" i="6" s="1"/>
  <c r="L444" i="6"/>
  <c r="L445" i="6"/>
  <c r="N445" i="6"/>
  <c r="L447" i="6"/>
  <c r="N447" i="6" s="1"/>
  <c r="L448" i="6"/>
  <c r="L449" i="6"/>
  <c r="N449" i="6" s="1"/>
  <c r="L451" i="6"/>
  <c r="N451" i="6" s="1"/>
  <c r="L452" i="6"/>
  <c r="L453" i="6"/>
  <c r="N453" i="6" s="1"/>
  <c r="L455" i="6"/>
  <c r="N455" i="6"/>
  <c r="L456" i="6"/>
  <c r="L457" i="6"/>
  <c r="N457" i="6" s="1"/>
  <c r="L459" i="6"/>
  <c r="N459" i="6" s="1"/>
  <c r="L460" i="6"/>
  <c r="L461" i="6"/>
  <c r="N461" i="6"/>
  <c r="L463" i="6"/>
  <c r="N463" i="6" s="1"/>
  <c r="L464" i="6"/>
  <c r="L465" i="6"/>
  <c r="N465" i="6" s="1"/>
  <c r="L467" i="6"/>
  <c r="N467" i="6" s="1"/>
  <c r="L468" i="6"/>
  <c r="L469" i="6"/>
  <c r="N469" i="6" s="1"/>
  <c r="L471" i="6"/>
  <c r="N471" i="6"/>
  <c r="L472" i="6"/>
  <c r="L473" i="6"/>
  <c r="N473" i="6" s="1"/>
  <c r="L475" i="6"/>
  <c r="N475" i="6" s="1"/>
  <c r="L476" i="6"/>
  <c r="L477" i="6"/>
  <c r="N477" i="6" s="1"/>
  <c r="L479" i="6"/>
  <c r="N479" i="6" s="1"/>
  <c r="L480" i="6"/>
  <c r="N480" i="6" s="1"/>
  <c r="L481" i="6"/>
  <c r="N481" i="6" s="1"/>
  <c r="L483" i="6"/>
  <c r="N483" i="6" s="1"/>
  <c r="L484" i="6"/>
  <c r="N484" i="6" s="1"/>
  <c r="L485" i="6"/>
  <c r="N485" i="6" s="1"/>
  <c r="L487" i="6"/>
  <c r="N487" i="6"/>
  <c r="L488" i="6"/>
  <c r="N488" i="6" s="1"/>
  <c r="L489" i="6"/>
  <c r="N489" i="6"/>
  <c r="L491" i="6"/>
  <c r="N491" i="6" s="1"/>
  <c r="L492" i="6"/>
  <c r="L493" i="6"/>
  <c r="N493" i="6" s="1"/>
  <c r="L495" i="6"/>
  <c r="N495" i="6" s="1"/>
  <c r="L496" i="6"/>
  <c r="L497" i="6"/>
  <c r="N497" i="6"/>
  <c r="L499" i="6"/>
  <c r="N499" i="6" s="1"/>
  <c r="L500" i="6"/>
  <c r="L501" i="6"/>
  <c r="N501" i="6"/>
  <c r="L503" i="6"/>
  <c r="N503" i="6" s="1"/>
  <c r="L504" i="6"/>
  <c r="L505" i="6"/>
  <c r="N505" i="6"/>
  <c r="L507" i="6"/>
  <c r="N507" i="6" s="1"/>
  <c r="L508" i="6"/>
  <c r="L509" i="6"/>
  <c r="N509" i="6" s="1"/>
  <c r="L511" i="6"/>
  <c r="N511" i="6" s="1"/>
  <c r="L512" i="6"/>
  <c r="L513" i="6"/>
  <c r="N513" i="6" s="1"/>
  <c r="L515" i="6"/>
  <c r="N515" i="6" s="1"/>
  <c r="L516" i="6"/>
  <c r="L517" i="6"/>
  <c r="N517" i="6" s="1"/>
  <c r="L519" i="6"/>
  <c r="N519" i="6" s="1"/>
  <c r="L520" i="6"/>
  <c r="L521" i="6"/>
  <c r="N521" i="6"/>
  <c r="L523" i="6"/>
  <c r="N523" i="6" s="1"/>
  <c r="L524" i="6"/>
  <c r="L525" i="6"/>
  <c r="N525" i="6" s="1"/>
  <c r="L527" i="6"/>
  <c r="N527" i="6" s="1"/>
  <c r="L528" i="6"/>
  <c r="L529" i="6"/>
  <c r="N529" i="6"/>
  <c r="L531" i="6"/>
  <c r="N531" i="6" s="1"/>
  <c r="L532" i="6"/>
  <c r="L533" i="6"/>
  <c r="N533" i="6" s="1"/>
  <c r="L535" i="6"/>
  <c r="N535" i="6" s="1"/>
  <c r="L536" i="6"/>
  <c r="L537" i="6"/>
  <c r="N537" i="6"/>
  <c r="L539" i="6"/>
  <c r="N539" i="6" s="1"/>
  <c r="L540" i="6"/>
  <c r="L541" i="6"/>
  <c r="N541" i="6" s="1"/>
  <c r="L543" i="6"/>
  <c r="N543" i="6" s="1"/>
  <c r="L544" i="6"/>
  <c r="L545" i="6"/>
  <c r="N545" i="6"/>
  <c r="L547" i="6"/>
  <c r="N547" i="6" s="1"/>
  <c r="L548" i="6"/>
  <c r="L549" i="6"/>
  <c r="N549" i="6" s="1"/>
  <c r="L551" i="6"/>
  <c r="N551" i="6" s="1"/>
  <c r="L552" i="6"/>
  <c r="L553" i="6"/>
  <c r="N553" i="6"/>
  <c r="L555" i="6"/>
  <c r="N555" i="6" s="1"/>
  <c r="L556" i="6"/>
  <c r="L557" i="6"/>
  <c r="N557" i="6"/>
  <c r="L559" i="6"/>
  <c r="N559" i="6" s="1"/>
  <c r="L560" i="6"/>
  <c r="L561" i="6"/>
  <c r="N561" i="6"/>
  <c r="L563" i="6"/>
  <c r="N563" i="6" s="1"/>
  <c r="L564" i="6"/>
  <c r="L565" i="6"/>
  <c r="N565" i="6" s="1"/>
  <c r="L567" i="6"/>
  <c r="N567" i="6" s="1"/>
  <c r="L568" i="6"/>
  <c r="L569" i="6"/>
  <c r="N569" i="6"/>
  <c r="L571" i="6"/>
  <c r="N571" i="6" s="1"/>
  <c r="L572" i="6"/>
  <c r="L573" i="6"/>
  <c r="N573" i="6" s="1"/>
  <c r="L575" i="6"/>
  <c r="N575" i="6" s="1"/>
  <c r="L576" i="6"/>
  <c r="L577" i="6"/>
  <c r="N577" i="6"/>
  <c r="L579" i="6"/>
  <c r="N579" i="6" s="1"/>
  <c r="L580" i="6"/>
  <c r="L581" i="6"/>
  <c r="N581" i="6" s="1"/>
  <c r="L583" i="6"/>
  <c r="N583" i="6" s="1"/>
  <c r="L584" i="6"/>
  <c r="L585" i="6"/>
  <c r="N585" i="6"/>
  <c r="L587" i="6"/>
  <c r="N587" i="6" s="1"/>
  <c r="L588" i="6"/>
  <c r="L589" i="6"/>
  <c r="N589" i="6" s="1"/>
  <c r="L591" i="6"/>
  <c r="N591" i="6" s="1"/>
  <c r="L592" i="6"/>
  <c r="L593" i="6"/>
  <c r="N593" i="6" s="1"/>
  <c r="L595" i="6"/>
  <c r="N595" i="6" s="1"/>
  <c r="L596" i="6"/>
  <c r="L597" i="6"/>
  <c r="N597" i="6" s="1"/>
  <c r="L599" i="6"/>
  <c r="N599" i="6" s="1"/>
  <c r="L600" i="6"/>
  <c r="L601" i="6"/>
  <c r="N601" i="6"/>
  <c r="L603" i="6"/>
  <c r="N603" i="6" s="1"/>
  <c r="L604" i="6"/>
  <c r="L605" i="6"/>
  <c r="N605" i="6" s="1"/>
  <c r="L607" i="6"/>
  <c r="N607" i="6" s="1"/>
  <c r="L608" i="6"/>
  <c r="L609" i="6"/>
  <c r="N609" i="6"/>
  <c r="L611" i="6"/>
  <c r="N611" i="6" s="1"/>
  <c r="L612" i="6"/>
  <c r="N612" i="6" s="1"/>
  <c r="L613" i="6"/>
  <c r="N613" i="6" s="1"/>
  <c r="L615" i="6"/>
  <c r="N615" i="6" s="1"/>
  <c r="L616" i="6"/>
  <c r="N616" i="6" s="1"/>
  <c r="L617" i="6"/>
  <c r="N617" i="6" s="1"/>
  <c r="L619" i="6"/>
  <c r="N619" i="6" s="1"/>
  <c r="L620" i="6"/>
  <c r="N620" i="6" s="1"/>
  <c r="L621" i="6"/>
  <c r="N621" i="6" s="1"/>
  <c r="L623" i="6"/>
  <c r="N623" i="6" s="1"/>
  <c r="L624" i="6"/>
  <c r="N624" i="6" s="1"/>
  <c r="L625" i="6"/>
  <c r="N625" i="6" s="1"/>
  <c r="L627" i="6"/>
  <c r="N627" i="6" s="1"/>
  <c r="L628" i="6"/>
  <c r="N628" i="6" s="1"/>
  <c r="L629" i="6"/>
  <c r="N629" i="6" s="1"/>
  <c r="L631" i="6"/>
  <c r="N631" i="6" s="1"/>
  <c r="L632" i="6"/>
  <c r="N632" i="6" s="1"/>
  <c r="L633" i="6"/>
  <c r="N633" i="6" s="1"/>
  <c r="L635" i="6"/>
  <c r="N635" i="6" s="1"/>
  <c r="L636" i="6"/>
  <c r="N636" i="6" s="1"/>
  <c r="L637" i="6"/>
  <c r="N637" i="6" s="1"/>
  <c r="L639" i="6"/>
  <c r="N639" i="6" s="1"/>
  <c r="L640" i="6"/>
  <c r="N640" i="6" s="1"/>
  <c r="L641" i="6"/>
  <c r="N641" i="6" s="1"/>
  <c r="L643" i="6"/>
  <c r="N643" i="6" s="1"/>
  <c r="L644" i="6"/>
  <c r="N644" i="6" s="1"/>
  <c r="L645" i="6"/>
  <c r="N645" i="6" s="1"/>
  <c r="L647" i="6"/>
  <c r="N647" i="6" s="1"/>
  <c r="L648" i="6"/>
  <c r="N648" i="6" s="1"/>
  <c r="L649" i="6"/>
  <c r="N649" i="6" s="1"/>
  <c r="L651" i="6"/>
  <c r="N651" i="6" s="1"/>
  <c r="L652" i="6"/>
  <c r="N652" i="6" s="1"/>
  <c r="L653" i="6"/>
  <c r="N653" i="6" s="1"/>
  <c r="L655" i="6"/>
  <c r="N655" i="6" s="1"/>
  <c r="L656" i="6"/>
  <c r="N656" i="6" s="1"/>
  <c r="L657" i="6"/>
  <c r="N657" i="6" s="1"/>
  <c r="L659" i="6"/>
  <c r="N659" i="6" s="1"/>
  <c r="L660" i="6"/>
  <c r="N660" i="6" s="1"/>
  <c r="L661" i="6"/>
  <c r="N661" i="6" s="1"/>
  <c r="L663" i="6"/>
  <c r="N663" i="6" s="1"/>
  <c r="L664" i="6"/>
  <c r="N664" i="6" s="1"/>
  <c r="L665" i="6"/>
  <c r="N665" i="6" s="1"/>
  <c r="L667" i="6"/>
  <c r="N667" i="6" s="1"/>
  <c r="L668" i="6"/>
  <c r="N668" i="6" s="1"/>
  <c r="L669" i="6"/>
  <c r="N669" i="6" s="1"/>
  <c r="L671" i="6"/>
  <c r="N671" i="6" s="1"/>
  <c r="L672" i="6"/>
  <c r="N672" i="6" s="1"/>
  <c r="L673" i="6"/>
  <c r="N673" i="6" s="1"/>
  <c r="L675" i="6"/>
  <c r="N675" i="6" s="1"/>
  <c r="L676" i="6"/>
  <c r="N676" i="6" s="1"/>
  <c r="L677" i="6"/>
  <c r="N677" i="6" s="1"/>
  <c r="L679" i="6"/>
  <c r="N679" i="6" s="1"/>
  <c r="L680" i="6"/>
  <c r="N680" i="6" s="1"/>
  <c r="L681" i="6"/>
  <c r="N681" i="6" s="1"/>
  <c r="L683" i="6"/>
  <c r="N683" i="6" s="1"/>
  <c r="L684" i="6"/>
  <c r="N684" i="6" s="1"/>
  <c r="L685" i="6"/>
  <c r="N685" i="6" s="1"/>
  <c r="L687" i="6"/>
  <c r="N687" i="6" s="1"/>
  <c r="L688" i="6"/>
  <c r="N688" i="6" s="1"/>
  <c r="L689" i="6"/>
  <c r="N689" i="6" s="1"/>
  <c r="L691" i="6"/>
  <c r="N691" i="6" s="1"/>
  <c r="L692" i="6"/>
  <c r="N692" i="6" s="1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 s="1"/>
  <c r="D5" i="8"/>
  <c r="E5" i="8" s="1"/>
  <c r="D8" i="8"/>
  <c r="E8" i="8" s="1"/>
  <c r="M692" i="6" l="1"/>
  <c r="M688" i="6"/>
  <c r="M684" i="6"/>
  <c r="M680" i="6"/>
  <c r="M676" i="6"/>
  <c r="M672" i="6"/>
  <c r="M668" i="6"/>
  <c r="M664" i="6"/>
  <c r="M644" i="6"/>
  <c r="M624" i="6"/>
  <c r="M620" i="6"/>
  <c r="M616" i="6"/>
  <c r="N596" i="6"/>
  <c r="N580" i="6"/>
  <c r="N610" i="6"/>
  <c r="N646" i="6"/>
  <c r="N654" i="6"/>
  <c r="N432" i="6"/>
  <c r="N344" i="6"/>
  <c r="N336" i="6"/>
  <c r="N328" i="6"/>
  <c r="N320" i="6"/>
  <c r="N312" i="6"/>
  <c r="N304" i="6"/>
  <c r="N296" i="6"/>
  <c r="N280" i="6"/>
  <c r="N276" i="6"/>
  <c r="N272" i="6"/>
  <c r="N158" i="6"/>
  <c r="N178" i="6"/>
  <c r="N182" i="6"/>
  <c r="K190" i="6"/>
  <c r="M190" i="6" s="1"/>
  <c r="K202" i="6"/>
  <c r="N206" i="6"/>
  <c r="N222" i="6"/>
  <c r="N238" i="6"/>
  <c r="N254" i="6"/>
  <c r="N270" i="6"/>
  <c r="N278" i="6"/>
  <c r="N286" i="6"/>
  <c r="N294" i="6"/>
  <c r="N302" i="6"/>
  <c r="N310" i="6"/>
  <c r="N318" i="6"/>
  <c r="N326" i="6"/>
  <c r="N334" i="6"/>
  <c r="N342" i="6"/>
  <c r="K618" i="6"/>
  <c r="M618" i="6" s="1"/>
  <c r="K626" i="6"/>
  <c r="K634" i="6"/>
  <c r="K642" i="6"/>
  <c r="M642" i="6" s="1"/>
  <c r="K650" i="6"/>
  <c r="M650" i="6" s="1"/>
  <c r="K658" i="6"/>
  <c r="M658" i="6" s="1"/>
  <c r="N588" i="6"/>
  <c r="M588" i="6"/>
  <c r="M572" i="6"/>
  <c r="N572" i="6"/>
  <c r="M556" i="6"/>
  <c r="N556" i="6"/>
  <c r="M540" i="6"/>
  <c r="N540" i="6"/>
  <c r="M520" i="6"/>
  <c r="N520" i="6"/>
  <c r="M500" i="6"/>
  <c r="N500" i="6"/>
  <c r="M468" i="6"/>
  <c r="N468" i="6"/>
  <c r="M452" i="6"/>
  <c r="N452" i="6"/>
  <c r="M440" i="6"/>
  <c r="N440" i="6"/>
  <c r="M424" i="6"/>
  <c r="N424" i="6"/>
  <c r="M408" i="6"/>
  <c r="N408" i="6"/>
  <c r="M388" i="6"/>
  <c r="N388" i="6"/>
  <c r="M368" i="6"/>
  <c r="N368" i="6"/>
  <c r="N170" i="6"/>
  <c r="L218" i="6"/>
  <c r="K218" i="6"/>
  <c r="K446" i="6"/>
  <c r="M446" i="6" s="1"/>
  <c r="M458" i="6"/>
  <c r="K458" i="6"/>
  <c r="K470" i="6"/>
  <c r="M470" i="6" s="1"/>
  <c r="K486" i="6"/>
  <c r="M486" i="6" s="1"/>
  <c r="K502" i="6"/>
  <c r="M502" i="6" s="1"/>
  <c r="M514" i="6"/>
  <c r="K514" i="6"/>
  <c r="K526" i="6"/>
  <c r="M526" i="6" s="1"/>
  <c r="K538" i="6"/>
  <c r="M538" i="6" s="1"/>
  <c r="K558" i="6"/>
  <c r="M558" i="6" s="1"/>
  <c r="K570" i="6"/>
  <c r="M570" i="6" s="1"/>
  <c r="K582" i="6"/>
  <c r="M582" i="6" s="1"/>
  <c r="K602" i="6"/>
  <c r="M602" i="6" s="1"/>
  <c r="K674" i="6"/>
  <c r="M674" i="6" s="1"/>
  <c r="K682" i="6"/>
  <c r="M682" i="6" s="1"/>
  <c r="L570" i="6"/>
  <c r="N570" i="6" s="1"/>
  <c r="L538" i="6"/>
  <c r="N538" i="6" s="1"/>
  <c r="L514" i="6"/>
  <c r="N514" i="6" s="1"/>
  <c r="L458" i="6"/>
  <c r="N458" i="6" s="1"/>
  <c r="M634" i="6"/>
  <c r="M432" i="6"/>
  <c r="N604" i="6"/>
  <c r="M604" i="6"/>
  <c r="N592" i="6"/>
  <c r="M592" i="6"/>
  <c r="M584" i="6"/>
  <c r="N584" i="6"/>
  <c r="M576" i="6"/>
  <c r="N576" i="6"/>
  <c r="M564" i="6"/>
  <c r="N564" i="6"/>
  <c r="M552" i="6"/>
  <c r="N552" i="6"/>
  <c r="M544" i="6"/>
  <c r="N544" i="6"/>
  <c r="M532" i="6"/>
  <c r="N532" i="6"/>
  <c r="M524" i="6"/>
  <c r="N524" i="6"/>
  <c r="M512" i="6"/>
  <c r="N512" i="6"/>
  <c r="M504" i="6"/>
  <c r="N504" i="6"/>
  <c r="M492" i="6"/>
  <c r="N492" i="6"/>
  <c r="M472" i="6"/>
  <c r="N472" i="6"/>
  <c r="M460" i="6"/>
  <c r="N460" i="6"/>
  <c r="M448" i="6"/>
  <c r="N448" i="6"/>
  <c r="M420" i="6"/>
  <c r="N420" i="6"/>
  <c r="M412" i="6"/>
  <c r="N412" i="6"/>
  <c r="M400" i="6"/>
  <c r="N400" i="6"/>
  <c r="M392" i="6"/>
  <c r="N392" i="6"/>
  <c r="M380" i="6"/>
  <c r="N380" i="6"/>
  <c r="M372" i="6"/>
  <c r="N372" i="6"/>
  <c r="M360" i="6"/>
  <c r="N360" i="6"/>
  <c r="N352" i="6"/>
  <c r="M352" i="6"/>
  <c r="N166" i="6"/>
  <c r="L174" i="6"/>
  <c r="N174" i="6" s="1"/>
  <c r="K174" i="6"/>
  <c r="M174" i="6" s="1"/>
  <c r="K442" i="6"/>
  <c r="M442" i="6" s="1"/>
  <c r="N442" i="6"/>
  <c r="M450" i="6"/>
  <c r="K450" i="6"/>
  <c r="N450" i="6"/>
  <c r="K466" i="6"/>
  <c r="M466" i="6" s="1"/>
  <c r="N466" i="6"/>
  <c r="K478" i="6"/>
  <c r="M478" i="6" s="1"/>
  <c r="K490" i="6"/>
  <c r="M490" i="6" s="1"/>
  <c r="N490" i="6"/>
  <c r="K498" i="6"/>
  <c r="M498" i="6" s="1"/>
  <c r="N498" i="6"/>
  <c r="K510" i="6"/>
  <c r="M510" i="6" s="1"/>
  <c r="K522" i="6"/>
  <c r="M522" i="6" s="1"/>
  <c r="N522" i="6"/>
  <c r="K534" i="6"/>
  <c r="M534" i="6" s="1"/>
  <c r="K542" i="6"/>
  <c r="M542" i="6" s="1"/>
  <c r="K550" i="6"/>
  <c r="M550" i="6" s="1"/>
  <c r="K562" i="6"/>
  <c r="M562" i="6" s="1"/>
  <c r="N562" i="6"/>
  <c r="K574" i="6"/>
  <c r="M574" i="6" s="1"/>
  <c r="K586" i="6"/>
  <c r="M586" i="6" s="1"/>
  <c r="N586" i="6"/>
  <c r="K594" i="6"/>
  <c r="M594" i="6" s="1"/>
  <c r="K606" i="6"/>
  <c r="M606" i="6" s="1"/>
  <c r="K614" i="6"/>
  <c r="M614" i="6" s="1"/>
  <c r="K622" i="6"/>
  <c r="M622" i="6" s="1"/>
  <c r="K630" i="6"/>
  <c r="M630" i="6" s="1"/>
  <c r="K638" i="6"/>
  <c r="M638" i="6" s="1"/>
  <c r="K662" i="6"/>
  <c r="M662" i="6" s="1"/>
  <c r="K678" i="6"/>
  <c r="M678" i="6" s="1"/>
  <c r="K690" i="6"/>
  <c r="M690" i="6" s="1"/>
  <c r="L690" i="6"/>
  <c r="N690" i="6" s="1"/>
  <c r="L682" i="6"/>
  <c r="N682" i="6" s="1"/>
  <c r="L674" i="6"/>
  <c r="N674" i="6" s="1"/>
  <c r="L662" i="6"/>
  <c r="N662" i="6" s="1"/>
  <c r="L638" i="6"/>
  <c r="N638" i="6" s="1"/>
  <c r="L626" i="6"/>
  <c r="N626" i="6" s="1"/>
  <c r="L622" i="6"/>
  <c r="N622" i="6" s="1"/>
  <c r="L618" i="6"/>
  <c r="N618" i="6" s="1"/>
  <c r="L614" i="6"/>
  <c r="N614" i="6" s="1"/>
  <c r="L594" i="6"/>
  <c r="N594" i="6" s="1"/>
  <c r="N348" i="6"/>
  <c r="M580" i="6"/>
  <c r="L22" i="6"/>
  <c r="N22" i="6" s="1"/>
  <c r="N608" i="6"/>
  <c r="M608" i="6"/>
  <c r="M600" i="6"/>
  <c r="N600" i="6"/>
  <c r="M568" i="6"/>
  <c r="N568" i="6"/>
  <c r="M560" i="6"/>
  <c r="N560" i="6"/>
  <c r="M548" i="6"/>
  <c r="N548" i="6"/>
  <c r="M536" i="6"/>
  <c r="N536" i="6"/>
  <c r="M528" i="6"/>
  <c r="N528" i="6"/>
  <c r="M516" i="6"/>
  <c r="N516" i="6"/>
  <c r="M508" i="6"/>
  <c r="N508" i="6"/>
  <c r="M496" i="6"/>
  <c r="N496" i="6"/>
  <c r="M476" i="6"/>
  <c r="N476" i="6"/>
  <c r="M464" i="6"/>
  <c r="N464" i="6"/>
  <c r="M456" i="6"/>
  <c r="N456" i="6"/>
  <c r="M444" i="6"/>
  <c r="N444" i="6"/>
  <c r="M436" i="6"/>
  <c r="N436" i="6"/>
  <c r="M428" i="6"/>
  <c r="N428" i="6"/>
  <c r="M416" i="6"/>
  <c r="N416" i="6"/>
  <c r="M404" i="6"/>
  <c r="N404" i="6"/>
  <c r="M396" i="6"/>
  <c r="N396" i="6"/>
  <c r="M384" i="6"/>
  <c r="N384" i="6"/>
  <c r="M376" i="6"/>
  <c r="N376" i="6"/>
  <c r="M364" i="6"/>
  <c r="N364" i="6"/>
  <c r="M356" i="6"/>
  <c r="N356" i="6"/>
  <c r="N268" i="6"/>
  <c r="N162" i="6"/>
  <c r="K454" i="6"/>
  <c r="M454" i="6" s="1"/>
  <c r="K462" i="6"/>
  <c r="M462" i="6" s="1"/>
  <c r="K474" i="6"/>
  <c r="M474" i="6" s="1"/>
  <c r="N474" i="6"/>
  <c r="K482" i="6"/>
  <c r="M482" i="6" s="1"/>
  <c r="N482" i="6"/>
  <c r="K494" i="6"/>
  <c r="M494" i="6" s="1"/>
  <c r="K506" i="6"/>
  <c r="M506" i="6" s="1"/>
  <c r="N506" i="6"/>
  <c r="K518" i="6"/>
  <c r="M518" i="6" s="1"/>
  <c r="K530" i="6"/>
  <c r="M530" i="6" s="1"/>
  <c r="N530" i="6"/>
  <c r="K546" i="6"/>
  <c r="M546" i="6" s="1"/>
  <c r="N546" i="6"/>
  <c r="K554" i="6"/>
  <c r="M554" i="6" s="1"/>
  <c r="N554" i="6"/>
  <c r="K566" i="6"/>
  <c r="M566" i="6" s="1"/>
  <c r="K578" i="6"/>
  <c r="M578" i="6" s="1"/>
  <c r="N578" i="6"/>
  <c r="K590" i="6"/>
  <c r="K598" i="6"/>
  <c r="M598" i="6" s="1"/>
  <c r="K610" i="6"/>
  <c r="M610" i="6" s="1"/>
  <c r="K646" i="6"/>
  <c r="M646" i="6" s="1"/>
  <c r="K654" i="6"/>
  <c r="M654" i="6" s="1"/>
  <c r="K666" i="6"/>
  <c r="M666" i="6" s="1"/>
  <c r="K670" i="6"/>
  <c r="M670" i="6" s="1"/>
  <c r="K686" i="6"/>
  <c r="M686" i="6" s="1"/>
  <c r="L686" i="6"/>
  <c r="N686" i="6" s="1"/>
  <c r="L678" i="6"/>
  <c r="N678" i="6" s="1"/>
  <c r="L670" i="6"/>
  <c r="N670" i="6" s="1"/>
  <c r="L666" i="6"/>
  <c r="N666" i="6" s="1"/>
  <c r="L658" i="6"/>
  <c r="N658" i="6" s="1"/>
  <c r="L650" i="6"/>
  <c r="N650" i="6" s="1"/>
  <c r="L642" i="6"/>
  <c r="N642" i="6" s="1"/>
  <c r="L634" i="6"/>
  <c r="N634" i="6" s="1"/>
  <c r="L630" i="6"/>
  <c r="N630" i="6" s="1"/>
  <c r="L602" i="6"/>
  <c r="N602" i="6" s="1"/>
  <c r="L606" i="6"/>
  <c r="N606" i="6" s="1"/>
  <c r="L598" i="6"/>
  <c r="N598" i="6" s="1"/>
  <c r="L590" i="6"/>
  <c r="N590" i="6" s="1"/>
  <c r="L582" i="6"/>
  <c r="N582" i="6" s="1"/>
  <c r="L574" i="6"/>
  <c r="N574" i="6" s="1"/>
  <c r="L566" i="6"/>
  <c r="N566" i="6" s="1"/>
  <c r="L558" i="6"/>
  <c r="N558" i="6" s="1"/>
  <c r="L550" i="6"/>
  <c r="N550" i="6" s="1"/>
  <c r="L542" i="6"/>
  <c r="N542" i="6" s="1"/>
  <c r="L534" i="6"/>
  <c r="N534" i="6" s="1"/>
  <c r="L526" i="6"/>
  <c r="N526" i="6" s="1"/>
  <c r="L518" i="6"/>
  <c r="N518" i="6" s="1"/>
  <c r="L510" i="6"/>
  <c r="N510" i="6" s="1"/>
  <c r="L502" i="6"/>
  <c r="N502" i="6" s="1"/>
  <c r="L494" i="6"/>
  <c r="N494" i="6" s="1"/>
  <c r="L486" i="6"/>
  <c r="N486" i="6" s="1"/>
  <c r="L478" i="6"/>
  <c r="N478" i="6" s="1"/>
  <c r="L470" i="6"/>
  <c r="N470" i="6" s="1"/>
  <c r="L462" i="6"/>
  <c r="N462" i="6" s="1"/>
  <c r="L454" i="6"/>
  <c r="N454" i="6" s="1"/>
  <c r="L446" i="6"/>
  <c r="N446" i="6" s="1"/>
  <c r="N316" i="6"/>
  <c r="M626" i="6"/>
  <c r="M596" i="6"/>
  <c r="M590" i="6"/>
  <c r="N324" i="6"/>
  <c r="N292" i="6"/>
  <c r="N332" i="6"/>
  <c r="N300" i="6"/>
  <c r="N340" i="6"/>
  <c r="N308" i="6"/>
  <c r="L438" i="6"/>
  <c r="N438" i="6" s="1"/>
  <c r="L434" i="6"/>
  <c r="N434" i="6" s="1"/>
  <c r="L430" i="6"/>
  <c r="N430" i="6" s="1"/>
  <c r="L426" i="6"/>
  <c r="N426" i="6" s="1"/>
  <c r="L422" i="6"/>
  <c r="N422" i="6" s="1"/>
  <c r="L418" i="6"/>
  <c r="N418" i="6" s="1"/>
  <c r="L414" i="6"/>
  <c r="N414" i="6" s="1"/>
  <c r="L410" i="6"/>
  <c r="N410" i="6" s="1"/>
  <c r="L406" i="6"/>
  <c r="N406" i="6" s="1"/>
  <c r="L402" i="6"/>
  <c r="N402" i="6" s="1"/>
  <c r="L398" i="6"/>
  <c r="N398" i="6" s="1"/>
  <c r="L394" i="6"/>
  <c r="N394" i="6" s="1"/>
  <c r="L390" i="6"/>
  <c r="N390" i="6" s="1"/>
  <c r="L386" i="6"/>
  <c r="N386" i="6" s="1"/>
  <c r="L382" i="6"/>
  <c r="N382" i="6" s="1"/>
  <c r="L378" i="6"/>
  <c r="N378" i="6" s="1"/>
  <c r="L374" i="6"/>
  <c r="N374" i="6" s="1"/>
  <c r="L370" i="6"/>
  <c r="N370" i="6" s="1"/>
  <c r="L366" i="6"/>
  <c r="N366" i="6" s="1"/>
  <c r="L362" i="6"/>
  <c r="N362" i="6" s="1"/>
  <c r="L358" i="6"/>
  <c r="N358" i="6" s="1"/>
  <c r="L354" i="6"/>
  <c r="N354" i="6" s="1"/>
  <c r="L350" i="6"/>
  <c r="N350" i="6" s="1"/>
  <c r="L190" i="6"/>
  <c r="N190" i="6" s="1"/>
  <c r="N150" i="6"/>
  <c r="N76" i="6"/>
  <c r="L34" i="6"/>
  <c r="N34" i="6" s="1"/>
  <c r="K438" i="6"/>
  <c r="M438" i="6" s="1"/>
  <c r="K434" i="6"/>
  <c r="M434" i="6" s="1"/>
  <c r="K430" i="6"/>
  <c r="M430" i="6" s="1"/>
  <c r="K426" i="6"/>
  <c r="M426" i="6" s="1"/>
  <c r="K422" i="6"/>
  <c r="M422" i="6" s="1"/>
  <c r="K418" i="6"/>
  <c r="M418" i="6" s="1"/>
  <c r="K414" i="6"/>
  <c r="M414" i="6" s="1"/>
  <c r="K410" i="6"/>
  <c r="M410" i="6" s="1"/>
  <c r="K406" i="6"/>
  <c r="M406" i="6" s="1"/>
  <c r="N346" i="6"/>
  <c r="N338" i="6"/>
  <c r="N330" i="6"/>
  <c r="N322" i="6"/>
  <c r="N314" i="6"/>
  <c r="N306" i="6"/>
  <c r="N298" i="6"/>
  <c r="N290" i="6"/>
  <c r="N282" i="6"/>
  <c r="N274" i="6"/>
  <c r="N154" i="6"/>
  <c r="N142" i="6"/>
  <c r="L26" i="6"/>
  <c r="N26" i="6" s="1"/>
  <c r="L202" i="6"/>
  <c r="N202" i="6" s="1"/>
  <c r="L146" i="6"/>
  <c r="N146" i="6" s="1"/>
  <c r="K402" i="6"/>
  <c r="M402" i="6" s="1"/>
  <c r="K398" i="6"/>
  <c r="M398" i="6" s="1"/>
  <c r="K394" i="6"/>
  <c r="M394" i="6" s="1"/>
  <c r="K390" i="6"/>
  <c r="M390" i="6" s="1"/>
  <c r="K386" i="6"/>
  <c r="M386" i="6" s="1"/>
  <c r="K382" i="6"/>
  <c r="M382" i="6" s="1"/>
  <c r="K378" i="6"/>
  <c r="M378" i="6" s="1"/>
  <c r="K374" i="6"/>
  <c r="M374" i="6" s="1"/>
  <c r="K370" i="6"/>
  <c r="M370" i="6" s="1"/>
  <c r="K366" i="6"/>
  <c r="M366" i="6" s="1"/>
  <c r="K362" i="6"/>
  <c r="M362" i="6" s="1"/>
  <c r="K358" i="6"/>
  <c r="M358" i="6" s="1"/>
  <c r="K354" i="6"/>
  <c r="M354" i="6" s="1"/>
  <c r="K350" i="6"/>
  <c r="M350" i="6" s="1"/>
  <c r="K346" i="6"/>
  <c r="M346" i="6" s="1"/>
  <c r="K342" i="6"/>
  <c r="M342" i="6" s="1"/>
  <c r="K338" i="6"/>
  <c r="K334" i="6"/>
  <c r="M334" i="6" s="1"/>
  <c r="K330" i="6"/>
  <c r="M330" i="6" s="1"/>
  <c r="K326" i="6"/>
  <c r="M326" i="6" s="1"/>
  <c r="K322" i="6"/>
  <c r="M322" i="6" s="1"/>
  <c r="K318" i="6"/>
  <c r="M318" i="6" s="1"/>
  <c r="K314" i="6"/>
  <c r="M314" i="6" s="1"/>
  <c r="K310" i="6"/>
  <c r="K306" i="6"/>
  <c r="K302" i="6"/>
  <c r="K298" i="6"/>
  <c r="M298" i="6" s="1"/>
  <c r="K294" i="6"/>
  <c r="K290" i="6"/>
  <c r="M290" i="6" s="1"/>
  <c r="K286" i="6"/>
  <c r="M286" i="6" s="1"/>
  <c r="K282" i="6"/>
  <c r="M282" i="6" s="1"/>
  <c r="K278" i="6"/>
  <c r="K274" i="6"/>
  <c r="K270" i="6"/>
  <c r="M270" i="6" s="1"/>
  <c r="K266" i="6"/>
  <c r="M266" i="6" s="1"/>
  <c r="K262" i="6"/>
  <c r="K258" i="6"/>
  <c r="K254" i="6"/>
  <c r="M254" i="6" s="1"/>
  <c r="K250" i="6"/>
  <c r="M250" i="6" s="1"/>
  <c r="K246" i="6"/>
  <c r="K242" i="6"/>
  <c r="K238" i="6"/>
  <c r="M238" i="6" s="1"/>
  <c r="K234" i="6"/>
  <c r="M234" i="6" s="1"/>
  <c r="K230" i="6"/>
  <c r="K226" i="6"/>
  <c r="K222" i="6"/>
  <c r="M222" i="6" s="1"/>
  <c r="K214" i="6"/>
  <c r="M214" i="6" s="1"/>
  <c r="K210" i="6"/>
  <c r="K206" i="6"/>
  <c r="K198" i="6"/>
  <c r="K194" i="6"/>
  <c r="K186" i="6"/>
  <c r="K182" i="6"/>
  <c r="M182" i="6" s="1"/>
  <c r="K178" i="6"/>
  <c r="M178" i="6" s="1"/>
  <c r="K170" i="6"/>
  <c r="M170" i="6" s="1"/>
  <c r="K166" i="6"/>
  <c r="M166" i="6" s="1"/>
  <c r="K162" i="6"/>
  <c r="M162" i="6" s="1"/>
  <c r="K158" i="6"/>
  <c r="K154" i="6"/>
  <c r="M154" i="6" s="1"/>
  <c r="K150" i="6"/>
  <c r="K146" i="6"/>
  <c r="M146" i="6" s="1"/>
  <c r="K142" i="6"/>
  <c r="M142" i="6" s="1"/>
  <c r="K138" i="6"/>
  <c r="M138" i="6" s="1"/>
  <c r="K134" i="6"/>
  <c r="K130" i="6"/>
  <c r="K126" i="6"/>
  <c r="M126" i="6" s="1"/>
  <c r="K122" i="6"/>
  <c r="M122" i="6" s="1"/>
  <c r="K118" i="6"/>
  <c r="K114" i="6"/>
  <c r="K110" i="6"/>
  <c r="K106" i="6"/>
  <c r="K102" i="6"/>
  <c r="K98" i="6"/>
  <c r="K94" i="6"/>
  <c r="M94" i="6" s="1"/>
  <c r="K90" i="6"/>
  <c r="M90" i="6" s="1"/>
  <c r="K42" i="6"/>
  <c r="M42" i="6" s="1"/>
  <c r="K38" i="6"/>
  <c r="K34" i="6"/>
  <c r="M34" i="6" s="1"/>
  <c r="K30" i="6"/>
  <c r="M30" i="6" s="1"/>
  <c r="K26" i="6"/>
  <c r="M26" i="6" s="1"/>
  <c r="K22" i="6"/>
  <c r="M22" i="6" s="1"/>
  <c r="K18" i="6"/>
  <c r="M18" i="6" s="1"/>
  <c r="K14" i="6"/>
  <c r="M14" i="6" s="1"/>
  <c r="K10" i="6"/>
  <c r="M10" i="6" s="1"/>
  <c r="K6" i="6"/>
  <c r="K72" i="6"/>
  <c r="M72" i="6" s="1"/>
  <c r="K68" i="6"/>
  <c r="M68" i="6" s="1"/>
  <c r="K64" i="6"/>
  <c r="M64" i="6" s="1"/>
  <c r="K60" i="6"/>
  <c r="M60" i="6" s="1"/>
  <c r="M48" i="6"/>
  <c r="N43" i="6"/>
  <c r="K95" i="6"/>
  <c r="K111" i="6"/>
  <c r="M111" i="6" s="1"/>
  <c r="K115" i="6"/>
  <c r="M115" i="6" s="1"/>
  <c r="K143" i="6"/>
  <c r="M143" i="6" s="1"/>
  <c r="K155" i="6"/>
  <c r="K171" i="6"/>
  <c r="M171" i="6" s="1"/>
  <c r="K179" i="6"/>
  <c r="M179" i="6" s="1"/>
  <c r="K191" i="6"/>
  <c r="M191" i="6" s="1"/>
  <c r="K199" i="6"/>
  <c r="M199" i="6" s="1"/>
  <c r="K207" i="6"/>
  <c r="M207" i="6" s="1"/>
  <c r="K215" i="6"/>
  <c r="M215" i="6" s="1"/>
  <c r="K219" i="6"/>
  <c r="M219" i="6" s="1"/>
  <c r="K227" i="6"/>
  <c r="M227" i="6" s="1"/>
  <c r="K235" i="6"/>
  <c r="M235" i="6" s="1"/>
  <c r="K243" i="6"/>
  <c r="M243" i="6" s="1"/>
  <c r="K255" i="6"/>
  <c r="M255" i="6" s="1"/>
  <c r="K263" i="6"/>
  <c r="M263" i="6" s="1"/>
  <c r="M161" i="6"/>
  <c r="M157" i="6"/>
  <c r="K89" i="6"/>
  <c r="M89" i="6" s="1"/>
  <c r="K85" i="6"/>
  <c r="M85" i="6" s="1"/>
  <c r="K81" i="6"/>
  <c r="M81" i="6" s="1"/>
  <c r="K77" i="6"/>
  <c r="M77" i="6" s="1"/>
  <c r="K69" i="6"/>
  <c r="M69" i="6" s="1"/>
  <c r="K65" i="6"/>
  <c r="M65" i="6" s="1"/>
  <c r="K61" i="6"/>
  <c r="M56" i="6"/>
  <c r="N88" i="6"/>
  <c r="N84" i="6"/>
  <c r="N80" i="6"/>
  <c r="M95" i="6"/>
  <c r="K99" i="6"/>
  <c r="M99" i="6" s="1"/>
  <c r="L99" i="6"/>
  <c r="N99" i="6" s="1"/>
  <c r="N103" i="6"/>
  <c r="N119" i="6"/>
  <c r="N123" i="6"/>
  <c r="K127" i="6"/>
  <c r="M127" i="6" s="1"/>
  <c r="L127" i="6"/>
  <c r="N127" i="6" s="1"/>
  <c r="L131" i="6"/>
  <c r="N131" i="6" s="1"/>
  <c r="K131" i="6"/>
  <c r="M131" i="6" s="1"/>
  <c r="L135" i="6"/>
  <c r="N135" i="6" s="1"/>
  <c r="L151" i="6"/>
  <c r="N151" i="6" s="1"/>
  <c r="K151" i="6"/>
  <c r="M151" i="6" s="1"/>
  <c r="M155" i="6"/>
  <c r="N159" i="6"/>
  <c r="K163" i="6"/>
  <c r="M163" i="6" s="1"/>
  <c r="L163" i="6"/>
  <c r="N163" i="6" s="1"/>
  <c r="M169" i="6"/>
  <c r="M225" i="6"/>
  <c r="M221" i="6"/>
  <c r="M213" i="6"/>
  <c r="M209" i="6"/>
  <c r="M205" i="6"/>
  <c r="M201" i="6"/>
  <c r="M197" i="6"/>
  <c r="M193" i="6"/>
  <c r="M189" i="6"/>
  <c r="M185" i="6"/>
  <c r="M181" i="6"/>
  <c r="M177" i="6"/>
  <c r="M173" i="6"/>
  <c r="M165" i="6"/>
  <c r="M61" i="6"/>
  <c r="M338" i="6"/>
  <c r="M310" i="6"/>
  <c r="M306" i="6"/>
  <c r="M302" i="6"/>
  <c r="M294" i="6"/>
  <c r="M278" i="6"/>
  <c r="M274" i="6"/>
  <c r="M262" i="6"/>
  <c r="M258" i="6"/>
  <c r="M246" i="6"/>
  <c r="M242" i="6"/>
  <c r="M230" i="6"/>
  <c r="M226" i="6"/>
  <c r="M218" i="6"/>
  <c r="M210" i="6"/>
  <c r="M206" i="6"/>
  <c r="M202" i="6"/>
  <c r="M198" i="6"/>
  <c r="M194" i="6"/>
  <c r="M186" i="6"/>
  <c r="M158" i="6"/>
  <c r="M150" i="6"/>
  <c r="M134" i="6"/>
  <c r="M130" i="6"/>
  <c r="N126" i="6"/>
  <c r="M118" i="6"/>
  <c r="M114" i="6"/>
  <c r="N114" i="6"/>
  <c r="M110" i="6"/>
  <c r="M106" i="6"/>
  <c r="M102" i="6"/>
  <c r="M58" i="6"/>
  <c r="M54" i="6"/>
  <c r="M50" i="6"/>
  <c r="M46" i="6"/>
  <c r="M38" i="6"/>
  <c r="N38" i="6"/>
  <c r="M6" i="6"/>
  <c r="K268" i="6"/>
  <c r="M268" i="6" s="1"/>
  <c r="K272" i="6"/>
  <c r="M272" i="6" s="1"/>
  <c r="K276" i="6"/>
  <c r="M276" i="6" s="1"/>
  <c r="K280" i="6"/>
  <c r="M280" i="6" s="1"/>
  <c r="K284" i="6"/>
  <c r="M284" i="6" s="1"/>
  <c r="K288" i="6"/>
  <c r="M288" i="6" s="1"/>
  <c r="K292" i="6"/>
  <c r="M292" i="6" s="1"/>
  <c r="K296" i="6"/>
  <c r="M296" i="6" s="1"/>
  <c r="K300" i="6"/>
  <c r="M300" i="6" s="1"/>
  <c r="K304" i="6"/>
  <c r="M304" i="6" s="1"/>
  <c r="K308" i="6"/>
  <c r="M308" i="6" s="1"/>
  <c r="K312" i="6"/>
  <c r="M312" i="6" s="1"/>
  <c r="K316" i="6"/>
  <c r="M316" i="6" s="1"/>
  <c r="K320" i="6"/>
  <c r="M320" i="6" s="1"/>
  <c r="K324" i="6"/>
  <c r="M324" i="6" s="1"/>
  <c r="K328" i="6"/>
  <c r="M328" i="6" s="1"/>
  <c r="K332" i="6"/>
  <c r="M332" i="6" s="1"/>
  <c r="K336" i="6"/>
  <c r="M336" i="6" s="1"/>
  <c r="K340" i="6"/>
  <c r="M340" i="6" s="1"/>
  <c r="K344" i="6"/>
  <c r="M344" i="6" s="1"/>
  <c r="K348" i="6"/>
  <c r="M348" i="6" s="1"/>
  <c r="N85" i="6"/>
  <c r="N52" i="6"/>
  <c r="M39" i="6"/>
  <c r="N64" i="6"/>
  <c r="N56" i="6"/>
  <c r="N47" i="6"/>
  <c r="M47" i="6"/>
  <c r="E10" i="8"/>
  <c r="K87" i="6"/>
  <c r="M87" i="6" s="1"/>
  <c r="L32" i="6"/>
  <c r="N32" i="6" s="1"/>
  <c r="L20" i="6"/>
  <c r="N20" i="6" s="1"/>
  <c r="L4" i="6"/>
  <c r="N4" i="6" s="1"/>
  <c r="M98" i="6"/>
  <c r="N98" i="6"/>
  <c r="M82" i="6"/>
  <c r="N82" i="6"/>
  <c r="L100" i="6"/>
  <c r="N100" i="6" s="1"/>
  <c r="L112" i="6"/>
  <c r="N112" i="6" s="1"/>
  <c r="L128" i="6"/>
  <c r="N128" i="6" s="1"/>
  <c r="L144" i="6"/>
  <c r="N144" i="6" s="1"/>
  <c r="L156" i="6"/>
  <c r="N156" i="6" s="1"/>
  <c r="L176" i="6"/>
  <c r="N176" i="6" s="1"/>
  <c r="K176" i="6"/>
  <c r="M176" i="6" s="1"/>
  <c r="L188" i="6"/>
  <c r="N188" i="6" s="1"/>
  <c r="K188" i="6"/>
  <c r="M188" i="6" s="1"/>
  <c r="K200" i="6"/>
  <c r="M200" i="6" s="1"/>
  <c r="L200" i="6"/>
  <c r="N200" i="6" s="1"/>
  <c r="K212" i="6"/>
  <c r="M212" i="6" s="1"/>
  <c r="L212" i="6"/>
  <c r="N212" i="6" s="1"/>
  <c r="K232" i="6"/>
  <c r="M232" i="6" s="1"/>
  <c r="L232" i="6"/>
  <c r="N232" i="6" s="1"/>
  <c r="K244" i="6"/>
  <c r="M244" i="6" s="1"/>
  <c r="L244" i="6"/>
  <c r="K256" i="6"/>
  <c r="M256" i="6" s="1"/>
  <c r="L256" i="6"/>
  <c r="N256" i="6" s="1"/>
  <c r="N258" i="6"/>
  <c r="N242" i="6"/>
  <c r="N226" i="6"/>
  <c r="N210" i="6"/>
  <c r="N194" i="6"/>
  <c r="N130" i="6"/>
  <c r="N110" i="6"/>
  <c r="L66" i="6"/>
  <c r="N66" i="6" s="1"/>
  <c r="L44" i="6"/>
  <c r="N44" i="6" s="1"/>
  <c r="N6" i="6"/>
  <c r="K83" i="6"/>
  <c r="M83" i="6" s="1"/>
  <c r="K75" i="6"/>
  <c r="M75" i="6" s="1"/>
  <c r="N75" i="6"/>
  <c r="L62" i="6"/>
  <c r="N62" i="6" s="1"/>
  <c r="L53" i="6"/>
  <c r="N53" i="6" s="1"/>
  <c r="M53" i="6"/>
  <c r="L40" i="6"/>
  <c r="N40" i="6" s="1"/>
  <c r="L16" i="6"/>
  <c r="N16" i="6" s="1"/>
  <c r="L8" i="6"/>
  <c r="N8" i="6" s="1"/>
  <c r="N94" i="6"/>
  <c r="M86" i="6"/>
  <c r="N86" i="6"/>
  <c r="M74" i="6"/>
  <c r="N74" i="6"/>
  <c r="K59" i="6"/>
  <c r="M59" i="6" s="1"/>
  <c r="L59" i="6"/>
  <c r="N59" i="6" s="1"/>
  <c r="L96" i="6"/>
  <c r="N96" i="6" s="1"/>
  <c r="L108" i="6"/>
  <c r="N108" i="6" s="1"/>
  <c r="L116" i="6"/>
  <c r="L124" i="6"/>
  <c r="N124" i="6" s="1"/>
  <c r="L136" i="6"/>
  <c r="L148" i="6"/>
  <c r="L160" i="6"/>
  <c r="N160" i="6" s="1"/>
  <c r="L168" i="6"/>
  <c r="N168" i="6" s="1"/>
  <c r="K168" i="6"/>
  <c r="M168" i="6" s="1"/>
  <c r="L180" i="6"/>
  <c r="N180" i="6" s="1"/>
  <c r="K180" i="6"/>
  <c r="M180" i="6" s="1"/>
  <c r="L192" i="6"/>
  <c r="N192" i="6" s="1"/>
  <c r="K192" i="6"/>
  <c r="M192" i="6" s="1"/>
  <c r="K204" i="6"/>
  <c r="M204" i="6" s="1"/>
  <c r="L204" i="6"/>
  <c r="N204" i="6" s="1"/>
  <c r="K216" i="6"/>
  <c r="M216" i="6" s="1"/>
  <c r="L216" i="6"/>
  <c r="K224" i="6"/>
  <c r="M224" i="6" s="1"/>
  <c r="L224" i="6"/>
  <c r="N224" i="6" s="1"/>
  <c r="K236" i="6"/>
  <c r="M236" i="6" s="1"/>
  <c r="L236" i="6"/>
  <c r="N236" i="6" s="1"/>
  <c r="K252" i="6"/>
  <c r="M252" i="6" s="1"/>
  <c r="L252" i="6"/>
  <c r="N252" i="6" s="1"/>
  <c r="K264" i="6"/>
  <c r="M264" i="6" s="1"/>
  <c r="L264" i="6"/>
  <c r="N262" i="6"/>
  <c r="N246" i="6"/>
  <c r="N244" i="6"/>
  <c r="N230" i="6"/>
  <c r="N214" i="6"/>
  <c r="N198" i="6"/>
  <c r="N148" i="6"/>
  <c r="N134" i="6"/>
  <c r="N122" i="6"/>
  <c r="N116" i="6"/>
  <c r="N106" i="6"/>
  <c r="L87" i="6"/>
  <c r="N87" i="6" s="1"/>
  <c r="L28" i="6"/>
  <c r="N28" i="6" s="1"/>
  <c r="K79" i="6"/>
  <c r="M79" i="6" s="1"/>
  <c r="N79" i="6"/>
  <c r="L70" i="6"/>
  <c r="N70" i="6" s="1"/>
  <c r="M57" i="6"/>
  <c r="L57" i="6"/>
  <c r="N57" i="6" s="1"/>
  <c r="M49" i="6"/>
  <c r="L49" i="6"/>
  <c r="N49" i="6" s="1"/>
  <c r="L36" i="6"/>
  <c r="N36" i="6" s="1"/>
  <c r="L24" i="6"/>
  <c r="N24" i="6" s="1"/>
  <c r="N90" i="6"/>
  <c r="M78" i="6"/>
  <c r="N78" i="6"/>
  <c r="L92" i="6"/>
  <c r="N92" i="6" s="1"/>
  <c r="L104" i="6"/>
  <c r="N104" i="6" s="1"/>
  <c r="L120" i="6"/>
  <c r="N120" i="6" s="1"/>
  <c r="L132" i="6"/>
  <c r="N132" i="6" s="1"/>
  <c r="L140" i="6"/>
  <c r="N140" i="6" s="1"/>
  <c r="L152" i="6"/>
  <c r="L164" i="6"/>
  <c r="N164" i="6" s="1"/>
  <c r="L172" i="6"/>
  <c r="N172" i="6" s="1"/>
  <c r="K172" i="6"/>
  <c r="M172" i="6" s="1"/>
  <c r="L184" i="6"/>
  <c r="K184" i="6"/>
  <c r="M184" i="6" s="1"/>
  <c r="K196" i="6"/>
  <c r="M196" i="6" s="1"/>
  <c r="L196" i="6"/>
  <c r="N196" i="6" s="1"/>
  <c r="K208" i="6"/>
  <c r="M208" i="6" s="1"/>
  <c r="L208" i="6"/>
  <c r="N208" i="6" s="1"/>
  <c r="K220" i="6"/>
  <c r="M220" i="6" s="1"/>
  <c r="L220" i="6"/>
  <c r="N220" i="6" s="1"/>
  <c r="K228" i="6"/>
  <c r="M228" i="6" s="1"/>
  <c r="L228" i="6"/>
  <c r="N228" i="6" s="1"/>
  <c r="K240" i="6"/>
  <c r="M240" i="6" s="1"/>
  <c r="L240" i="6"/>
  <c r="N240" i="6" s="1"/>
  <c r="K248" i="6"/>
  <c r="M248" i="6" s="1"/>
  <c r="L248" i="6"/>
  <c r="N248" i="6" s="1"/>
  <c r="K260" i="6"/>
  <c r="M260" i="6" s="1"/>
  <c r="L260" i="6"/>
  <c r="N260" i="6" s="1"/>
  <c r="N266" i="6"/>
  <c r="N264" i="6"/>
  <c r="N250" i="6"/>
  <c r="N234" i="6"/>
  <c r="N218" i="6"/>
  <c r="N216" i="6"/>
  <c r="N186" i="6"/>
  <c r="N184" i="6"/>
  <c r="N152" i="6"/>
  <c r="N138" i="6"/>
  <c r="N136" i="6"/>
  <c r="N118" i="6"/>
  <c r="N102" i="6"/>
  <c r="L83" i="6"/>
  <c r="N83" i="6" s="1"/>
  <c r="L12" i="6"/>
  <c r="N12" i="6" s="1"/>
  <c r="N54" i="6"/>
  <c r="N46" i="6"/>
  <c r="N58" i="6"/>
  <c r="N50" i="6"/>
  <c r="K164" i="6"/>
  <c r="M164" i="6" s="1"/>
  <c r="K160" i="6"/>
  <c r="M160" i="6" s="1"/>
  <c r="K156" i="6"/>
  <c r="M156" i="6" s="1"/>
  <c r="K152" i="6"/>
  <c r="M152" i="6" s="1"/>
  <c r="K148" i="6"/>
  <c r="M148" i="6" s="1"/>
  <c r="K144" i="6"/>
  <c r="M144" i="6" s="1"/>
  <c r="K140" i="6"/>
  <c r="M140" i="6" s="1"/>
  <c r="K136" i="6"/>
  <c r="M136" i="6" s="1"/>
  <c r="K132" i="6"/>
  <c r="M132" i="6" s="1"/>
  <c r="K128" i="6"/>
  <c r="M128" i="6" s="1"/>
  <c r="K124" i="6"/>
  <c r="M124" i="6" s="1"/>
  <c r="K120" i="6"/>
  <c r="M120" i="6" s="1"/>
  <c r="K116" i="6"/>
  <c r="M116" i="6" s="1"/>
  <c r="K112" i="6"/>
  <c r="M112" i="6" s="1"/>
  <c r="K108" i="6"/>
  <c r="M108" i="6" s="1"/>
  <c r="K104" i="6"/>
  <c r="M104" i="6" s="1"/>
  <c r="K100" i="6"/>
  <c r="M100" i="6" s="1"/>
  <c r="K96" i="6"/>
  <c r="M96" i="6" s="1"/>
  <c r="K92" i="6"/>
  <c r="M92" i="6" s="1"/>
  <c r="K44" i="6"/>
  <c r="M44" i="6" s="1"/>
  <c r="K40" i="6"/>
  <c r="M40" i="6" s="1"/>
  <c r="K36" i="6"/>
  <c r="M36" i="6" s="1"/>
  <c r="K32" i="6"/>
  <c r="M32" i="6" s="1"/>
  <c r="K28" i="6"/>
  <c r="M28" i="6" s="1"/>
  <c r="K24" i="6"/>
  <c r="M24" i="6" s="1"/>
  <c r="K20" i="6"/>
  <c r="M20" i="6" s="1"/>
  <c r="K16" i="6"/>
  <c r="M16" i="6" s="1"/>
  <c r="K12" i="6"/>
  <c r="M12" i="6" s="1"/>
  <c r="K8" i="6"/>
  <c r="M8" i="6" s="1"/>
  <c r="K4" i="6"/>
  <c r="M4" i="6" s="1"/>
  <c r="K70" i="6"/>
  <c r="M70" i="6" s="1"/>
  <c r="K66" i="6"/>
  <c r="M66" i="6" s="1"/>
  <c r="K62" i="6"/>
  <c r="M62" i="6" s="1"/>
  <c r="N2" i="6"/>
  <c r="K88" i="6"/>
  <c r="M88" i="6" s="1"/>
  <c r="K84" i="6"/>
  <c r="M84" i="6" s="1"/>
  <c r="K80" i="6"/>
  <c r="M80" i="6" s="1"/>
  <c r="K76" i="6"/>
  <c r="M76" i="6" s="1"/>
  <c r="K71" i="6"/>
  <c r="M71" i="6" s="1"/>
  <c r="L71" i="6"/>
  <c r="N71" i="6" s="1"/>
  <c r="K67" i="6"/>
  <c r="M67" i="6" s="1"/>
  <c r="L67" i="6"/>
  <c r="N67" i="6" s="1"/>
  <c r="K63" i="6"/>
  <c r="M63" i="6" s="1"/>
  <c r="L63" i="6"/>
  <c r="N63" i="6" s="1"/>
  <c r="K41" i="6"/>
  <c r="M41" i="6" s="1"/>
  <c r="L41" i="6"/>
  <c r="N41" i="6" s="1"/>
  <c r="K37" i="6"/>
  <c r="M37" i="6" s="1"/>
  <c r="L37" i="6"/>
  <c r="N37" i="6" s="1"/>
  <c r="K33" i="6"/>
  <c r="M33" i="6" s="1"/>
  <c r="L33" i="6"/>
  <c r="N33" i="6" s="1"/>
  <c r="K29" i="6"/>
  <c r="M29" i="6" s="1"/>
  <c r="L29" i="6"/>
  <c r="N29" i="6" s="1"/>
  <c r="K25" i="6"/>
  <c r="M25" i="6" s="1"/>
  <c r="L25" i="6"/>
  <c r="N25" i="6" s="1"/>
  <c r="K21" i="6"/>
  <c r="M21" i="6" s="1"/>
  <c r="L21" i="6"/>
  <c r="N21" i="6" s="1"/>
  <c r="K17" i="6"/>
  <c r="M17" i="6" s="1"/>
  <c r="L17" i="6"/>
  <c r="N17" i="6" s="1"/>
  <c r="K13" i="6"/>
  <c r="M13" i="6" s="1"/>
  <c r="L13" i="6"/>
  <c r="N13" i="6" s="1"/>
  <c r="K9" i="6"/>
  <c r="M9" i="6" s="1"/>
  <c r="L9" i="6"/>
  <c r="N9" i="6" s="1"/>
  <c r="K5" i="6"/>
  <c r="M5" i="6" s="1"/>
  <c r="L5" i="6"/>
  <c r="N5" i="6" s="1"/>
</calcChain>
</file>

<file path=xl/sharedStrings.xml><?xml version="1.0" encoding="utf-8"?>
<sst xmlns="http://schemas.openxmlformats.org/spreadsheetml/2006/main" count="11164" uniqueCount="2008">
  <si>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</si>
  <si>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</si>
  <si>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</si>
  <si>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</si>
  <si>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</si>
  <si>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</si>
  <si>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</si>
  <si>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</si>
  <si>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</si>
  <si>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</si>
  <si>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</si>
  <si>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</si>
  <si>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</si>
  <si>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</si>
  <si>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</si>
  <si>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</si>
  <si>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</si>
  <si>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</si>
  <si>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</si>
  <si>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</si>
  <si>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</si>
  <si>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</si>
  <si>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</si>
  <si>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</si>
  <si>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</si>
  <si>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</si>
  <si>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</si>
  <si>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</si>
  <si>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</si>
  <si>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</si>
  <si>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</si>
  <si>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</si>
  <si>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</si>
  <si>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</si>
  <si>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</si>
  <si>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</si>
  <si>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</si>
  <si>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</si>
  <si>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</si>
  <si>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</si>
  <si>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</si>
  <si>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</si>
  <si>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</si>
  <si>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</si>
  <si>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</si>
  <si>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</si>
  <si>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</si>
  <si>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</si>
  <si>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</si>
  <si>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Google Brasil</t>
  </si>
  <si>
    <t>Facebook</t>
  </si>
  <si>
    <t>instagram.com</t>
  </si>
  <si>
    <t>Oath BR</t>
  </si>
  <si>
    <t>In Loco Media</t>
  </si>
  <si>
    <t>Month</t>
  </si>
  <si>
    <t>PG ALMAP</t>
  </si>
  <si>
    <t>PG CM</t>
  </si>
  <si>
    <t>236524072</t>
  </si>
  <si>
    <t>433986273</t>
  </si>
  <si>
    <t>236902928</t>
  </si>
  <si>
    <t>434283725</t>
  </si>
  <si>
    <t>233562474</t>
  </si>
  <si>
    <t>431068489</t>
  </si>
  <si>
    <t>Shopback Brazil 1</t>
  </si>
  <si>
    <t>233444519</t>
  </si>
  <si>
    <t>431191476</t>
  </si>
  <si>
    <t>Ads Movil</t>
  </si>
  <si>
    <t>238517612</t>
  </si>
  <si>
    <t>435795051</t>
  </si>
  <si>
    <t>242870616</t>
  </si>
  <si>
    <t>439383361</t>
  </si>
  <si>
    <t>245600986</t>
  </si>
  <si>
    <t>442156437</t>
  </si>
  <si>
    <t>245600938</t>
  </si>
  <si>
    <t>442155900</t>
  </si>
  <si>
    <t>247124497</t>
  </si>
  <si>
    <t>443585395</t>
  </si>
  <si>
    <t>247124491</t>
  </si>
  <si>
    <t>443585389</t>
  </si>
  <si>
    <t>246942068</t>
  </si>
  <si>
    <t>443434200</t>
  </si>
  <si>
    <t>247404639</t>
  </si>
  <si>
    <t>443634458</t>
  </si>
  <si>
    <t>Google - YouTube</t>
  </si>
  <si>
    <t>In-Stream Video</t>
  </si>
  <si>
    <t>249253701</t>
  </si>
  <si>
    <t>445278498</t>
  </si>
  <si>
    <t>240606020</t>
  </si>
  <si>
    <t>437679655</t>
  </si>
  <si>
    <t>249609130</t>
  </si>
  <si>
    <t>445806137</t>
  </si>
  <si>
    <t>248336396</t>
  </si>
  <si>
    <t>444858007</t>
  </si>
  <si>
    <t>249651985</t>
  </si>
  <si>
    <t>445759968</t>
  </si>
  <si>
    <t>249651991</t>
  </si>
  <si>
    <t>445759974</t>
  </si>
  <si>
    <t>249651979</t>
  </si>
  <si>
    <t>445759962</t>
  </si>
  <si>
    <t>249687215</t>
  </si>
  <si>
    <t>446040009</t>
  </si>
  <si>
    <t>249663197</t>
  </si>
  <si>
    <t>446099921</t>
  </si>
  <si>
    <t>249133270</t>
  </si>
  <si>
    <t>445448845</t>
  </si>
  <si>
    <t>249763773</t>
  </si>
  <si>
    <t>445749618</t>
  </si>
  <si>
    <t>249766188</t>
  </si>
  <si>
    <t>445830668</t>
  </si>
  <si>
    <t>249096551</t>
  </si>
  <si>
    <t>445472751</t>
  </si>
  <si>
    <t>Verizon</t>
  </si>
  <si>
    <t>235445602</t>
  </si>
  <si>
    <t>433057340</t>
  </si>
  <si>
    <t>251369360</t>
  </si>
  <si>
    <t>300x250 Default Web Ad</t>
  </si>
  <si>
    <t>447756125</t>
  </si>
  <si>
    <t>251367896</t>
  </si>
  <si>
    <t>447851710</t>
  </si>
  <si>
    <t>251375756</t>
  </si>
  <si>
    <t>447866704</t>
  </si>
  <si>
    <t>447756131</t>
  </si>
  <si>
    <t>320x50 Default Web Ad</t>
  </si>
  <si>
    <t>251338592</t>
  </si>
  <si>
    <t>447666591</t>
  </si>
  <si>
    <t>251728422</t>
  </si>
  <si>
    <t>447792979</t>
  </si>
  <si>
    <t>251620264</t>
  </si>
  <si>
    <t>447699923</t>
  </si>
  <si>
    <t>252293266</t>
  </si>
  <si>
    <t>448297662</t>
  </si>
  <si>
    <t>251270277</t>
  </si>
  <si>
    <t>447378202</t>
  </si>
  <si>
    <t>252132775</t>
  </si>
  <si>
    <t>448185446</t>
  </si>
  <si>
    <t>251011278</t>
  </si>
  <si>
    <t>447051932</t>
  </si>
  <si>
    <t>251011302</t>
  </si>
  <si>
    <t>447051956</t>
  </si>
  <si>
    <t>251876690</t>
  </si>
  <si>
    <t>448258892</t>
  </si>
  <si>
    <t>252207496</t>
  </si>
  <si>
    <t>448341427</t>
  </si>
  <si>
    <t>251422685</t>
  </si>
  <si>
    <t>447907132</t>
  </si>
  <si>
    <t>251254944</t>
  </si>
  <si>
    <t>447291278</t>
  </si>
  <si>
    <t>251272710</t>
  </si>
  <si>
    <t>447291281</t>
  </si>
  <si>
    <t>251011296</t>
  </si>
  <si>
    <t>447051950</t>
  </si>
  <si>
    <t>251343159</t>
  </si>
  <si>
    <t>447382424</t>
  </si>
  <si>
    <t>251696792</t>
  </si>
  <si>
    <t>448174294</t>
  </si>
  <si>
    <t>252103032</t>
  </si>
  <si>
    <t>448174348</t>
  </si>
  <si>
    <t>251698928</t>
  </si>
  <si>
    <t>448088975</t>
  </si>
  <si>
    <t>252103536</t>
  </si>
  <si>
    <t>448174843</t>
  </si>
  <si>
    <t>251830933</t>
  </si>
  <si>
    <t>447910445</t>
  </si>
  <si>
    <t>251524148</t>
  </si>
  <si>
    <t>447850161</t>
  </si>
  <si>
    <t>251831053</t>
  </si>
  <si>
    <t>447911813</t>
  </si>
  <si>
    <t>251522756</t>
  </si>
  <si>
    <t>448005643</t>
  </si>
  <si>
    <t>252102792</t>
  </si>
  <si>
    <t>448174861</t>
  </si>
  <si>
    <t>251703248</t>
  </si>
  <si>
    <t>448032093</t>
  </si>
  <si>
    <t>252105414</t>
  </si>
  <si>
    <t>448176577</t>
  </si>
  <si>
    <t>251155108</t>
  </si>
  <si>
    <t>447263105</t>
  </si>
  <si>
    <t>251155096</t>
  </si>
  <si>
    <t>447263093</t>
  </si>
  <si>
    <t>251876717</t>
  </si>
  <si>
    <t>448257749</t>
  </si>
  <si>
    <t>252202866</t>
  </si>
  <si>
    <t>448185455</t>
  </si>
  <si>
    <t>251415409</t>
  </si>
  <si>
    <t>447484704</t>
  </si>
  <si>
    <t>251415754</t>
  </si>
  <si>
    <t>447486120</t>
  </si>
  <si>
    <t>251272737</t>
  </si>
  <si>
    <t>447378208</t>
  </si>
  <si>
    <t>252164912</t>
  </si>
  <si>
    <t>448564919</t>
  </si>
  <si>
    <t>252310921</t>
  </si>
  <si>
    <t>448312767</t>
  </si>
  <si>
    <t>252392916</t>
  </si>
  <si>
    <t>448311156</t>
  </si>
  <si>
    <t>252312328</t>
  </si>
  <si>
    <t>448363946</t>
  </si>
  <si>
    <t>252313573</t>
  </si>
  <si>
    <t>448444390</t>
  </si>
  <si>
    <t>252311743</t>
  </si>
  <si>
    <t>448363982</t>
  </si>
  <si>
    <t>251979596</t>
  </si>
  <si>
    <t>448314204</t>
  </si>
  <si>
    <t>251980490</t>
  </si>
  <si>
    <t>448362617</t>
  </si>
  <si>
    <t>252395151</t>
  </si>
  <si>
    <t>448444462</t>
  </si>
  <si>
    <t>252394917</t>
  </si>
  <si>
    <t>448314219</t>
  </si>
  <si>
    <t>251981672</t>
  </si>
  <si>
    <t>448363385</t>
  </si>
  <si>
    <t>252165329</t>
  </si>
  <si>
    <t>448630528</t>
  </si>
  <si>
    <t>251670963</t>
  </si>
  <si>
    <t>447619917</t>
  </si>
  <si>
    <t>251672067</t>
  </si>
  <si>
    <t>447620457</t>
  </si>
  <si>
    <t>Logan Media</t>
  </si>
  <si>
    <t>251502970</t>
  </si>
  <si>
    <t>447694981</t>
  </si>
  <si>
    <t>251618365</t>
  </si>
  <si>
    <t>447787279</t>
  </si>
  <si>
    <t>251358864</t>
  </si>
  <si>
    <t>447378551</t>
  </si>
  <si>
    <t>251253994</t>
  </si>
  <si>
    <t>447339303</t>
  </si>
  <si>
    <t>251254012</t>
  </si>
  <si>
    <t>447339312</t>
  </si>
  <si>
    <t>Editora Mol</t>
  </si>
  <si>
    <t>254299329</t>
  </si>
  <si>
    <t>450218492</t>
  </si>
  <si>
    <t>253483945</t>
  </si>
  <si>
    <t>449520917</t>
  </si>
  <si>
    <t>253073504</t>
  </si>
  <si>
    <t>449421921</t>
  </si>
  <si>
    <t>253137581</t>
  </si>
  <si>
    <t>449521697</t>
  </si>
  <si>
    <t>253073396</t>
  </si>
  <si>
    <t>449420889</t>
  </si>
  <si>
    <t>253076129</t>
  </si>
  <si>
    <t>449531275</t>
  </si>
  <si>
    <t>253519575</t>
  </si>
  <si>
    <t>449457968</t>
  </si>
  <si>
    <t>Zoomin</t>
  </si>
  <si>
    <t>253075922</t>
  </si>
  <si>
    <t>449533033</t>
  </si>
  <si>
    <t>253410127</t>
  </si>
  <si>
    <t>449532751</t>
  </si>
  <si>
    <t>253832703</t>
  </si>
  <si>
    <t>449743806</t>
  </si>
  <si>
    <t>253832715</t>
  </si>
  <si>
    <t>449743785</t>
  </si>
  <si>
    <t>254166006</t>
  </si>
  <si>
    <t>450146029</t>
  </si>
  <si>
    <t>254095833</t>
  </si>
  <si>
    <t>450078160</t>
  </si>
  <si>
    <t>252412997</t>
  </si>
  <si>
    <t>448812344</t>
  </si>
  <si>
    <t>252741885</t>
  </si>
  <si>
    <t>448794142</t>
  </si>
  <si>
    <t>252942147</t>
  </si>
  <si>
    <t>448861443</t>
  </si>
  <si>
    <t>253832700</t>
  </si>
  <si>
    <t>449743815</t>
  </si>
  <si>
    <t>253832712</t>
  </si>
  <si>
    <t>449743788</t>
  </si>
  <si>
    <t>254166003</t>
  </si>
  <si>
    <t>450146026</t>
  </si>
  <si>
    <t>253118213</t>
  </si>
  <si>
    <t>449464854</t>
  </si>
  <si>
    <t>252515498</t>
  </si>
  <si>
    <t>448888946</t>
  </si>
  <si>
    <t>254095839</t>
  </si>
  <si>
    <t>450078166</t>
  </si>
  <si>
    <t>253832706</t>
  </si>
  <si>
    <t>449743800</t>
  </si>
  <si>
    <t>253832718</t>
  </si>
  <si>
    <t>449743779</t>
  </si>
  <si>
    <t>253561005</t>
  </si>
  <si>
    <t>449465058</t>
  </si>
  <si>
    <t>254166009</t>
  </si>
  <si>
    <t>450146032</t>
  </si>
  <si>
    <t>252760903</t>
  </si>
  <si>
    <t>448891039</t>
  </si>
  <si>
    <t>252144842</t>
  </si>
  <si>
    <t>448479444</t>
  </si>
  <si>
    <t>252515468</t>
  </si>
  <si>
    <t>448889336</t>
  </si>
  <si>
    <t>252858643</t>
  </si>
  <si>
    <t>448960804</t>
  </si>
  <si>
    <t>252859840</t>
  </si>
  <si>
    <t>448961578</t>
  </si>
  <si>
    <t>252563791</t>
  </si>
  <si>
    <t>448602629</t>
  </si>
  <si>
    <t>252206129</t>
  </si>
  <si>
    <t>448551318</t>
  </si>
  <si>
    <t>252613815</t>
  </si>
  <si>
    <t>448551120</t>
  </si>
  <si>
    <t>252617688</t>
  </si>
  <si>
    <t>448602572</t>
  </si>
  <si>
    <t>252686396</t>
  </si>
  <si>
    <t>449041485</t>
  </si>
  <si>
    <t>253127703</t>
  </si>
  <si>
    <t>449047398</t>
  </si>
  <si>
    <t>253150278</t>
  </si>
  <si>
    <t>449163784</t>
  </si>
  <si>
    <t>252686405</t>
  </si>
  <si>
    <t>449049720</t>
  </si>
  <si>
    <t>253065325</t>
  </si>
  <si>
    <t>449083295</t>
  </si>
  <si>
    <t>253064854</t>
  </si>
  <si>
    <t>449082374</t>
  </si>
  <si>
    <t>253064878</t>
  </si>
  <si>
    <t>449165146</t>
  </si>
  <si>
    <t>252712010</t>
  </si>
  <si>
    <t>449163772</t>
  </si>
  <si>
    <t>253158993</t>
  </si>
  <si>
    <t>449082296</t>
  </si>
  <si>
    <t>253065295</t>
  </si>
  <si>
    <t>449083238</t>
  </si>
  <si>
    <t>253065304</t>
  </si>
  <si>
    <t>449082347</t>
  </si>
  <si>
    <t>253065316</t>
  </si>
  <si>
    <t>449083283</t>
  </si>
  <si>
    <t>253535321</t>
  </si>
  <si>
    <t>449895537</t>
  </si>
  <si>
    <t>253472006</t>
  </si>
  <si>
    <t>449860640</t>
  </si>
  <si>
    <t>253822499</t>
  </si>
  <si>
    <t>450214568</t>
  </si>
  <si>
    <t>253832709</t>
  </si>
  <si>
    <t>449743794</t>
  </si>
  <si>
    <t>253832721</t>
  </si>
  <si>
    <t>449743773</t>
  </si>
  <si>
    <t>254166018</t>
  </si>
  <si>
    <t>450146041</t>
  </si>
  <si>
    <t>253116236</t>
  </si>
  <si>
    <t>449500568</t>
  </si>
  <si>
    <t>254166021</t>
  </si>
  <si>
    <t>450146044</t>
  </si>
  <si>
    <t>252876919</t>
  </si>
  <si>
    <t>448862058</t>
  </si>
  <si>
    <t>252168227</t>
  </si>
  <si>
    <t>448562951</t>
  </si>
  <si>
    <t>252529910</t>
  </si>
  <si>
    <t>448980940</t>
  </si>
  <si>
    <t>252878782</t>
  </si>
  <si>
    <t>448871241</t>
  </si>
  <si>
    <t>252516043</t>
  </si>
  <si>
    <t>448564046</t>
  </si>
  <si>
    <t>253540096</t>
  </si>
  <si>
    <t>449651872</t>
  </si>
  <si>
    <t>253642767</t>
  </si>
  <si>
    <t>449541438</t>
  </si>
  <si>
    <t>252243155</t>
  </si>
  <si>
    <t>448702795</t>
  </si>
  <si>
    <t>252243149</t>
  </si>
  <si>
    <t>448702783</t>
  </si>
  <si>
    <t>252605659</t>
  </si>
  <si>
    <t>448706587</t>
  </si>
  <si>
    <t>252243143</t>
  </si>
  <si>
    <t>448702771</t>
  </si>
  <si>
    <t>252607447</t>
  </si>
  <si>
    <t>448708471</t>
  </si>
  <si>
    <t>253019265</t>
  </si>
  <si>
    <t>449036170</t>
  </si>
  <si>
    <t>253019262</t>
  </si>
  <si>
    <t>433647966</t>
  </si>
  <si>
    <t>449036167</t>
  </si>
  <si>
    <t>253019256</t>
  </si>
  <si>
    <t>449036161</t>
  </si>
  <si>
    <t>253019259</t>
  </si>
  <si>
    <t>449036164</t>
  </si>
  <si>
    <t>253019253</t>
  </si>
  <si>
    <t>449036158</t>
  </si>
  <si>
    <t>252951420</t>
  </si>
  <si>
    <t>448874241</t>
  </si>
  <si>
    <t>252951423</t>
  </si>
  <si>
    <t>448874238</t>
  </si>
  <si>
    <t>252951429</t>
  </si>
  <si>
    <t>448874232</t>
  </si>
  <si>
    <t>252951426</t>
  </si>
  <si>
    <t>448874235</t>
  </si>
  <si>
    <t>252951432</t>
  </si>
  <si>
    <t>448990267</t>
  </si>
  <si>
    <t>253485077</t>
  </si>
  <si>
    <t>449872028</t>
  </si>
  <si>
    <t>253485779</t>
  </si>
  <si>
    <t>449872037</t>
  </si>
  <si>
    <t>253774945</t>
  </si>
  <si>
    <t>449856385</t>
  </si>
  <si>
    <t>253774942</t>
  </si>
  <si>
    <t>449856379</t>
  </si>
  <si>
    <t>253774939</t>
  </si>
  <si>
    <t>449856370</t>
  </si>
  <si>
    <t>253774969</t>
  </si>
  <si>
    <t>449856433</t>
  </si>
  <si>
    <t>253774951</t>
  </si>
  <si>
    <t>449856397</t>
  </si>
  <si>
    <t>253774963</t>
  </si>
  <si>
    <t>449856421</t>
  </si>
  <si>
    <t>252243137</t>
  </si>
  <si>
    <t>448702759</t>
  </si>
  <si>
    <t>252243116</t>
  </si>
  <si>
    <t>448702717</t>
  </si>
  <si>
    <t>253019235</t>
  </si>
  <si>
    <t>448943579</t>
  </si>
  <si>
    <t>253019232</t>
  </si>
  <si>
    <t>448943576</t>
  </si>
  <si>
    <t>253019226</t>
  </si>
  <si>
    <t>448943570</t>
  </si>
  <si>
    <t>253019229</t>
  </si>
  <si>
    <t>448943573</t>
  </si>
  <si>
    <t>253019223</t>
  </si>
  <si>
    <t>448943567</t>
  </si>
  <si>
    <t>252951450</t>
  </si>
  <si>
    <t>448874214</t>
  </si>
  <si>
    <t>252951453</t>
  </si>
  <si>
    <t>448874211</t>
  </si>
  <si>
    <t>252951459</t>
  </si>
  <si>
    <t>448874205</t>
  </si>
  <si>
    <t>252951456</t>
  </si>
  <si>
    <t>448311144</t>
  </si>
  <si>
    <t>448874208</t>
  </si>
  <si>
    <t>252951462</t>
  </si>
  <si>
    <t>448874202</t>
  </si>
  <si>
    <t>252243059</t>
  </si>
  <si>
    <t>448633448</t>
  </si>
  <si>
    <t>252243056</t>
  </si>
  <si>
    <t>448633445</t>
  </si>
  <si>
    <t>252243050</t>
  </si>
  <si>
    <t>448633433</t>
  </si>
  <si>
    <t>252243053</t>
  </si>
  <si>
    <t>448633439</t>
  </si>
  <si>
    <t>252243047</t>
  </si>
  <si>
    <t>448633424</t>
  </si>
  <si>
    <t>252243095</t>
  </si>
  <si>
    <t>448633520</t>
  </si>
  <si>
    <t>252243092</t>
  </si>
  <si>
    <t>448633514</t>
  </si>
  <si>
    <t>252243086</t>
  </si>
  <si>
    <t>448633502</t>
  </si>
  <si>
    <t>252243089</t>
  </si>
  <si>
    <t>448633508</t>
  </si>
  <si>
    <t>252243083</t>
  </si>
  <si>
    <t>448633496</t>
  </si>
  <si>
    <t>252243080</t>
  </si>
  <si>
    <t>448633490</t>
  </si>
  <si>
    <t>252243077</t>
  </si>
  <si>
    <t>448633484</t>
  </si>
  <si>
    <t>252243071</t>
  </si>
  <si>
    <t>448633472</t>
  </si>
  <si>
    <t>252243074</t>
  </si>
  <si>
    <t>448633478</t>
  </si>
  <si>
    <t>252243068</t>
  </si>
  <si>
    <t>448633466</t>
  </si>
  <si>
    <t>253483613</t>
  </si>
  <si>
    <t>449872829</t>
  </si>
  <si>
    <t>253485104</t>
  </si>
  <si>
    <t>449872859</t>
  </si>
  <si>
    <t>253487165</t>
  </si>
  <si>
    <t>449825175</t>
  </si>
  <si>
    <t>253487192</t>
  </si>
  <si>
    <t>449825235</t>
  </si>
  <si>
    <t>253727857</t>
  </si>
  <si>
    <t>449821429</t>
  </si>
  <si>
    <t>253727863</t>
  </si>
  <si>
    <t>449821423</t>
  </si>
  <si>
    <t>252516007</t>
  </si>
  <si>
    <t>448564892</t>
  </si>
  <si>
    <t>252515875</t>
  </si>
  <si>
    <t>448504239</t>
  </si>
  <si>
    <t>teads.tv</t>
  </si>
  <si>
    <t>253647783</t>
  </si>
  <si>
    <t>449552094</t>
  </si>
  <si>
    <t>253647789</t>
  </si>
  <si>
    <t>449552100</t>
  </si>
  <si>
    <t>253647792</t>
  </si>
  <si>
    <t>449552103</t>
  </si>
  <si>
    <t>253647801</t>
  </si>
  <si>
    <t>449552112</t>
  </si>
  <si>
    <t>253647795</t>
  </si>
  <si>
    <t>449552106</t>
  </si>
  <si>
    <t>253647807</t>
  </si>
  <si>
    <t>449552118</t>
  </si>
  <si>
    <t>253667154</t>
  </si>
  <si>
    <t>449672884</t>
  </si>
  <si>
    <t>253647813</t>
  </si>
  <si>
    <t>449552124</t>
  </si>
  <si>
    <t>253647798</t>
  </si>
  <si>
    <t>449552109</t>
  </si>
  <si>
    <t>253647810</t>
  </si>
  <si>
    <t>449552121</t>
  </si>
  <si>
    <t>253647804</t>
  </si>
  <si>
    <t>449552115</t>
  </si>
  <si>
    <t>253587705</t>
  </si>
  <si>
    <t>449495034</t>
  </si>
  <si>
    <t>253147226</t>
  </si>
  <si>
    <t>449528822</t>
  </si>
  <si>
    <t>253146650</t>
  </si>
  <si>
    <t>449497449</t>
  </si>
  <si>
    <t>MK|BR_CN|AFFLUENT_MN|NONE_YQ|19Q1Q4_CP|PO5020004141-9_SP|N/A_AC|AFF_OB|CON_U1|DCM</t>
  </si>
  <si>
    <t>MK|BR_CH|PSD_DT|CROSS_PB|FCBK_FM|CAR_RT|CPM_PD|AFFLUENT-DINING-AIRPORT-COMPANION_TG|NON_ST|NON_TS|NONE_SZ|1X1_AD|CM1_IT|SOC</t>
  </si>
  <si>
    <t>MK|BR_CH|PSD_DT|CROSS_PB|FCBK_FM|CAR_RT|CPM_PD|AFFLUENT-DINING-DIGITAL-CONCIERGE_TG|NON_ST|NON_TS|NONE_SZ|1X1_AD|CM1_IT|SOC</t>
  </si>
  <si>
    <t>MK|BR_CH|PSD_DT|CROSS_PB|FCBK_FM|CAR_RT|CPM_PD|AFFLUENT-DINING-DNA_TG|NON_ST|NON_TS|NONE_SZ|1X1_AD|CM1_IT|SOC</t>
  </si>
  <si>
    <t>MK|BR_CH|PSD_DT|CROSS_PB|FCBK_FM|CAR_RT|CPM_PD|AFFLUENT-DINING-FREE-VALET_TG|NON_ST|NON_TS|NONE_SZ|1X1_AD|CM1_IT|SOC</t>
  </si>
  <si>
    <t>MK|BR_CH|PSD_DT|CROSS_PB|FCBK_FM|CAR_RT|CPM_PD|AFFLUENT-SHOPPING-FREE-VALET_TG|NON_ST|NON_TS|NONE_SZ|1X1_AD|CM1_IT|SOC</t>
  </si>
  <si>
    <t>256124758</t>
  </si>
  <si>
    <t>452046626</t>
  </si>
  <si>
    <t>MK|BR_CH|PSD_DT|CROSS_PB|FCBK_FM|CAR_RT|CPM_PD|AFFLUENT-SHOPPING-GARANTIA-ESTENDIDA_TG|NON_ST|NON_TS|NONE_SZ|1X1_AD|CM1_IT|SOC</t>
  </si>
  <si>
    <t>MK|BR_CH|PSD_DT|CROSS_PB|FCBK_FM|CAR_RT|CPM_PD|AFFLUENT-SHOPPING-PROTECAO-DE-PRECO_TG|NON_ST|NON_TS|NONE_SZ|1X1_AD|CM1_IT|SOC</t>
  </si>
  <si>
    <t>MK|BR_CH|PSD_DT|CROSS_PB|FCBK_FM|CAR_RT|CPM_PD|AFFLUENT-TRAVEL-CHIP_TG|NON_ST|NON_TS|NONE_SZ|1X1_AD|CM1_IT|SOC</t>
  </si>
  <si>
    <t>MK|BR_CH|PSD_DT|CROSS_PB|FCBK_FM|CAR_RT|CPM_PD|AFFLUENT-TRAVEL-DNA_TG|NON_ST|NON_TS|NONE_SZ|1X1_AD|CM1_IT|SOC</t>
  </si>
  <si>
    <t>MK|BR_CH|PSD_DT|CROSS_PB|FCBK_FM|CAR_RT|CPM_PD|AFFLUENT-TRAVEL-FREE-PARKING_TG|NON_ST|NON_TS|NONE_SZ|1X1_AD|CM1_IT|SOC</t>
  </si>
  <si>
    <t>MK|BR_CH|PSD_DT|CROSS_PB|FCBK_FM|GIF_RT|CPM_PD|AFFLUENT-MALLS-VIDADE-JARDIM_TG|NON_ST|NON_TS|NONE_SZ|1X1_AD|CM1_IT|SOC</t>
  </si>
  <si>
    <t>MK|BR_CH|OV_DT|CROSS_PB|YOUT_FM|BMPR_RT|CPM_PD|AFFLUENT-SHOPPING-GARANTIA-ESTENDIDA_TG|NON_ST|NON_TS|NONE_SZ|VID:06_AD|CM1_IT|NE</t>
  </si>
  <si>
    <t>254638117</t>
  </si>
  <si>
    <t>450584061</t>
  </si>
  <si>
    <t>MK|BR_CH|OV_DT|CROSS_PB|YOUT_FM|BMPR_RT|CPM_PD|AFFLUENT-SHOPPING-PROTECAO-DE-PRECO_TG|NON_ST|NON_TS|NONE_SZ|VID:06_AD|CM1_IT|NE</t>
  </si>
  <si>
    <t>254643139</t>
  </si>
  <si>
    <t>450584862</t>
  </si>
  <si>
    <t>MK|BR_CH|OV_DT|CROSS_PB|YOUT_FM|VID_RT|CPM_PD|AFFLUENT-AWARENESS-BIKER_TG|NON_ST|NON_TS|NONE_SZ|Video :30_AD|CM1_IT|NE</t>
  </si>
  <si>
    <t>MK|BR_CH|OV_DT|CROSS_PB|YOUT_FM|VID_RT|CPM_PD|AFFLUENT-AWARENESS-WATER_TG|NON_ST|NON_TS|NONE_SZ|Video :30_AD|CM1_IT|NE</t>
  </si>
  <si>
    <t>255476552</t>
  </si>
  <si>
    <t>451702836</t>
  </si>
  <si>
    <t>MK|BR_CH|PD_DT|CROSS_PB|DV36_FM|BAN_RT|CPM_PD|AFFLUENT-SHOPPING-GARANTIA-ESTENDIDA_TG|NON_ST|NON_TS|NONE_SZ|120x600_AD|CM_IT|POE</t>
  </si>
  <si>
    <t>MK|BR_CH|PD_DT|CROSS_PB|DV36_FM|BAN_RT|CPM_PD|AFFLUENT-SHOPPING-GARANTIA-ESTENDIDA_TG|NON_ST|NON_TS|NONE_SZ|300x250_AD|CM_IT|POE</t>
  </si>
  <si>
    <t>MK|BR_CH|PD_DT|CROSS_PB|DV36_FM|BAN_RT|CPM_PD|AFFLUENT-SHOPPING-GARANTIA-ESTENDIDA_TG|NON_ST|NON_TS|NONE_SZ|320x100_AD|CM_IT|POE</t>
  </si>
  <si>
    <t>MK|BR_CH|PD_DT|CROSS_PB|DV36_FM|BAN_RT|CPM_PD|AFFLUENT-SHOPPING-GARANTIA-ESTENDIDA_TG|NON_ST|NON_TS|NONE_SZ|320x50_AD|CM_IT|POE</t>
  </si>
  <si>
    <t>MK|BR_CH|PD_DT|CROSS_PB|DV36_FM|BAN_RT|CPM_PD|AFFLUENT-SHOPPING-GARANTIA-ESTENDIDA_TG|NON_ST|NON_TS|NONE_SZ|728x90_AD|CM_IT|POE</t>
  </si>
  <si>
    <t>MK|BR_CH|PD_DT|CROSS_PB|DV36_FM|BAN_RT|CPM_PD|AFFLUENT-SHOPPING-PROTECAO-DE-PRECO_TG|NON_ST|NON_TS|NONE_SZ|120x600_AD|CM_IT|POE</t>
  </si>
  <si>
    <t>MK|BR_CH|PD_DT|CROSS_PB|DV36_FM|BAN_RT|CPM_PD|AFFLUENT-SHOPPING-PROTECAO-DE-PRECO_TG|NON_ST|NON_TS|NONE_SZ|300x250_AD|CM_IT|POE</t>
  </si>
  <si>
    <t>MK|BR_CH|PD_DT|CROSS_PB|DV36_FM|BAN_RT|CPM_PD|AFFLUENT-SHOPPING-PROTECAO-DE-PRECO_TG|NON_ST|NON_TS|NONE_SZ|320x100_AD|CM_IT|POE</t>
  </si>
  <si>
    <t>MK|BR_CH|PD_DT|CROSS_PB|DV36_FM|BAN_RT|CPM_PD|AFFLUENT-SHOPPING-PROTECAO-DE-PRECO_TG|NON_ST|NON_TS|NONE_SZ|320x50_AD|CM_IT|POE</t>
  </si>
  <si>
    <t>MK|BR_CH|PD_DT|CROSS_PB|DV36_FM|BAN_RT|CPM_PD|AFFLUENT-SHOPPING-PROTECAO-DE-PRECO_TG|NON_ST|NON_TS|NONE_SZ|728x90_AD|CM_IT|POE</t>
  </si>
  <si>
    <t>MK|BR_CH|PD_DT|CROSS_PB|DV36_FM|BAN_RT|CPM_PD|AFFLUENT-TRAVEL-CHIP-INTERNACIONAL_TG|NON_ST|NON_TS|NONE_SZ|300x250_AD|CM_IT|POE</t>
  </si>
  <si>
    <t>MK|BR_CH|PD_DT|CROSS_PB|DV36_FM|BAN_RT|CPM_PD|AFFLUENT-TRAVEL-CHIP-INTERNACIONAL_TG|NON_ST|NON_TS|NONE_SZ|300x600_AD|CM_IT|POE</t>
  </si>
  <si>
    <t>MK|BR_CH|PD_DT|CROSS_PB|DV36_FM|BAN_RT|CPM_PD|AFFLUENT-TRAVEL-DIGITAL-CONCIERGE_TG|NON_ST|NON_TS|NONE_SZ|120x600_AD|CM_IT|POE</t>
  </si>
  <si>
    <t>MK|BR_CH|PD_DT|CROSS_PB|DV36_FM|BAN_RT|CPM_PD|AFFLUENT-TRAVEL-DIGITAL-CONCIERGE_TG|NON_ST|NON_TS|NONE_SZ|300x250_AD|CM_IT|POE</t>
  </si>
  <si>
    <t>MK|BR_CH|PD_DT|CROSS_PB|DV36_FM|BAN_RT|CPM_PD|AFFLUENT-TRAVEL-DIGITAL-CONCIERGE_TG|NON_ST|NON_TS|NONE_SZ|320x100_AD|CM_IT|POE</t>
  </si>
  <si>
    <t>MK|BR_CH|PD_DT|CROSS_PB|DV36_FM|BAN_RT|CPM_PD|AFFLUENT-TRAVEL-DIGITAL-CONCIERGE_TG|NON_ST|NON_TS|NONE_SZ|320x50_AD|CM_IT|POE</t>
  </si>
  <si>
    <t>MK|BR_CH|PD_DT|CROSS_PB|DV36_FM|BAN_RT|CPM_PD|AFFLUENT-TRAVEL-DIGITAL-CONCIERGE_TG|NON_ST|NON_TS|NONE_SZ|728x90_AD|CM_IT|POE</t>
  </si>
  <si>
    <t>MK|BR_CH|PD_DT|CROSS_PB|DV36_FM|BAN_RT|CPM_PD|AFFLUENT-TRAVEL-FREE-TRANSFER_TG|NON_ST|NON_TS|NONE_SZ|120x600_AD|CM_IT|POE</t>
  </si>
  <si>
    <t>MK|BR_CH|PD_DT|CROSS_PB|DV36_FM|BAN_RT|CPM_PD|AFFLUENT-TRAVEL-FREE-TRANSFER_TG|NON_ST|NON_TS|NONE_SZ|300x250_AD|CM_IT|POE</t>
  </si>
  <si>
    <t>MK|BR_CH|PD_DT|CROSS_PB|DV36_FM|BAN_RT|CPM_PD|AFFLUENT-TRAVEL-FREE-TRANSFER_TG|NON_ST|NON_TS|NONE_SZ|300x600_AD|CM_IT|POE</t>
  </si>
  <si>
    <t>MK|BR_CH|PD_DT|CROSS_PB|DV36_FM|BAN_RT|CPM_PD|AFFLUENT-TRAVEL-FREE-TRANSFER_TG|NON_ST|NON_TS|NONE_SZ|320x100_AD|CM_IT|POE</t>
  </si>
  <si>
    <t>MK|BR_CH|PD_DT|CROSS_PB|DV36_FM|BAN_RT|CPM_PD|AFFLUENT-TRAVEL-FREE-TRANSFER_TG|NON_ST|NON_TS|NONE_SZ|320x50_AD|CM_IT|POE</t>
  </si>
  <si>
    <t>MK|BR_CH|PD_DT|CROSS_PB|DV36_FM|BAN_RT|CPM_PD|AFFLUENT-TRAVEL-FREE-TRANSFER_TG|NON_ST|NON_TS|NONE_SZ|728x90_AD|CM_IT|POE</t>
  </si>
  <si>
    <t>MK|BR_CH|PD_DT|CROSS_PB|DV36_FM|BAN_RT|CPM_PD|AFFLUENT-TRAVEL-MEDICO-ONLINE_TG|NON_ST|NON_TS|NONE_SZ|120x600_AD|CM_IT|POE</t>
  </si>
  <si>
    <t>MK|BR_CH|PD_DT|CROSS_PB|DV36_FM|BAN_RT|CPM_PD|AFFLUENT-TRAVEL-MEDICO-ONLINE_TG|NON_ST|NON_TS|NONE_SZ|300x250_AD|CM_IT|POE</t>
  </si>
  <si>
    <t>MK|BR_CH|PD_DT|CROSS_PB|DV36_FM|BAN_RT|CPM_PD|AFFLUENT-TRAVEL-MEDICO-ONLINE_TG|NON_ST|NON_TS|NONE_SZ|300x250_AD|CM_IT|PPD</t>
  </si>
  <si>
    <t>MK|BR_CH|PD_DT|CROSS_PB|DV36_FM|BAN_RT|CPM_PD|AFFLUENT-TRAVEL-MEDICO-ONLINE_TG|NON_ST|NON_TS|NONE_SZ|320x100_AD|CM_IT|POE</t>
  </si>
  <si>
    <t>MK|BR_CH|PD_DT|CROSS_PB|DV36_FM|BAN_RT|CPM_PD|AFFLUENT-TRAVEL-MEDICO-ONLINE_TG|NON_ST|NON_TS|NONE_SZ|320x50_AD|CM_IT|POE</t>
  </si>
  <si>
    <t>MK|BR_CH|PD_DT|CROSS_PB|DV36_FM|BAN_RT|CPM_PD|AFFLUENT-TRAVEL-MEDICO-ONLINE_TG|NON_ST|NON_TS|NONE_SZ|728x90_AD|CM_IT|POE</t>
  </si>
  <si>
    <t>MK|BR_CH|PD_DT|CROSS_PB|DV36_FM|BAN_RT|CPM_PD|AFFLUENT-TRAVEL-SEGURO-VIAGEM_TG|NON_ST|NON_TS|NONE_SZ|120x600_AD|CM_IT|POE</t>
  </si>
  <si>
    <t>MK|BR_CH|PD_DT|CROSS_PB|DV36_FM|BAN_RT|CPM_PD|AFFLUENT-TRAVEL-SEGURO-VIAGEM_TG|NON_ST|NON_TS|NONE_SZ|300x250_AD|CM_IT|POE</t>
  </si>
  <si>
    <t>MK|BR_CH|PD_DT|CROSS_PB|DV36_FM|BAN_RT|CPM_PD|AFFLUENT-TRAVEL-SEGURO-VIAGEM_TG|NON_ST|NON_TS|NONE_SZ|300x250_AD|CM_IT|PPD</t>
  </si>
  <si>
    <t>MK|BR_CH|PD_DT|CROSS_PB|DV36_FM|BAN_RT|CPM_PD|AFFLUENT-TRAVEL-SEGURO-VIAGEM_TG|NON_ST|NON_TS|NONE_SZ|320x100_AD|CM_IT|POE</t>
  </si>
  <si>
    <t>MK|BR_CH|PD_DT|CROSS_PB|DV36_FM|BAN_RT|CPM_PD|AFFLUENT-TRAVEL-SEGURO-VIAGEM_TG|NON_ST|NON_TS|NONE_SZ|320x50_AD|CM_IT|POE</t>
  </si>
  <si>
    <t>MK|BR_CH|PD_DT|CROSS_PB|DV36_FM|BAN_RT|CPM_PD|AFFLUENT-TRAVEL-SEGURO-VIAGEM_TG|NON_ST|NON_TS|NONE_SZ|728x90_AD|CM_IT|POE</t>
  </si>
  <si>
    <t>MK|BR_CH|DDSP_DT|CROSS_PB|INLC_FM|BAN_RT|CPM_PD|AFFLUENT-DINING-INTERSTITIAL_TG|NON_ST|NON_TS|NONE_SZ|960x1440_AD|CM1_IT|OO</t>
  </si>
  <si>
    <t>247004659</t>
  </si>
  <si>
    <t>443489164</t>
  </si>
  <si>
    <t>MK|BR_CH|PD_DT|CROSS_PB|VER_FM|BAN_RT|CPM_PD|AFFLUENT-SHOPPING-GARANTIA-ESTENDIDA_TG|NON_ST|NON_TS|NONE_SZ|120x600_AD|CM_IT|OO</t>
  </si>
  <si>
    <t>MK|BR_CH|PD_DT|CROSS_PB|VER_FM|BAN_RT|CPM_PD|AFFLUENT-SHOPPING-GARANTIA-ESTENDIDA_TG|NON_ST|NON_TS|NONE_SZ|300x250_AD|CM_IT|OO</t>
  </si>
  <si>
    <t>MK|BR_CH|PD_DT|CROSS_PB|VER_FM|BAN_RT|CPM_PD|AFFLUENT-SHOPPING-GARANTIA-ESTENDIDA_TG|NON_ST|NON_TS|NONE_SZ|320x100_AD|CM_IT|OO</t>
  </si>
  <si>
    <t>MK|BR_CH|PD_DT|CROSS_PB|VER_FM|BAN_RT|CPM_PD|AFFLUENT-SHOPPING-GARANTIA-ESTENDIDA_TG|NON_ST|NON_TS|NONE_SZ|320x50_AD|CM_IT|OO</t>
  </si>
  <si>
    <t>MK|BR_CH|PD_DT|CROSS_PB|VER_FM|BAN_RT|CPM_PD|AFFLUENT-SHOPPING-GARANTIA-ESTENDIDA_TG|NON_ST|NON_TS|NONE_SZ|728x90_AD|CM_IT|OO</t>
  </si>
  <si>
    <t>MK|BR_CH|PD_DT|CROSS_PB|VER_FM|BAN_RT|CPM_PD|AFFLUENT-SHOPPING-PROTECAO-DE-PRECO_TG|NON_ST|NON_TS|NONE_SZ|120x600_AD|CM_IT|OO</t>
  </si>
  <si>
    <t>MK|BR_CH|PD_DT|CROSS_PB|VER_FM|BAN_RT|CPM_PD|AFFLUENT-SHOPPING-PROTECAO-DE-PRECO_TG|NON_ST|NON_TS|NONE_SZ|300x250_AD|CM_IT|OO</t>
  </si>
  <si>
    <t>MK|BR_CH|PD_DT|CROSS_PB|VER_FM|BAN_RT|CPM_PD|AFFLUENT-SHOPPING-PROTECAO-DE-PRECO_TG|NON_ST|NON_TS|NONE_SZ|320x100_AD|CM_IT|OO</t>
  </si>
  <si>
    <t>MK|BR_CH|PD_DT|CROSS_PB|VER_FM|BAN_RT|CPM_PD|AFFLUENT-SHOPPING-PROTECAO-DE-PRECO_TG|NON_ST|NON_TS|NONE_SZ|320x50_AD|CM_IT|OO</t>
  </si>
  <si>
    <t>MK|BR_CH|PD_DT|CROSS_PB|VER_FM|BAN_RT|CPM_PD|AFFLUENT-SHOPPING-PROTECAO-DE-PRECO_TG|NON_ST|NON_TS|NONE_SZ|728x90_AD|CM_IT|OO</t>
  </si>
  <si>
    <t>MK|BR_CH|PD_DT|CROSS_PB|VER_FM|BAN_RT|CPM_PD|AFFLUENT-TRAVEL-CHIP-INTERNACIONAL_TG|NON_ST|NON_TS|NONE_SZ|120x600_AD|CM_IT|OO</t>
  </si>
  <si>
    <t>MK|BR_CH|PD_DT|CROSS_PB|VER_FM|BAN_RT|CPM_PD|AFFLUENT-TRAVEL-CHIP-INTERNACIONAL_TG|NON_ST|NON_TS|NONE_SZ|300x250_AD|CM_IT|OO</t>
  </si>
  <si>
    <t>MK|BR_CH|PD_DT|CROSS_PB|VER_FM|BAN_RT|CPM_PD|AFFLUENT-TRAVEL-CHIP-INTERNACIONAL_TG|NON_ST|NON_TS|NONE_SZ|300x600_AD|CM_IT|OO</t>
  </si>
  <si>
    <t>MK|BR_CH|PD_DT|CROSS_PB|VER_FM|BAN_RT|CPM_PD|AFFLUENT-TRAVEL-CHIP-INTERNACIONAL_TG|NON_ST|NON_TS|NONE_SZ|728x90_AD|CM_IT|OO</t>
  </si>
  <si>
    <t>MK|BR_CH|PD_DT|CROSS_PB|VER_FM|BAN_RT|CPM_PD|AFFLUENT-TRAVEL-DIGITAL-CONCIERGE_TG|NON_ST|NON_TS|NONE_SZ|120x600_AD|CM_IT|OO</t>
  </si>
  <si>
    <t>MK|BR_CH|PD_DT|CROSS_PB|VER_FM|BAN_RT|CPM_PD|AFFLUENT-TRAVEL-DIGITAL-CONCIERGE_TG|NON_ST|NON_TS|NONE_SZ|300x250_AD|CM_IT|OO</t>
  </si>
  <si>
    <t>MK|BR_CH|PD_DT|CROSS_PB|VER_FM|BAN_RT|CPM_PD|AFFLUENT-TRAVEL-DIGITAL-CONCIERGE_TG|NON_ST|NON_TS|NONE_SZ|320x100_AD|CM_IT|OO</t>
  </si>
  <si>
    <t>MK|BR_CH|PD_DT|CROSS_PB|VER_FM|BAN_RT|CPM_PD|AFFLUENT-TRAVEL-DIGITAL-CONCIERGE_TG|NON_ST|NON_TS|NONE_SZ|320x50_AD|CM_IT|OO</t>
  </si>
  <si>
    <t>MK|BR_CH|PD_DT|CROSS_PB|VER_FM|BAN_RT|CPM_PD|AFFLUENT-TRAVEL-DIGITAL-CONCIERGE_TG|NON_ST|NON_TS|NONE_SZ|728x90_AD|CM_IT|OO</t>
  </si>
  <si>
    <t>MK|BR_CH|PD_DT|CROSS_PB|VER_FM|BAN_RT|CPM_PD|AFFLUENT-TRAVEL-MEDICO-ONLINE_TG|NON_ST|NON_TS|NONE_SZ|120x600_AD|CM_IT|OO</t>
  </si>
  <si>
    <t>MK|BR_CH|PD_DT|CROSS_PB|VER_FM|BAN_RT|CPM_PD|AFFLUENT-TRAVEL-MEDICO-ONLINE_TG|NON_ST|NON_TS|NONE_SZ|300x250_AD|CM_IT|OO</t>
  </si>
  <si>
    <t>MK|BR_CH|PD_DT|CROSS_PB|VER_FM|BAN_RT|CPM_PD|AFFLUENT-TRAVEL-MEDICO-ONLINE_TG|NON_ST|NON_TS|NONE_SZ|320x100_AD|CM_IT|OO</t>
  </si>
  <si>
    <t>MK|BR_CH|PD_DT|CROSS_PB|VER_FM|BAN_RT|CPM_PD|AFFLUENT-TRAVEL-MEDICO-ONLINE_TG|NON_ST|NON_TS|NONE_SZ|320x50_AD|CM_IT|OO</t>
  </si>
  <si>
    <t>MK|BR_CH|PD_DT|CROSS_PB|VER_FM|BAN_RT|CPM_PD|AFFLUENT-TRAVEL-MEDICO-ONLINE_TG|NON_ST|NON_TS|NONE_SZ|728x90_AD|CM_IT|OO</t>
  </si>
  <si>
    <t>MK|BR_CH|PD_DT|CROSS_PB|VER_FM|BAN_RT|CPM_PD|AFFLUENT-TRAVEL-SEGURO-VIAGEM_TG|NON_ST|NON_TS|NONE_SZ|120x600_AD|CM_IT|OO</t>
  </si>
  <si>
    <t>MK|BR_CH|PD_DT|CROSS_PB|VER_FM|BAN_RT|CPM_PD|AFFLUENT-TRAVEL-SEGURO-VIAGEM_TG|NON_ST|NON_TS|NONE_SZ|300x250_AD|CM_IT|OO</t>
  </si>
  <si>
    <t>MK|BR_CH|PD_DT|CROSS_PB|VER_FM|BAN_RT|CPM_PD|AFFLUENT-TRAVEL-SEGURO-VIAGEM_TG|NON_ST|NON_TS|NONE_SZ|320x100_AD|CM_IT|OO</t>
  </si>
  <si>
    <t>MK|BR_CH|PD_DT|CROSS_PB|VER_FM|BAN_RT|CPM_PD|AFFLUENT-TRAVEL-SEGURO-VIAGEM_TG|NON_ST|NON_TS|NONE_SZ|320x50_AD|CM_IT|OO</t>
  </si>
  <si>
    <t>MK|BR_CH|PD_DT|CROSS_PB|VER_FM|BAN_RT|CPM_PD|AFFLUENT-TRAVEL-SEGURO-VIAGEM_TG|NON_ST|NON_TS|NONE_SZ|728x90_AD|CM_IT|OO</t>
  </si>
  <si>
    <t>MK|BR_CH|PD_DT|CROSS_PB|VER_FM|NAT_RT|CPM_PD|AFFLUENT-CABIFY-50OFF_TG|NON_ST|NON_TS|NONE_SZ|720x1280_AD|CM1_IT|OO</t>
  </si>
  <si>
    <t>MK|BR_CH|PD_DT|CROSS_PB|VER_FM|NAT_RT|CPM_PD|AFFLUENT-SHOPPING-GARANTIA-ESTENDIDA_TG|NON_ST|NON_TS|NONE_SZ|1080x1920_AD|CM1_IT|OO</t>
  </si>
  <si>
    <t>256267110</t>
  </si>
  <si>
    <t>452047343</t>
  </si>
  <si>
    <t>MK|BR_CH|PD_DT|CROSS_PB|VER_FM|NAT_RT|CPM_PD|AFFLUENT-SHOPPING-GARANTIA-ESTENDIDA_TG|NON_ST|NON_TS|NONE_SZ|720X280_AD|CM1_IT|OO</t>
  </si>
  <si>
    <t>255811106</t>
  </si>
  <si>
    <t>452092657</t>
  </si>
  <si>
    <t>MK|BR_CH|PD_DT|CROSS_PB|VER_FM|NAT_RT|CPM_PD|AFFLUENT-SHOPPING-PROTECAO-DE-PRECO_TG|NON_ST|NON_TS|NONE_SZ|720X280_AD|CM1_IT|OO</t>
  </si>
  <si>
    <t>256123885</t>
  </si>
  <si>
    <t>452046869</t>
  </si>
  <si>
    <t>MK|BR_CH|PD_DT|CROSS_PB|VER_FM|NAT_RT|CPM_PD|AFFLUENT-TRAVEL-CHIP_TG|NON_ST|NON_TS|NONE_SZ|720x1280_AD|CM1_IT|OO</t>
  </si>
  <si>
    <t>MK|BR_CH|PD_DT|CROSS_PB|VER_FM|NAT_RT|CPM_PD|AFFLUENT-TRAVEL-DIGITAL-CONCIERGE_TG|NON_ST|NON_TS|NONE_SZ|720x1280_AD|CM1_IT|OO</t>
  </si>
  <si>
    <t>MK|BR_CH|PD_DT|CROSS_PB|VER_FM|NAT_RT|CPM_PD|AFFLUENT-TRAVEL-MEDICO-ONLINE_TG|NON_ST|NON_TS|NONE_SZ|1080x1920_AD|CM1_IT|OO</t>
  </si>
  <si>
    <t>MK|BR_CH|PD_DT|CROSS_PB|VER_FM|NAT_RT|CPM_PD|AFFLUENT-TRAVEL-SEGURO-VIAGEM_TG|NON_ST|NON_TS|NONE_SZ|1080x1920_AD|CM1_IT|OO</t>
  </si>
  <si>
    <t>MK|BR_CH|PV_DT|CROSS_PB|VER_FM|VID_RT|CPM_PD|AFFLUENT-AWARENESS-WATER_TG|NON_ST|NON_TS|NONE_SZ|Video :30_AD|CM_IT|OO</t>
  </si>
  <si>
    <t>255479357</t>
  </si>
  <si>
    <t>451760147</t>
  </si>
  <si>
    <t>Vivo Ads</t>
  </si>
  <si>
    <t>MK|BR_CH|DDSP_DT|CROSS_PB|VVO_FM|PUSH_RT|CPM_PD|AFFLUENT-TRAVEL-AIRPORT-COMPANION_TG|NON_ST|NON_TS|NONE_SZ|1000X572_AD|CM1_IT|OO</t>
  </si>
  <si>
    <t>256265082</t>
  </si>
  <si>
    <t>452045993</t>
  </si>
  <si>
    <t>MK|BR_CH|PD_DT|CROSS_PB|TEAD_FM|CAR_RT|CPM_PD|AFFLUENT-SHOPPING-GARANTIA-ESTENDIDA_TG|NON_ST|NON_TS|NONE_SZ|1X1_AD|CM1_IT|OO</t>
  </si>
  <si>
    <t>MK|BR_CH|PD_DT|CROSS_PB|TEAD_FM|CAR_RT|CPM_PD|AFFLUENT-SHOPPING-PROTECAO-DE-PRECO_TG|NON_ST|NON_TS|NONE_SZ|1X1_AD|CM1_IT|OO</t>
  </si>
  <si>
    <t>MK|BR_CH|PD_DT|CROSS_PB|TEAD_FM|CAR_RT|CPM_PD|AFFLUENT-TRAVEL-MEDICO-ONLINE_TG|NON_ST|NON_TS|NONE_SZ|1X1_AD|CM1_IT|OO</t>
  </si>
  <si>
    <t>MK|BR_CH|PD_DT|CROSS_PB|TEAD_FM|CAR_RT|CPM_PD|AFFLUENT-TRAVEL-MOBILE-CHIP_TG|NON_ST|NON_TS|NONE_SZ|1X1_AD|CM1_IT|OO</t>
  </si>
  <si>
    <t>MK|BR_CH|PD_DT|CROSS_PB|TEAD_FM|FLOW_RT|CPM_PD|AFFLUENT-SHOPPING-GARANTIA-ESTENDIDA_TG|NON_ST|NON_TS|NONE_SZ|1X1_AD|CM1_IT|OO</t>
  </si>
  <si>
    <t>MK|BR_CH|PD_DT|CROSS_PB|TEAD_FM|FLOW_RT|CPM_PD|AFFLUENT-SHOPPING-PROTECAO-DE-PRECO_TG|NON_ST|NON_TS|NONE_SZ|1X1_AD|CM1_IT|OO</t>
  </si>
  <si>
    <t>MK|BR_CH|PD_DT|CROSS_PB|TEAD_FM|FLOW_RT|CPM_PD|AFFLUENT-TRAVEL-MEDICO-ONLINE_TG|NON_ST|NON_TS|NONE_SZ|1X1_AD|CM1_IT|OO</t>
  </si>
  <si>
    <t>MK|BR_CH|PD_DT|CROSS_PB|TEAD_FM|FLOW_RT|CPM_PD|AFFLUENT-TRAVEL-MOBILE-CHIP_TG|NON_ST|NON_TS|NONE_SZ|1X1_AD|CM1_IT|OO</t>
  </si>
  <si>
    <t>MK|BR_CH|PD_DT|CROSS_PB|TEAD_FM|SCL_RT|CPM_PD|AFFLUENT-SHOPPING-PROTECAO-DE-PRECO_TG|NON_ST|NON_TS|NONE_SZ|1X1_AD|CM1_IT|OO</t>
  </si>
  <si>
    <t>MK|BR_CH|PD_DT|CROSS_PB|TEAD_FM|SCL_RT|CPM_PD|AFFLUENT-TRAVEL-MEDICO-ONLINE_TG|NON_ST|NON_TS|NONE_SZ|1X1_AD|CM1_IT|OO</t>
  </si>
  <si>
    <t>MK|BR_CH|PD_DT|CROSS_PB|TEAD_FM|SCL_RT|CPM_PD|AFFLUENT-TRAVEL-MOBILE-CHIP_TG|NON_ST|NON_TS|NONE_SZ|1X1_AD|CM1_IT|OO</t>
  </si>
  <si>
    <t>MK|BR_CN|CAUSAS_MN|NONE_YQ|19Q1Q4_CP|PO5020004141_SP|N/A_AC|CC_OB|ACQ_U1|DCM</t>
  </si>
  <si>
    <t>MK|BR_CH|DNM_DT|CROSS_PB|MOL_FM|QRC_RT|CPM_PD|CAUSAS-DEPOIMENTOS-DONACIDA_TG|NON_ST|NON_TS|NONE_SZ|1X1_AD|CM1_IT|SOC</t>
  </si>
  <si>
    <t>MK|BR_CH|PSD_DT|CROSS_PB|FCBK_FM|LNK_RT|CPM_PD|CAUSAS-FUNDOBRANCO-CADASTRE-SE_TG|NON_ST|NON_TS|NONE_SZ|1X1_AD|CM1_IT|SOC</t>
  </si>
  <si>
    <t>MK|BR_CH|PSD_DT|CROSS_PB|FCBK_FM|LNK_RT|CPM_PD|CAUSAS-NATAL-CADASTRE-SE-ANIMADO_TG|NON_ST|NON_TS|NONE_SZ|1X1_AD|CM1_IT|SOC</t>
  </si>
  <si>
    <t>MK|BR_CH|PSD_DT|CROSS_PB|FCBK_FM|LNK_RT|CPM_PD|CAUSAS-PASSOAPASSO-CADASTRE-SE_TG|NON_ST|NON_TS|NONE_SZ|1X1_AD|CM1_IT|SOC</t>
  </si>
  <si>
    <t>MK|BR_CH|PSD_DT|CROSS_PB|FCBK_FM|LNK_RT|CPM_PD|CROSSBORDER-CASHBACK-GOURMET-BASEEUA_TG|NON_ST|NON_TS|NONE_SZ|1X1_AD|CM1_IT|SOC</t>
  </si>
  <si>
    <t>MK|BR_CH|PSD_DT|CROSS_PB|FCBK_FM|SPRE_RT|CPM_PD|CAUSAS-CAMERAESCONDIDA-LONGO-06-LEGENDADO_TG|NON_ST|NON_TS|NONE_SZ|1X1_AD|CM1_IT|SOC</t>
  </si>
  <si>
    <t>MK|BR_CH|PSV_DT|CROSS_PB|FCBK_FM|SPRE_RT|CPM_PD|CAUSAS-DEPOIMENTOS-DONACIDA_TG|NON_ST|NON_TS|NONE_SZ|Video:15_AD|CM1_IT|SOC</t>
  </si>
  <si>
    <t>255040686</t>
  </si>
  <si>
    <t>450840156</t>
  </si>
  <si>
    <t>MK|BR_CH|PSV_DT|CROSS_PB|FCBK_FM|SPRE_RT|CPM_PD|CAUSAS-DEPOIMENTOS-JOSEROBERTO_TG|NON_ST|NON_TS|NONE_SZ|Video:15_AD|CM1_IT|SOC</t>
  </si>
  <si>
    <t>254917423</t>
  </si>
  <si>
    <t>450948601</t>
  </si>
  <si>
    <t>MK|BR_CH|PSV_DT|CROSS_PB|FCBK_FM|SPRE_RT|CPM_PD|CAUSAS-DEPOIMENTOS-MICHAELDOUGLAS_TG|NON_ST|NON_TS|NONE_SZ|Video:15_AD|CM1_IT|SOC</t>
  </si>
  <si>
    <t>254917306</t>
  </si>
  <si>
    <t>450948481</t>
  </si>
  <si>
    <t>MK|BR_CH|PSV_DT|CROSS_PB|FCBK_FM|SPRE_RT|CPM_PD|CAUSAS-DEPOIMENTOS-RAFAELA_TG|NON_ST|NON_TS|NONE_SZ|Video:15_AD|CM1_IT|SOC</t>
  </si>
  <si>
    <t>255040743</t>
  </si>
  <si>
    <t>450899891</t>
  </si>
  <si>
    <t>MK|BR_CH|PSV_DT|CROSS_PB|FCBK_FM|SPRE_RT|CPM_PD|CAUSAS-DEPOIMENTOS-THAIS_TG|NON_ST|NON_TS|NONE_SZ|Video:15_AD|CM1_IT|SOC</t>
  </si>
  <si>
    <t>255039984</t>
  </si>
  <si>
    <t>450838755</t>
  </si>
  <si>
    <t>MK|BR_CH|PSV_DT|CROSS_PB|FCBK_FM|SPRE_RT|CPM_PD|CAUSAS-DEPOIMENTOS-TIADAG_TG|NON_ST|NON_TS|NONE_SZ|Video:15_AD|CM1_IT|SOC</t>
  </si>
  <si>
    <t>255040776</t>
  </si>
  <si>
    <t>450949444</t>
  </si>
  <si>
    <t>MK|BR_CH|OV_DT|CROSS_PB|YOUT_FM|VID_RT|CPM_PD|CAUSAS-AMPARA-ANIMAL_TG|NON_ST|NON_TS|NONE_SZ|Video:2_AD|CM1_IT|NE</t>
  </si>
  <si>
    <t>255728942</t>
  </si>
  <si>
    <t>451964630</t>
  </si>
  <si>
    <t>MK|BR_CH|OV_DT|CROSS_PB|YOUT_FM|VID_RT|CPM_PD|CAUSAS-DEPOIMENTOS-DONACIDA_TG|NON_ST|NON_TS|NONE_SZ|Video:15_AD|CM1_IT|NE</t>
  </si>
  <si>
    <t>255625821</t>
  </si>
  <si>
    <t>451478668</t>
  </si>
  <si>
    <t>MK|BR_CH|OV_DT|CROSS_PB|YOUT_FM|VID_RT|CPM_PD|CAUSAS-DEPOIMENTOS-JOSEROBERTO_TG|NON_ST|NON_TS|NONE_SZ|Video:2_AD|CM1_IT|NE</t>
  </si>
  <si>
    <t>254872161</t>
  </si>
  <si>
    <t>450681108</t>
  </si>
  <si>
    <t>MK|BR_CH|OV_DT|CROSS_PB|YOUT_FM|VID_RT|CPM_PD|CAUSAS-DEPOIMENTOS-JOSEROBERTO_TG|NON_ST|NON_TS|NONE_SZ|Video:2_AD|CM1_IT|NE_U1|ESTOU-VIVO</t>
  </si>
  <si>
    <t>254965843</t>
  </si>
  <si>
    <t>450884580</t>
  </si>
  <si>
    <t>MK|BR_CH|OV_DT|CROSS_PB|YOUT_FM|VID_RT|CPM_PD|CAUSAS-DEPOIMENTOS-JOSEROBERTO_TG|NON_ST|NON_TS|NONE_SZ|Video:2_AD|CM1_IT|NE_U1|PASSADO-DIFICULDADE</t>
  </si>
  <si>
    <t>254636021</t>
  </si>
  <si>
    <t>450951557</t>
  </si>
  <si>
    <t>MK|BR_CH|OV_DT|CROSS_PB|YOUT_FM|VID_RT|CPM_PD|CAUSAS-DEPOIMENTOS-MICHAELDOUGLAS_TG|NON_ST|NON_TS|NONE_SZ|Video:2_AD|CM1_IT|NE_U1|AWARENESS</t>
  </si>
  <si>
    <t>254968287</t>
  </si>
  <si>
    <t>450766239</t>
  </si>
  <si>
    <t>MK|BR_CH|OV_DT|CROSS_PB|YOUT_FM|VID_RT|CPM_PD|CAUSAS-DEPOIMENTOS-MICHAELDOUGLAS_TG|NON_ST|NON_TS|NONE_SZ|Video:2_AD|CM1_IT|NE_U1|PERFORMANCE</t>
  </si>
  <si>
    <t>254742616</t>
  </si>
  <si>
    <t>450721097</t>
  </si>
  <si>
    <t>MK|BR_CH|OV_DT|CROSS_PB|YOUT_FM|VID_RT|CPM_PD|CAUSAS-DEPOIMENTOS-RAFAELA_TG|NON_ST|NON_TS|NONE_SZ|Video:15_AD|CM1_IT|NE</t>
  </si>
  <si>
    <t>255625824</t>
  </si>
  <si>
    <t>451457015</t>
  </si>
  <si>
    <t>MK|BR_CH|OV_DT|CROSS_PB|YOUT_FM|VID_RT|CPM_PD|CAUSAS-DEPOIMENTOS-THAIS_TG|NON_ST|NON_TS|NONE_SZ|Video:15_AD|CM1_IT|NE</t>
  </si>
  <si>
    <t>255625815</t>
  </si>
  <si>
    <t>451478662</t>
  </si>
  <si>
    <t>MK|BR_CH|OV_DT|CROSS_PB|YOUT_FM|VID_RT|CPM_PD|CAUSAS-DEPOIMENTOS-TIADAG_TG|NON_ST|NON_TS|NONE_SZ|Video:15_AD|CM1_IT|NE</t>
  </si>
  <si>
    <t>255625818</t>
  </si>
  <si>
    <t>451478665</t>
  </si>
  <si>
    <t>MK|BR_CH|OV_DT|CROSS_PB|YOUT_FM|VID_RT|CPM_PD|CAUSAS-IMBRA_TG|NON_ST|NON_TS|NONE_SZ|Video:2_AD|CM1_IT|NE</t>
  </si>
  <si>
    <t>255728945</t>
  </si>
  <si>
    <t>451964627</t>
  </si>
  <si>
    <t>NÃO USAR</t>
  </si>
  <si>
    <t>255728948</t>
  </si>
  <si>
    <t>451899687</t>
  </si>
  <si>
    <t>255728951</t>
  </si>
  <si>
    <t>451899690</t>
  </si>
  <si>
    <t>255728954</t>
  </si>
  <si>
    <t>451899693</t>
  </si>
  <si>
    <t>Não usar</t>
  </si>
  <si>
    <t>255728957</t>
  </si>
  <si>
    <t>451899696</t>
  </si>
  <si>
    <t>MK|BR_CH|OV_DT|CROSS_PB|YOUT_FM|VID_RT|CPM_PD|CAUSAS-DEPOIMENTOS-RAFAELA_TG|NON_ST|NON_TS|NONE_SZ|Video:2_AD|CM1_IT|NE</t>
  </si>
  <si>
    <t>MK|BR_CH|OV_DT|CROSS_PB|YOUT_FM|VID_RT|CPM_PD|CAUSAS-DEPOIMENTOS-TIADAG-WIDE_TG|NON_ST|NON_TS|NONE_SZ|Video:15_AD|CM1_IT|NE</t>
  </si>
  <si>
    <t>MK|BR_CH|OV_DT|CROSS_PB|YOUT_FM|VID_RT|CPM_PD|CAUSAS-DEPOIMENTOS-TIADAG_TG|NON_ST|NON_TS|NONE_SZ|Video:2_AD|CM1_IT|NE</t>
  </si>
  <si>
    <t>MK|BR_CH|PD_DT|CROSS_PB|DV36_FM|BAN_RT|CPM_PD|CAUSAS-CADASTRE-SE_TG|NON_ST|NON_TS|NONE_SZ|120x600_AD|CM_IT|POE_U1|CRIANCAS-ADOLESCENTES</t>
  </si>
  <si>
    <t>255477289</t>
  </si>
  <si>
    <t>451446536</t>
  </si>
  <si>
    <t>MK|BR_CH|PD_DT|CROSS_PB|DV36_FM|BAN_RT|CPM_PD|CAUSAS-CADASTRE-SE_TG|NON_ST|NON_TS|NONE_SZ|120x600_AD|CM_IT|POE_U1|IDOSOS</t>
  </si>
  <si>
    <t>255477274</t>
  </si>
  <si>
    <t>451446521</t>
  </si>
  <si>
    <t>MK|BR_CH|PD_DT|CROSS_PB|DV36_FM|BAN_RT|CPM_PD|CAUSAS-CADASTRE-SE_TG|NON_ST|NON_TS|NONE_SZ|300x250_AD|CM_IT|POE_U1|CRIANCAS-ADOLESCENTES</t>
  </si>
  <si>
    <t>255477292</t>
  </si>
  <si>
    <t>451446539</t>
  </si>
  <si>
    <t>MK|BR_CH|PD_DT|CROSS_PB|DV36_FM|BAN_RT|CPM_PD|CAUSAS-CADASTRE-SE_TG|NON_ST|NON_TS|NONE_SZ|300x250_AD|CM_IT|POE_U1|IDOSOS</t>
  </si>
  <si>
    <t>255477277</t>
  </si>
  <si>
    <t>451446524</t>
  </si>
  <si>
    <t>MK|BR_CH|PD_DT|CROSS_PB|DV36_FM|BAN_RT|CPM_PD|CAUSAS-CADASTRE-SE_TG|NON_ST|NON_TS|NONE_SZ|300x50_AD|CM_IT|POE_U1|CRIANCAS-ADOLESCENTES</t>
  </si>
  <si>
    <t>255477286</t>
  </si>
  <si>
    <t>451446533</t>
  </si>
  <si>
    <t>MK|BR_CH|PD_DT|CROSS_PB|DV36_FM|BAN_RT|CPM_PD|CAUSAS-CADASTRE-SE_TG|NON_ST|NON_TS|NONE_SZ|300x50_AD|CM_IT|POE_U1|IDOSOS</t>
  </si>
  <si>
    <t>255477271</t>
  </si>
  <si>
    <t>451446518</t>
  </si>
  <si>
    <t>MK|BR_CH|PD_DT|CROSS_PB|DV36_FM|BAN_RT|CPM_PD|CAUSAS-CADASTRE-SE_TG|NON_ST|NON_TS|NONE_SZ|320x100_AD|CM_IT|POE_U1|CRIANCAS-ADOLESCENTES</t>
  </si>
  <si>
    <t>255477280</t>
  </si>
  <si>
    <t>451446527</t>
  </si>
  <si>
    <t>MK|BR_CH|PD_DT|CROSS_PB|DV36_FM|BAN_RT|CPM_PD|CAUSAS-CADASTRE-SE_TG|NON_ST|NON_TS|NONE_SZ|320x100_AD|CM_IT|POE_U1|IDOSOS</t>
  </si>
  <si>
    <t>255477265</t>
  </si>
  <si>
    <t>451484968</t>
  </si>
  <si>
    <t>MK|BR_CH|PD_DT|CROSS_PB|DV36_FM|BAN_RT|CPM_PD|CAUSAS-CADASTRE-SE_TG|NON_ST|NON_TS|NONE_SZ|728x90_AD|CM_IT|POE_U1|CRIANCAS-ADOLESCENTES</t>
  </si>
  <si>
    <t>255477283</t>
  </si>
  <si>
    <t>451446530</t>
  </si>
  <si>
    <t>MK|BR_CH|PD_DT|CROSS_PB|DV36_FM|BAN_RT|CPM_PD|CAUSAS-CADASTRE-SE_TG|NON_ST|NON_TS|NONE_SZ|728x90_AD|CM_IT|POE_U1|IDOSOS</t>
  </si>
  <si>
    <t>255477268</t>
  </si>
  <si>
    <t>451446515</t>
  </si>
  <si>
    <t>MK|BR_CH|PD_DT|CROSS_PB|DV36_FM|BAN_RT|CPM_PD|CAUSAS-FINALIZE_TG|NON_ST|NON_TS|NONE_SZ|320x100_AD|CM_IT|POE_U1|CRIANCAS-ADOLESCENTES</t>
  </si>
  <si>
    <t>255477250</t>
  </si>
  <si>
    <t>451484953</t>
  </si>
  <si>
    <t>MK|BR_CH|PD_DT|CROSS_PB|DV36_FM|BAN_RT|CPM_PD|CAUSAS-FINALIZE_TG|NON_ST|NON_TS|NONE_SZ|320x100_AD|CM_IT|POE_U1|IDOSOS</t>
  </si>
  <si>
    <t>255477235</t>
  </si>
  <si>
    <t>451484938</t>
  </si>
  <si>
    <t>MK|BR_CH|PD_DT|CROSS_PB|DV36_FM|BAN_RT|CPM_PD|CAUSAS-PERFORMANCE-CADASTRE-SE_TG|NON_ST|NON_TS|NONE_SZ|300x250_AD|CM_IT|POE</t>
  </si>
  <si>
    <t>MK|BR_CH|PD_DT|CROSS_PB|DV36_FM|BAN_RT|CPM_PD|CAUSAS-PERFORMANCE-CADASTRE-SE_TG|NON_ST|NON_TS|NONE_SZ|300x50_AD|CM_IT|POE</t>
  </si>
  <si>
    <t>MK|BR_CH|PD_DT|CROSS_PB|DV36_FM|BAN_RT|CPM_PD|CAUSAS-PERFORMANCE-CADASTRE-SE_TG|NON_ST|NON_TS|NONE_SZ|300x600_AD|CM_IT|POE</t>
  </si>
  <si>
    <t>MK|BR_CH|PD_DT|CROSS_PB|DV36_FM|BAN_RT|CPM_PD|CAUSAS-USEMAIS_TG|NON_ST|NON_TS|NONE_SZ|728x90_AD|CM_IT|POE_U1|CRIANCAS-ADOLESCENTES</t>
  </si>
  <si>
    <t>255135254</t>
  </si>
  <si>
    <t>451386180</t>
  </si>
  <si>
    <t>MK|BR_CH|PD_DT|CROSS_PB|DV36_FM|BAN_RT|CPM_PD|CAUSAS-USEMAIS_TG|NON_ST|NON_TS|NONE_SZ|728x90_AD|CM_IT|POE_U1|IDOSOS</t>
  </si>
  <si>
    <t>255135269</t>
  </si>
  <si>
    <t>451386195</t>
  </si>
  <si>
    <t>MK|BR_CH|PV_DT|CROSS_PB|DV36_FM|VID_RT|CPM_PD|CAUSAS-DEPOIMENTOS-DONACIDA_TG|NON_ST|NON_TS|NONE_SZ|Video:2_AD|CM1_IT|POE</t>
  </si>
  <si>
    <t>MK|BR_CH|PV_DT|CROSS_PB|DV36_FM|VID_RT|CPM_PD|CAUSAS-IDOSO_TG|NON_ST|NON_TS|NONE_SZ|Video:2_AD|CM1_IT|NE</t>
  </si>
  <si>
    <t>MK|BR_CH|PD_DT|CROSS_PB|VER_FM|NAT_RT|CPM_PD|CAUSAS-ICONE-MAILAD_TG|NON_ST|NON_TS|NONE_SZ|500x500_AD|CM1_IT|OO</t>
  </si>
  <si>
    <t>233562480</t>
  </si>
  <si>
    <t>431068495</t>
  </si>
  <si>
    <t>MK|BR_CH|PD_DT|CROSS_PB|VER_FM|NAT_RT|CPM_PD|CAUSAS-ICONE-STANDARD_TG|NON_ST|NON_TS|NONE_SZ|1200x627_AD|CM1_IT|OO</t>
  </si>
  <si>
    <t>MK|BR_CH|PD_DT|CROSS_PB|VER_FM|NAT_RT|CPM_PD|CAUSAS-ICONE-STREAMAD-FUNDOAZUL_TG|NON_ST|NON_TS|NONE_SZ|1200x627_AD|CM1_IT|OO</t>
  </si>
  <si>
    <t>MK|BR_CH|PD_DT|CROSS_PB|VER_FM|NAT_RT|CPM_PD|CAUSAS-TINTURA-MAILAD_TG|NON_ST|NON_TS|NONE_SZ|500x500_AD|CM1_IT|OO</t>
  </si>
  <si>
    <t>233562477</t>
  </si>
  <si>
    <t>431068492</t>
  </si>
  <si>
    <t>MK|BR_CH|PV_DT|CROSS_PB|VER_FM|VID_RT|CPM_PD|CAUSAS-DEPOIMENTOS-RAFAELA_TG|NON_ST|NON_TS|NONE_SZ|Video:2_AD|CM_IT|OO</t>
  </si>
  <si>
    <t>MK|BR_CH|PV_DT|CROSS_PB|VER_FM|VID_RT|CPM_PD|CAUSAS-DEPOIMENTOS-TIADAG_TG|NON_ST|NON_TS|NONE_SZ|Video:2_AD|CM_IT|OO</t>
  </si>
  <si>
    <t>MK|BR_CH|PV_DT|CROSS_PB|VER_FM|VID_RT|CPM_PD|CAUSAS-IDOSO_TG|NON_ST|NON_TS|NONE_SZ|Video:2_AD|CM_IT|OO</t>
  </si>
  <si>
    <t>MK|BR_CH|MDSP_DT|CROSS_PB|SPB_FM|PUSH_RT|CPM_PD|CAUSAS-SHOPBACK_TG|NON_ST|NON_TS|NONE_SZ|1X1_AD|CM1_IT|OO</t>
  </si>
  <si>
    <t>MK|BR_CH|PV_DT|CROSS_PB|VER_FM|VID_RT|CPM_PD|CAUSAS-AMPARA-ANIMAL_TG|NON_ST|NON_TS|NONE_SZ|Video:2_AD|CM_IT|OO</t>
  </si>
  <si>
    <t>255805592</t>
  </si>
  <si>
    <t>452013243</t>
  </si>
  <si>
    <t>MK|BR_CH|PV_DT|CROSS_PB|VER_FM|VID_RT|CPM_PD|CAUSAS-DEPOIMENTOS-JOSEROBERTO_TG|NON_ST|NON_TS|NONE_SZ|Video:2_AD|CM_IT|OO_U1|ESTOU-VIVO</t>
  </si>
  <si>
    <t>254965999</t>
  </si>
  <si>
    <t>450992638</t>
  </si>
  <si>
    <t>MK|BR_CH|PV_DT|CROSS_PB|VER_FM|VID_RT|CPM_PD|CAUSAS-DEPOIMENTOS-JOSEROBERTO_TG|NON_ST|NON_TS|NONE_SZ|Video:2_AD|CM_IT|OO_U1|PASSADO-DIFICULDADE</t>
  </si>
  <si>
    <t>254968282</t>
  </si>
  <si>
    <t>450949400</t>
  </si>
  <si>
    <t>MK|BR_CH|PV_DT|CROSS_PB|VER_FM|VID_RT|CPM_PD|CAUSAS-DEPOIMENTOS-MICHAELDOUGLAS_TG|NON_ST|NON_TS|NONE_SZ|Video:2_AD|CM_IT|OO</t>
  </si>
  <si>
    <t>254512103</t>
  </si>
  <si>
    <t>450816956</t>
  </si>
  <si>
    <t>MK|BR_CH|PV_DT|CROSS_PB|VER_FM|VID_RT|CPM_PD|CAUSAS-IMBRA_TG|NON_ST|NON_TS|NONE_SZ|Video:2_AD|CM_IT|OO</t>
  </si>
  <si>
    <t>256129147</t>
  </si>
  <si>
    <t>452015466</t>
  </si>
  <si>
    <t>MK|BR_CH|PV_DT|CROSS_PB|ZM_FM|VID_RT|CPM_PD|CAUSAS-DEPOIMENTOS-RAFAELA_TG|NON_ST|NON_TS|NONE_SZ|Video:2_AD|CM1_IT|OO</t>
  </si>
  <si>
    <t>MK|BR_CH|PV_DT|CROSS_PB|ZM_FM|VID_RT|CPM_PD|CAUSAS-DEPOIMENTOS-TIADAG_TG|NON_ST|NON_TS|NONE_SZ|Video:2_AD|CM1_IT|OO</t>
  </si>
  <si>
    <t>MK|BR_CN|CIDADESDOFUTURO_MN|NONE_YQ|19Q4_CP|5020004441_SP|N/A_AC|CMKT_OB|AWA</t>
  </si>
  <si>
    <t>MK|BR_CH|PSD_DT|CROSS_PB|FCBK_FM|CAR_RT|CPM_PD|CidadesdoFuturo_TG|NON_ST|NON_TS|NONE_SZ|1X1_AD|CM1_IT|SOC_U1|ANAPOLIS_U2|AzulEscuro</t>
  </si>
  <si>
    <t>255146075</t>
  </si>
  <si>
    <t>451451564</t>
  </si>
  <si>
    <t>256224056</t>
  </si>
  <si>
    <t>452369844</t>
  </si>
  <si>
    <t>MK|BR_CH|PSD_DT|CROSS_PB|FCBK_FM|CAR_RT|CPM_PD|CidadesdoFuturo_TG|NON_ST|NON_TS|NONE_SZ|1X1_AD|CM1_IT|SOC_U1|ANGRADOSREIS_U2|AzulEscuro</t>
  </si>
  <si>
    <t>255146063</t>
  </si>
  <si>
    <t>451451591</t>
  </si>
  <si>
    <t>256665462</t>
  </si>
  <si>
    <t>452475163</t>
  </si>
  <si>
    <t>MK|BR_CH|PSD_DT|CROSS_PB|FCBK_FM|CAR_RT|CPM_PD|CidadesdoFuturo_TG|NON_ST|NON_TS|NONE_SZ|1X1_AD|CM1_IT|SOC_U1|APUCARANA_U2|AzulEscuro</t>
  </si>
  <si>
    <t>255146051</t>
  </si>
  <si>
    <t>451491280</t>
  </si>
  <si>
    <t>256665468</t>
  </si>
  <si>
    <t>452475157</t>
  </si>
  <si>
    <t>256665471</t>
  </si>
  <si>
    <t>452475154</t>
  </si>
  <si>
    <t>MK|BR_CH|PSD_DT|CROSS_PB|FCBK_FM|CAR_RT|CPM_PD|CidadesdoFuturo_TG|NON_ST|NON_TS|NONE_SZ|1X1_AD|CM1_IT|SOC_U1|ARAGUAINA_U2|AzulEscuro</t>
  </si>
  <si>
    <t>256665474</t>
  </si>
  <si>
    <t>452475151</t>
  </si>
  <si>
    <t>256665480</t>
  </si>
  <si>
    <t>452475148</t>
  </si>
  <si>
    <t>256665483</t>
  </si>
  <si>
    <t>452475145</t>
  </si>
  <si>
    <t>MK|BR_CH|PSD_DT|CROSS_PB|FCBK_FM|CAR_RT|CPM_PD|CidadesdoFuturo_TG|NON_ST|NON_TS|NONE_SZ|1X1_AD|CM1_IT|SOC_U1|ARARAS_U2|AzulEscuro</t>
  </si>
  <si>
    <t>256665489</t>
  </si>
  <si>
    <t>452475139</t>
  </si>
  <si>
    <t>256665492</t>
  </si>
  <si>
    <t>452475136</t>
  </si>
  <si>
    <t>MK|BR_CH|PSD_DT|CROSS_PB|FCBK_FM|CAR_RT|CPM_PD|CidadesdoFuturo_TG|NON_ST|NON_TS|NONE_SZ|1X1_AD|CM1_IT|SOC_U1|BARRETOS_U2|AzulEscuro</t>
  </si>
  <si>
    <t>256665498</t>
  </si>
  <si>
    <t>452475133</t>
  </si>
  <si>
    <t>256665501</t>
  </si>
  <si>
    <t>452475130</t>
  </si>
  <si>
    <t>MK|BR_CH|PSD_DT|CROSS_PB|FCBK_FM|CAR_RT|CPM_PD|CidadesdoFuturo_TG|NON_ST|NON_TS|NONE_SZ|1X1_AD|CM1_IT|SOC_U1|BELEM_U2|AzulEscuro</t>
  </si>
  <si>
    <t>255471079</t>
  </si>
  <si>
    <t>451397511</t>
  </si>
  <si>
    <t>256665507</t>
  </si>
  <si>
    <t>452475124</t>
  </si>
  <si>
    <t>256665510</t>
  </si>
  <si>
    <t>452475121</t>
  </si>
  <si>
    <t>256665516</t>
  </si>
  <si>
    <t>452475118</t>
  </si>
  <si>
    <t>MK|BR_CH|PSD_DT|CROSS_PB|FCBK_FM|CAR_RT|CPM_PD|CidadesdoFuturo_TG|NON_ST|NON_TS|NONE_SZ|1X1_AD|CM1_IT|SOC_U1|BRUSQUE_U2|AzulEscuro</t>
  </si>
  <si>
    <t>256665528</t>
  </si>
  <si>
    <t>452475106</t>
  </si>
  <si>
    <t>MK|BR_CH|PSD_DT|CROSS_PB|FCBK_FM|CAR_RT|CPM_PD|CidadesdoFuturo_TG|NON_ST|NON_TS|NONE_SZ|1X1_AD|CM1_IT|SOC_U1|CABOFRIO_U2|AzulEscuro</t>
  </si>
  <si>
    <t>256228835</t>
  </si>
  <si>
    <t>452475067</t>
  </si>
  <si>
    <t>256665540</t>
  </si>
  <si>
    <t>452475097</t>
  </si>
  <si>
    <t>256665543</t>
  </si>
  <si>
    <t>452475094</t>
  </si>
  <si>
    <t>256665546</t>
  </si>
  <si>
    <t>452475091</t>
  </si>
  <si>
    <t>MK|BR_CH|PSD_DT|CROSS_PB|FCBK_FM|CAR_RT|CPM_PD|CidadesdoFuturo_TG|NON_ST|NON_TS|NONE_SZ|1X1_AD|CM1_IT|SOC_U1|CAMPOSDOSGOYTACAZES_U2|AzulEscuro</t>
  </si>
  <si>
    <t>256228841</t>
  </si>
  <si>
    <t>452475061</t>
  </si>
  <si>
    <t>MK|BR_CH|PSD_DT|CROSS_PB|FCBK_FM|CAR_RT|CPM_PD|CidadesdoFuturo_TG|NON_ST|NON_TS|NONE_SZ|1X1_AD|CM1_IT|SOC_U1|CARUARU_U2|AzulEscuro</t>
  </si>
  <si>
    <t>255145931</t>
  </si>
  <si>
    <t>451491535</t>
  </si>
  <si>
    <t>256228850</t>
  </si>
  <si>
    <t>452475055</t>
  </si>
  <si>
    <t>256228853</t>
  </si>
  <si>
    <t>452475052</t>
  </si>
  <si>
    <t>MK|BR_CH|PSD_DT|CROSS_PB|FCBK_FM|CAR_RT|CPM_PD|CidadesdoFuturo_TG|NON_ST|NON_TS|NONE_SZ|1X1_AD|CM1_IT|SOC_U1|CASCAVEL_U2|AzulEscuro</t>
  </si>
  <si>
    <t>255145919</t>
  </si>
  <si>
    <t>451491559</t>
  </si>
  <si>
    <t>256228859</t>
  </si>
  <si>
    <t>452475046</t>
  </si>
  <si>
    <t>256228865</t>
  </si>
  <si>
    <t>452475043</t>
  </si>
  <si>
    <t>MK|BR_CH|PSD_DT|CROSS_PB|FCBK_FM|CAR_RT|CPM_PD|CidadesdoFuturo_TG|NON_ST|NON_TS|NONE_SZ|1X1_AD|CM1_IT|SOC_U1|CATANDUVA_U2|AzulEscuro</t>
  </si>
  <si>
    <t>256228871</t>
  </si>
  <si>
    <t>452475037</t>
  </si>
  <si>
    <t>256228877</t>
  </si>
  <si>
    <t>452475031</t>
  </si>
  <si>
    <t>MK|BR_CH|PSD_DT|CROSS_PB|FCBK_FM|CAR_RT|CPM_PD|CidadesdoFuturo_TG|NON_ST|NON_TS|NONE_SZ|1X1_AD|CM1_IT|SOC_U1|COLATINA_U2|AzulEscuro</t>
  </si>
  <si>
    <t>256228886</t>
  </si>
  <si>
    <t>452475025</t>
  </si>
  <si>
    <t>MK|BR_CH|PSD_DT|CROSS_PB|FCBK_FM|CAR_RT|CPM_PD|CidadesdoFuturo_TG|NON_ST|NON_TS|NONE_SZ|1X1_AD|CM1_IT|SOC_U1|CONSELHEIROLAFAIETE_U2|AzulEscuro</t>
  </si>
  <si>
    <t>255145883</t>
  </si>
  <si>
    <t>451396569</t>
  </si>
  <si>
    <t>256228889</t>
  </si>
  <si>
    <t>452475022</t>
  </si>
  <si>
    <t>256228892</t>
  </si>
  <si>
    <t>452412824</t>
  </si>
  <si>
    <t>MK|BR_CH|PSD_DT|CROSS_PB|FCBK_FM|CAR_RT|CPM_PD|CidadesdoFuturo_TG|NON_ST|NON_TS|NONE_SZ|1X1_AD|CM1_IT|SOC_U1|CORUMBA_U2|AzulEscuro</t>
  </si>
  <si>
    <t>255476611</t>
  </si>
  <si>
    <t>451396593</t>
  </si>
  <si>
    <t>256228895</t>
  </si>
  <si>
    <t>452412821</t>
  </si>
  <si>
    <t>256228901</t>
  </si>
  <si>
    <t>452412818</t>
  </si>
  <si>
    <t>MK|BR_CH|PSD_DT|CROSS_PB|FCBK_FM|CAR_RT|CPM_PD|CidadesdoFuturo_TG|NON_ST|NON_TS|NONE_SZ|1X1_AD|CM1_IT|SOC_U1|Catanduva_U2|AzulEscuro</t>
  </si>
  <si>
    <t>255145907</t>
  </si>
  <si>
    <t>451396518</t>
  </si>
  <si>
    <t>MK|BR_CH|PSD_DT|CROSS_PB|FCBK_FM|CAR_RT|CPM_PD|CidadesdoFuturo_TG|NON_ST|NON_TS|NONE_SZ|1X1_AD|CM1_IT|SOC_U1|Colatina_U2|AzulEscuro</t>
  </si>
  <si>
    <t>255145895</t>
  </si>
  <si>
    <t>451396542</t>
  </si>
  <si>
    <t>MK|BR_CH|PSD_DT|CROSS_PB|FCBK_FM|CAR_RT|CPM_PD|CidadesdoFuturo_TG|NON_ST|NON_TS|NONE_SZ|1X1_AD|CM1_IT|SOC_U1|DIVINOPOLIS_U2|AzulEscuro</t>
  </si>
  <si>
    <t>255476599</t>
  </si>
  <si>
    <t>451396620</t>
  </si>
  <si>
    <t>256228910</t>
  </si>
  <si>
    <t>452412809</t>
  </si>
  <si>
    <t>256228913</t>
  </si>
  <si>
    <t>452412806</t>
  </si>
  <si>
    <t>MK|BR_CH|PSD_DT|CROSS_PB|FCBK_FM|CAR_RT|CPM_PD|CidadesdoFuturo_TG|NON_ST|NON_TS|NONE_SZ|1X1_AD|CM1_IT|SOC_U1|FEIRADESANTANA_U2|AzulEscuro</t>
  </si>
  <si>
    <t>255471067</t>
  </si>
  <si>
    <t>451397538</t>
  </si>
  <si>
    <t>256228919</t>
  </si>
  <si>
    <t>452412803</t>
  </si>
  <si>
    <t>256228922</t>
  </si>
  <si>
    <t>452412800</t>
  </si>
  <si>
    <t>MK|BR_CH|PSD_DT|CROSS_PB|FCBK_FM|CAR_RT|CPM_PD|CidadesdoFuturo_TG|NON_ST|NON_TS|NONE_SZ|1X1_AD|CM1_IT|SOC_U1|GOVERNADORVALADARES_U2|AzulEscuro</t>
  </si>
  <si>
    <t>255476587</t>
  </si>
  <si>
    <t>451396644</t>
  </si>
  <si>
    <t>256228937</t>
  </si>
  <si>
    <t>452412788</t>
  </si>
  <si>
    <t>MK|BR_CH|PSD_DT|CROSS_PB|FCBK_FM|CAR_RT|CPM_PD|CidadesdoFuturo_TG|NON_ST|NON_TS|NONE_SZ|1X1_AD|CM1_IT|SOC_U1|GUARAPUAVA_U2|AzulEscuro</t>
  </si>
  <si>
    <t>255476575</t>
  </si>
  <si>
    <t>451396671</t>
  </si>
  <si>
    <t>256228946</t>
  </si>
  <si>
    <t>452412779</t>
  </si>
  <si>
    <t>MK|BR_CH|PSD_DT|CROSS_PB|FCBK_FM|CAR_RT|CPM_PD|CidadesdoFuturo_TG|NON_ST|NON_TS|NONE_SZ|1X1_AD|CM1_IT|SOC_U1|IMPERATRIZ_U2|AzulEscuro</t>
  </si>
  <si>
    <t>255476563</t>
  </si>
  <si>
    <t>451396695</t>
  </si>
  <si>
    <t>256228955</t>
  </si>
  <si>
    <t>452412773</t>
  </si>
  <si>
    <t>256228958</t>
  </si>
  <si>
    <t>452412770</t>
  </si>
  <si>
    <t>MK|BR_CH|PSD_DT|CROSS_PB|FCBK_FM|CAR_RT|CPM_PD|CidadesdoFuturo_TG|NON_ST|NON_TS|NONE_SZ|1X1_AD|CM1_IT|SOC_U1|ITABIRA_U2|AzulEscuro</t>
  </si>
  <si>
    <t>255476551</t>
  </si>
  <si>
    <t>451396722</t>
  </si>
  <si>
    <t>256228964</t>
  </si>
  <si>
    <t>452412764</t>
  </si>
  <si>
    <t>256228967</t>
  </si>
  <si>
    <t>452412761</t>
  </si>
  <si>
    <t>MK|BR_CH|PSD_DT|CROSS_PB|FCBK_FM|CAR_RT|CPM_PD|CidadesdoFuturo_TG|NON_ST|NON_TS|NONE_SZ|1X1_AD|CM1_IT|SOC_U1|ITAPETINIGA_U2|AzulEscuro</t>
  </si>
  <si>
    <t>256228979</t>
  </si>
  <si>
    <t>452412752</t>
  </si>
  <si>
    <t>MK|BR_CH|PSD_DT|CROSS_PB|FCBK_FM|CAR_RT|CPM_PD|CidadesdoFuturo_TG|NON_ST|NON_TS|NONE_SZ|1X1_AD|CM1_IT|SOC_U1|ITAPETININGA_U2|AzulEscuro</t>
  </si>
  <si>
    <t>255476539</t>
  </si>
  <si>
    <t>451396746</t>
  </si>
  <si>
    <t>MK|BR_CH|PSD_DT|CROSS_PB|FCBK_FM|CAR_RT|CPM_PD|CidadesdoFuturo_TG|NON_ST|NON_TS|NONE_SZ|1X1_AD|CM1_IT|SOC_U1|ITUMBIARA_U2|AzulEscuro</t>
  </si>
  <si>
    <t>255476527</t>
  </si>
  <si>
    <t>451396773</t>
  </si>
  <si>
    <t>256228985</t>
  </si>
  <si>
    <t>452412746</t>
  </si>
  <si>
    <t>MK|BR_CH|PSD_DT|CROSS_PB|FCBK_FM|CAR_RT|CPM_PD|CidadesdoFuturo_TG|NON_ST|NON_TS|NONE_SZ|1X1_AD|CM1_IT|SOC_U1|JAU_U2|AzulEscuro</t>
  </si>
  <si>
    <t>255476515</t>
  </si>
  <si>
    <t>451396797</t>
  </si>
  <si>
    <t>256228994</t>
  </si>
  <si>
    <t>452412740</t>
  </si>
  <si>
    <t>MK|BR_CH|PSD_DT|CROSS_PB|FCBK_FM|CAR_RT|CPM_PD|CidadesdoFuturo_TG|NON_ST|NON_TS|NONE_SZ|1X1_AD|CM1_IT|SOC_U1|JUAZEIRODONORTE_U2|AzulEscuro</t>
  </si>
  <si>
    <t>256228997</t>
  </si>
  <si>
    <t>452412737</t>
  </si>
  <si>
    <t>256229006</t>
  </si>
  <si>
    <t>452412728</t>
  </si>
  <si>
    <t>256229009</t>
  </si>
  <si>
    <t>452412725</t>
  </si>
  <si>
    <t>256229018</t>
  </si>
  <si>
    <t>452412719</t>
  </si>
  <si>
    <t>MK|BR_CH|PSD_DT|CROSS_PB|FCBK_FM|CAR_RT|CPM_PD|CidadesdoFuturo_TG|NON_ST|NON_TS|NONE_SZ|1X1_AD|CM1_IT|SOC_U1|JUIZDEFORA_U2|AzulEscuro</t>
  </si>
  <si>
    <t>255471055</t>
  </si>
  <si>
    <t>451397556</t>
  </si>
  <si>
    <t>MK|BR_CH|PSD_DT|CROSS_PB|FCBK_FM|CAR_RT|CPM_PD|CidadesdoFuturo_TG|NON_ST|NON_TS|NONE_SZ|1X1_AD|CM1_IT|SOC_U1|LINHARES_U2|AzulEscuro</t>
  </si>
  <si>
    <t>256229024</t>
  </si>
  <si>
    <t>452412713</t>
  </si>
  <si>
    <t>256229027</t>
  </si>
  <si>
    <t>452412710</t>
  </si>
  <si>
    <t>256229033</t>
  </si>
  <si>
    <t>452412707</t>
  </si>
  <si>
    <t>MK|BR_CH|PSD_DT|CROSS_PB|FCBK_FM|CAR_RT|CPM_PD|CidadesdoFuturo_TG|NON_ST|NON_TS|NONE_SZ|1X1_AD|CM1_IT|SOC_U1|LUZIANIA_U2|AzulEscuro</t>
  </si>
  <si>
    <t>256229039</t>
  </si>
  <si>
    <t>452412701</t>
  </si>
  <si>
    <t>MK|BR_CH|PSD_DT|CROSS_PB|FCBK_FM|CAR_RT|CPM_PD|CidadesdoFuturo_TG|NON_ST|NON_TS|NONE_SZ|1X1_AD|CM1_IT|SOC_U1|MACAPA_U2|AzulEscuro</t>
  </si>
  <si>
    <t>256229051</t>
  </si>
  <si>
    <t>452412692</t>
  </si>
  <si>
    <t>MK|BR_CH|PSD_DT|CROSS_PB|FCBK_FM|CAR_RT|CPM_PD|CidadesdoFuturo_TG|NON_ST|NON_TS|NONE_SZ|1X1_AD|CM1_IT|SOC_U1|MACEIO_U2|AzulEscuro</t>
  </si>
  <si>
    <t>255471043</t>
  </si>
  <si>
    <t>451397568</t>
  </si>
  <si>
    <t>256229063</t>
  </si>
  <si>
    <t>452412680</t>
  </si>
  <si>
    <t>MK|BR_CH|PSD_DT|CROSS_PB|FCBK_FM|CAR_RT|CPM_PD|CidadesdoFuturo_TG|NON_ST|NON_TS|NONE_SZ|1X1_AD|CM1_IT|SOC_U1|MANAUS_U2|AzulEscuro</t>
  </si>
  <si>
    <t>255471031</t>
  </si>
  <si>
    <t>451397580</t>
  </si>
  <si>
    <t>256229069</t>
  </si>
  <si>
    <t>452412677</t>
  </si>
  <si>
    <t>MK|BR_CH|PSD_DT|CROSS_PB|FCBK_FM|CAR_RT|CPM_PD|CidadesdoFuturo_TG|NON_ST|NON_TS|NONE_SZ|1X1_AD|CM1_IT|SOC_U1|MARABA_U2|AzulEscuro</t>
  </si>
  <si>
    <t>256229081</t>
  </si>
  <si>
    <t>452412665</t>
  </si>
  <si>
    <t>MK|BR_CH|PSD_DT|CROSS_PB|FCBK_FM|CAR_RT|CPM_PD|CidadesdoFuturo_TG|NON_ST|NON_TS|NONE_SZ|1X1_AD|CM1_IT|SOC_U1|MARINGA_U2|AzulEscuro</t>
  </si>
  <si>
    <t>256229096</t>
  </si>
  <si>
    <t>452412653</t>
  </si>
  <si>
    <t>MK|BR_CH|PSD_DT|CROSS_PB|FCBK_FM|CAR_RT|CPM_PD|CidadesdoFuturo_TG|NON_ST|NON_TS|NONE_SZ|1X1_AD|CM1_IT|SOC_U1|MOGIGUAÇU_U2|AzulEscuro</t>
  </si>
  <si>
    <t>255476431</t>
  </si>
  <si>
    <t>451493242</t>
  </si>
  <si>
    <t>256229108</t>
  </si>
  <si>
    <t>452412644</t>
  </si>
  <si>
    <t>MK|BR_CH|PSD_DT|CROSS_PB|FCBK_FM|CAR_RT|CPM_PD|CidadesdoFuturo_TG|NON_ST|NON_TS|NONE_SZ|1X1_AD|CM1_IT|SOC_U1|MONTESCLAROS_U2|AzulEscuro</t>
  </si>
  <si>
    <t>255476419</t>
  </si>
  <si>
    <t>451493269</t>
  </si>
  <si>
    <t>MK|BR_CH|PSD_DT|CROSS_PB|FCBK_FM|CAR_RT|CPM_PD|CidadesdoFuturo_TG|NON_ST|NON_TS|NONE_SZ|1X1_AD|CM1_IT|SOC_U1|MOSSORO_U2|AzulEscuro</t>
  </si>
  <si>
    <t>255476407</t>
  </si>
  <si>
    <t>451493293</t>
  </si>
  <si>
    <t>MK|BR_CH|PSD_DT|CROSS_PB|FCBK_FM|CAR_RT|CPM_PD|CidadesdoFuturo_TG|NON_ST|NON_TS|NONE_SZ|1X1_AD|CM1_IT|SOC_U1|NOVAFRIBURGO_U2|AzulEscuro</t>
  </si>
  <si>
    <t>255476395</t>
  </si>
  <si>
    <t>451493320</t>
  </si>
  <si>
    <t>256229111</t>
  </si>
  <si>
    <t>452412641</t>
  </si>
  <si>
    <t>256520329</t>
  </si>
  <si>
    <t>452412626</t>
  </si>
  <si>
    <t>MK|BR_CH|PSD_DT|CROSS_PB|FCBK_FM|CAR_RT|CPM_PD|CidadesdoFuturo_TG|NON_ST|NON_TS|NONE_SZ|1X1_AD|CM1_IT|SOC_U1|PARANAGUA_U2|AzulEscuro</t>
  </si>
  <si>
    <t>255476383</t>
  </si>
  <si>
    <t>451493347</t>
  </si>
  <si>
    <t>256520335</t>
  </si>
  <si>
    <t>452412620</t>
  </si>
  <si>
    <t>MK|BR_CH|PSD_DT|CROSS_PB|FCBK_FM|CAR_RT|CPM_PD|CidadesdoFuturo_TG|NON_ST|NON_TS|NONE_SZ|1X1_AD|CM1_IT|SOC_U1|PARAUAPEBAS_U2|AzulEscuro</t>
  </si>
  <si>
    <t>255476371</t>
  </si>
  <si>
    <t>451493371</t>
  </si>
  <si>
    <t>256520341</t>
  </si>
  <si>
    <t>452412617</t>
  </si>
  <si>
    <t>MK|BR_CH|PSD_DT|CROSS_PB|FCBK_FM|CAR_RT|CPM_PD|CidadesdoFuturo_TG|NON_ST|NON_TS|NONE_SZ|1X1_AD|CM1_IT|SOC_U1|PATOSDEMINAS_U2|AzulEscuro</t>
  </si>
  <si>
    <t>256520350</t>
  </si>
  <si>
    <t>452412608</t>
  </si>
  <si>
    <t>MK|BR_CH|PSD_DT|CROSS_PB|FCBK_FM|CAR_RT|CPM_PD|CidadesdoFuturo_TG|NON_ST|NON_TS|NONE_SZ|1X1_AD|CM1_IT|SOC_U1|PELOTAS_U2|AzulEscuro</t>
  </si>
  <si>
    <t>256520359</t>
  </si>
  <si>
    <t>452412602</t>
  </si>
  <si>
    <t>MK|BR_CH|PSD_DT|CROSS_PB|FCBK_FM|CAR_RT|CPM_PD|CidadesdoFuturo_TG|NON_ST|NON_TS|NONE_SZ|1X1_AD|CM1_IT|SOC_U1|PETROLINA_U2|AzulEscuro</t>
  </si>
  <si>
    <t>255476335</t>
  </si>
  <si>
    <t>451397181</t>
  </si>
  <si>
    <t>256520371</t>
  </si>
  <si>
    <t>452412590</t>
  </si>
  <si>
    <t>256520383</t>
  </si>
  <si>
    <t>452412581</t>
  </si>
  <si>
    <t>MK|BR_CH|PSD_DT|CROSS_PB|FCBK_FM|CAR_RT|CPM_PD|CidadesdoFuturo_TG|NON_ST|NON_TS|NONE_SZ|1X1_AD|CM1_IT|SOC_U1|PETROPOLIS_U2|AzulEscuro</t>
  </si>
  <si>
    <t>256520389</t>
  </si>
  <si>
    <t>452412575</t>
  </si>
  <si>
    <t>256520395</t>
  </si>
  <si>
    <t>452412572</t>
  </si>
  <si>
    <t>256520401</t>
  </si>
  <si>
    <t>452412566</t>
  </si>
  <si>
    <t>MK|BR_CH|PSD_DT|CROSS_PB|FCBK_FM|CAR_RT|CPM_PD|CidadesdoFuturo_TG|NON_ST|NON_TS|NONE_SZ|1X1_AD|CM1_IT|SOC_U1|POCOSDECALDAS_U2|AzulEscuro</t>
  </si>
  <si>
    <t>256520404</t>
  </si>
  <si>
    <t>452412563</t>
  </si>
  <si>
    <t>MK|BR_CH|PSD_DT|CROSS_PB|FCBK_FM|CAR_RT|CPM_PD|CidadesdoFuturo_TG|NON_ST|NON_TS|NONE_SZ|1X1_AD|CM1_IT|SOC_U1|RIOCLARO_U2|AzulEscuro</t>
  </si>
  <si>
    <t>256520413</t>
  </si>
  <si>
    <t>452412557</t>
  </si>
  <si>
    <t>MK|BR_CH|PSD_DT|CROSS_PB|FCBK_FM|CAR_RT|CPM_PD|CidadesdoFuturo_TG|NON_ST|NON_TS|NONE_SZ|1X1_AD|CM1_IT|SOC_U1|RIOVERDE_U2|AzulEscuro</t>
  </si>
  <si>
    <t>256520419</t>
  </si>
  <si>
    <t>452412551</t>
  </si>
  <si>
    <t>256520431</t>
  </si>
  <si>
    <t>452412542</t>
  </si>
  <si>
    <t>256520437</t>
  </si>
  <si>
    <t>452412536</t>
  </si>
  <si>
    <t>MK|BR_CH|PSD_DT|CROSS_PB|FCBK_FM|CAR_RT|CPM_PD|CidadesdoFuturo_TG|NON_ST|NON_TS|NONE_SZ|1X1_AD|CM1_IT|SOC_U1|SANTACRUZDOSUL_U2|AzulEscuro</t>
  </si>
  <si>
    <t>256520449</t>
  </si>
  <si>
    <t>452412527</t>
  </si>
  <si>
    <t>MK|BR_CH|PSD_DT|CROSS_PB|FCBK_FM|CAR_RT|CPM_PD|CidadesdoFuturo_TG|NON_ST|NON_TS|NONE_SZ|1X1_AD|CM1_IT|SOC_U1|SAOLUIS_U2|AzulEscuro</t>
  </si>
  <si>
    <t>256520452</t>
  </si>
  <si>
    <t>452411624</t>
  </si>
  <si>
    <t>256520455</t>
  </si>
  <si>
    <t>452411621</t>
  </si>
  <si>
    <t>MK|BR_CH|PSD_DT|CROSS_PB|FCBK_FM|CAR_RT|CPM_PD|CidadesdoFuturo_TG|NON_ST|NON_TS|NONE_SZ|1X1_AD|CM1_IT|SOC_U1|SAOLUIZ_U2|AzulEscuro</t>
  </si>
  <si>
    <t>255471019</t>
  </si>
  <si>
    <t>451397592</t>
  </si>
  <si>
    <t>MK|BR_CH|PSD_DT|CROSS_PB|FCBK_FM|CAR_RT|CPM_PD|CidadesdoFuturo_TG|NON_ST|NON_TS|NONE_SZ|1X1_AD|CM1_IT|SOC_U1|SAOMATEUS_U2|AzulEscuro</t>
  </si>
  <si>
    <t>256520461</t>
  </si>
  <si>
    <t>452411615</t>
  </si>
  <si>
    <t>MK|BR_CH|PSD_DT|CROSS_PB|FCBK_FM|CAR_RT|CPM_PD|CidadesdoFuturo_TG|NON_ST|NON_TS|NONE_SZ|1X1_AD|CM1_IT|SOC_U1|SETELAGOAS_U2|AzulEscuro</t>
  </si>
  <si>
    <t>256520473</t>
  </si>
  <si>
    <t>452411606</t>
  </si>
  <si>
    <t>256520476</t>
  </si>
  <si>
    <t>452411603</t>
  </si>
  <si>
    <t>MK|BR_CH|PSD_DT|CROSS_PB|FCBK_FM|CAR_RT|CPM_PD|CidadesdoFuturo_TG|NON_ST|NON_TS|NONE_SZ|1X1_AD|CM1_IT|SOC_U1|TEOFILOOTONI_U2|AzulEscuro</t>
  </si>
  <si>
    <t>255471139</t>
  </si>
  <si>
    <t>451397385</t>
  </si>
  <si>
    <t>MK|BR_CH|PSD_DT|CROSS_PB|FCBK_FM|CAR_RT|CPM_PD|CidadesdoFuturo_TG|NON_ST|NON_TS|NONE_SZ|1X1_AD|CM1_IT|SOC_U1|TERESINA_U2|AzulEscuro</t>
  </si>
  <si>
    <t>255471007</t>
  </si>
  <si>
    <t>451397604</t>
  </si>
  <si>
    <t>256520488</t>
  </si>
  <si>
    <t>452411594</t>
  </si>
  <si>
    <t>256520491</t>
  </si>
  <si>
    <t>452411591</t>
  </si>
  <si>
    <t>MK|BR_CH|PSD_DT|CROSS_PB|FCBK_FM|CAR_RT|CPM_PD|CidadesdoFuturo_TG|NON_ST|NON_TS|NONE_SZ|1X1_AD|CM1_IT|SOC_U1|TOLEDO_U2|AzulEscuro</t>
  </si>
  <si>
    <t>255471115</t>
  </si>
  <si>
    <t>451397436</t>
  </si>
  <si>
    <t>MK|BR_CH|PSD_DT|CROSS_PB|FCBK_FM|CAR_RT|CPM_PD|CidadesdoFuturo_TG|NON_ST|NON_TS|NONE_SZ|1X1_AD|CM1_IT|SOC_U1|URUGUAIANA_U2|AzulEscuro</t>
  </si>
  <si>
    <t>255471103</t>
  </si>
  <si>
    <t>451397460</t>
  </si>
  <si>
    <t>256520515</t>
  </si>
  <si>
    <t>452411570</t>
  </si>
  <si>
    <t>256520518</t>
  </si>
  <si>
    <t>452411567</t>
  </si>
  <si>
    <t>MK|BR_CH|PSD_DT|CROSS_PB|FCBK_FM|CAR_RT|CPM_PD|CidadesdoFuturo_TG|NON_ST|NON_TS|NONE_SZ|1X1_AD|CM1_IT|SOC_U1|VITORIADACONQUISTA_U2|AzulEscuro</t>
  </si>
  <si>
    <t>255471091</t>
  </si>
  <si>
    <t>451397487</t>
  </si>
  <si>
    <t>MK|BR_CH|PSD_DT|CROSS_PB|FCBK_FM|CAR_RT|CPM_PD|CompraFora_TG|NON_ST|NON_TS|NONE_SZ|1X1_AD|CM1_IT|SOC_U1|FASHION</t>
  </si>
  <si>
    <t>MK|BR_CH|PSD_DT|CROSS_PB|FCBK_FM|CAR_RT|CPM_PD|CompraFora_TG|NON_ST|NON_TS|NONE_SZ|1X1_AD|CM1_IT|SOC_U1|GAMER</t>
  </si>
  <si>
    <t>MK|BR_CH|PSD_DT|CROSS_PB|FCBK_FM|CAR_RT|CPM_PD|CrossBorder_TG|NON_ST|NON_TS|NONE_SZ|1X1_AD|CM1_IT|SOC_U1|CASHBACK_U2|DNA_U3|VIAJANTE</t>
  </si>
  <si>
    <t>MK|BR_CH|PSD_DT|CROSS_PB|FCBK_FM|GIF_RT|CPM_PD|CidadesdoFuturo_TG|NON_ST|NON_TS|NONE_SZ|1X1_AD|CM1_IT|SOC_U1|ANAPOLIS_U2|AzulEscuro</t>
  </si>
  <si>
    <t>255146072</t>
  </si>
  <si>
    <t>451451573</t>
  </si>
  <si>
    <t>256224065</t>
  </si>
  <si>
    <t>452369835</t>
  </si>
  <si>
    <t>MK|BR_CH|PSD_DT|CROSS_PB|FCBK_FM|GIF_RT|CPM_PD|CidadesdoFuturo_TG|NON_ST|NON_TS|NONE_SZ|1X1_AD|CM1_IT|SOC_U1|ANGRADOSREIS_U2|AzulEscuro</t>
  </si>
  <si>
    <t>255146060</t>
  </si>
  <si>
    <t>451451597</t>
  </si>
  <si>
    <t>MK|BR_CH|PSD_DT|CROSS_PB|FCBK_FM|GIF_RT|CPM_PD|CidadesdoFuturo_TG|NON_ST|NON_TS|NONE_SZ|1X1_AD|CM1_IT|SOC_U1|APUCARANA_U2|AzulEscuro</t>
  </si>
  <si>
    <t>255146048</t>
  </si>
  <si>
    <t>451491286</t>
  </si>
  <si>
    <t>256224077</t>
  </si>
  <si>
    <t>452369823</t>
  </si>
  <si>
    <t>MK|BR_CH|PSD_DT|CROSS_PB|FCBK_FM|GIF_RT|CPM_PD|CidadesdoFuturo_TG|NON_ST|NON_TS|NONE_SZ|1X1_AD|CM1_IT|SOC_U1|ARAGUAINA_U2|AzulEscuro</t>
  </si>
  <si>
    <t>255146036</t>
  </si>
  <si>
    <t>451491310</t>
  </si>
  <si>
    <t>256224083</t>
  </si>
  <si>
    <t>452369817</t>
  </si>
  <si>
    <t>MK|BR_CH|PSD_DT|CROSS_PB|FCBK_FM|GIF_RT|CPM_PD|CidadesdoFuturo_TG|NON_ST|NON_TS|NONE_SZ|1X1_AD|CM1_IT|SOC_U1|ARARAS_U2|AzulEscuro</t>
  </si>
  <si>
    <t>255146024</t>
  </si>
  <si>
    <t>451491337</t>
  </si>
  <si>
    <t>MK|BR_CH|PSD_DT|CROSS_PB|FCBK_FM|GIF_RT|CPM_PD|CidadesdoFuturo_TG|NON_ST|NON_TS|NONE_SZ|1X1_AD|CM1_IT|SOC_U1|BARRETOS_U2|AzulEscuro</t>
  </si>
  <si>
    <t>255146012</t>
  </si>
  <si>
    <t>451491361</t>
  </si>
  <si>
    <t>256224095</t>
  </si>
  <si>
    <t>452369805</t>
  </si>
  <si>
    <t>MK|BR_CH|PSD_DT|CROSS_PB|FCBK_FM|GIF_RT|CPM_PD|CidadesdoFuturo_TG|NON_ST|NON_TS|NONE_SZ|1X1_AD|CM1_IT|SOC_U1|BELEM_U2|AzulEscuro</t>
  </si>
  <si>
    <t>255471076</t>
  </si>
  <si>
    <t>451397517</t>
  </si>
  <si>
    <t>MK|BR_CH|PSD_DT|CROSS_PB|FCBK_FM|GIF_RT|CPM_PD|CidadesdoFuturo_TG|NON_ST|NON_TS|NONE_SZ|1X1_AD|CM1_IT|SOC_U1|BOAVISTA_U2|AzulEscuro</t>
  </si>
  <si>
    <t>255146000</t>
  </si>
  <si>
    <t>451491388</t>
  </si>
  <si>
    <t>256224101</t>
  </si>
  <si>
    <t>452369799</t>
  </si>
  <si>
    <t>MK|BR_CH|PSD_DT|CROSS_PB|FCBK_FM|GIF_RT|CPM_PD|CidadesdoFuturo_TG|NON_ST|NON_TS|NONE_SZ|1X1_AD|CM1_IT|SOC_U1|BRUSQUE_U2|AzulEscuro</t>
  </si>
  <si>
    <t>255145988</t>
  </si>
  <si>
    <t>451491412</t>
  </si>
  <si>
    <t>256224107</t>
  </si>
  <si>
    <t>452369793</t>
  </si>
  <si>
    <t>MK|BR_CH|PSD_DT|CROSS_PB|FCBK_FM|GIF_RT|CPM_PD|CidadesdoFuturo_TG|NON_ST|NON_TS|NONE_SZ|1X1_AD|CM1_IT|SOC_U1|CABOFRIO_U2|AzulEscuro</t>
  </si>
  <si>
    <t>255145976</t>
  </si>
  <si>
    <t>451491439</t>
  </si>
  <si>
    <t>MK|BR_CH|PSD_DT|CROSS_PB|FCBK_FM|GIF_RT|CPM_PD|CidadesdoFuturo_TG|NON_ST|NON_TS|NONE_SZ|1X1_AD|CM1_IT|SOC_U1|CACHOEIRODEITAPEMIRIM_U2|AzulEscuro</t>
  </si>
  <si>
    <t>255145964</t>
  </si>
  <si>
    <t>451491463</t>
  </si>
  <si>
    <t>256224119</t>
  </si>
  <si>
    <t>452369781</t>
  </si>
  <si>
    <t>MK|BR_CH|PSD_DT|CROSS_PB|FCBK_FM|GIF_RT|CPM_PD|CidadesdoFuturo_TG|NON_ST|NON_TS|NONE_SZ|1X1_AD|CM1_IT|SOC_U1|CAMPINAGRANDE_U2|AzulEscuro</t>
  </si>
  <si>
    <t>255145952</t>
  </si>
  <si>
    <t>451491490</t>
  </si>
  <si>
    <t>256224125</t>
  </si>
  <si>
    <t>452369775</t>
  </si>
  <si>
    <t>256224131</t>
  </si>
  <si>
    <t>452369769</t>
  </si>
  <si>
    <t>MK|BR_CH|PSD_DT|CROSS_PB|FCBK_FM|GIF_RT|CPM_PD|CidadesdoFuturo_TG|NON_ST|NON_TS|NONE_SZ|1X1_AD|CM1_IT|SOC_U1|CAMPOSDOSGOYTACAZES_U2|AzulEscuro</t>
  </si>
  <si>
    <t>255145940</t>
  </si>
  <si>
    <t>451491514</t>
  </si>
  <si>
    <t>256224137</t>
  </si>
  <si>
    <t>452369763</t>
  </si>
  <si>
    <t>MK|BR_CH|PSD_DT|CROSS_PB|FCBK_FM|GIF_RT|CPM_PD|CidadesdoFuturo_TG|NON_ST|NON_TS|NONE_SZ|1X1_AD|CM1_IT|SOC_U1|CARUARU_U2|AzulEscuro</t>
  </si>
  <si>
    <t>255145928</t>
  </si>
  <si>
    <t>451491541</t>
  </si>
  <si>
    <t>256224143</t>
  </si>
  <si>
    <t>452369757</t>
  </si>
  <si>
    <t>MK|BR_CH|PSD_DT|CROSS_PB|FCBK_FM|GIF_RT|CPM_PD|CidadesdoFuturo_TG|NON_ST|NON_TS|NONE_SZ|1X1_AD|CM1_IT|SOC_U1|CASCAVEL_U2|AzulEscuro</t>
  </si>
  <si>
    <t>255145904</t>
  </si>
  <si>
    <t>451396524</t>
  </si>
  <si>
    <t>255145916</t>
  </si>
  <si>
    <t>451491565</t>
  </si>
  <si>
    <t>MK|BR_CH|PSD_DT|CROSS_PB|FCBK_FM|GIF_RT|CPM_PD|CidadesdoFuturo_TG|NON_ST|NON_TS|NONE_SZ|1X1_AD|CM1_IT|SOC_U1|CATANDUVA_U2|AzulEscuro</t>
  </si>
  <si>
    <t>255145892</t>
  </si>
  <si>
    <t>451396548</t>
  </si>
  <si>
    <t>MK|BR_CH|PSD_DT|CROSS_PB|FCBK_FM|GIF_RT|CPM_PD|CidadesdoFuturo_TG|NON_ST|NON_TS|NONE_SZ|1X1_AD|CM1_IT|SOC_U1|COLATINA_U2|AzulEscuro</t>
  </si>
  <si>
    <t>256224161</t>
  </si>
  <si>
    <t>452369739</t>
  </si>
  <si>
    <t>MK|BR_CH|PSD_DT|CROSS_PB|FCBK_FM|GIF_RT|CPM_PD|CidadesdoFuturo_TG|NON_ST|NON_TS|NONE_SZ|1X1_AD|CM1_IT|SOC_U1|CONSELHEIROLAFAIETE_U2|AzulEscuro</t>
  </si>
  <si>
    <t>255476620</t>
  </si>
  <si>
    <t>451396575</t>
  </si>
  <si>
    <t>MK|BR_CH|PSD_DT|CROSS_PB|FCBK_FM|GIF_RT|CPM_PD|CidadesdoFuturo_TG|NON_ST|NON_TS|NONE_SZ|1X1_AD|CM1_IT|SOC_U1|CORUMBA_U2|AzulEscuro</t>
  </si>
  <si>
    <t>255476608</t>
  </si>
  <si>
    <t>451396599</t>
  </si>
  <si>
    <t>MK|BR_CH|PSD_DT|CROSS_PB|FCBK_FM|GIF_RT|CPM_PD|CidadesdoFuturo_TG|NON_ST|NON_TS|NONE_SZ|1X1_AD|CM1_IT|SOC_U1|DIVINOPOLIS_U2|AzulEscuro</t>
  </si>
  <si>
    <t>255476596</t>
  </si>
  <si>
    <t>451396626</t>
  </si>
  <si>
    <t>MK|BR_CH|PSD_DT|CROSS_PB|FCBK_FM|GIF_RT|CPM_PD|CidadesdoFuturo_TG|NON_ST|NON_TS|NONE_SZ|1X1_AD|CM1_IT|SOC_U1|FEIRADESANTANA_U2|AzulEscuro</t>
  </si>
  <si>
    <t>255471064</t>
  </si>
  <si>
    <t>451397544</t>
  </si>
  <si>
    <t>256665399</t>
  </si>
  <si>
    <t>452475205</t>
  </si>
  <si>
    <t>MK|BR_CH|PSD_DT|CROSS_PB|FCBK_FM|GIF_RT|CPM_PD|CidadesdoFuturo_TG|NON_ST|NON_TS|NONE_SZ|1X1_AD|CM1_IT|SOC_U1|GOVERNADORVALADARES_U2|AzulEscuro</t>
  </si>
  <si>
    <t>255476581</t>
  </si>
  <si>
    <t>451396656</t>
  </si>
  <si>
    <t>255476584</t>
  </si>
  <si>
    <t>451396650</t>
  </si>
  <si>
    <t>MK|BR_CH|PSD_DT|CROSS_PB|FCBK_FM|GIF_RT|CPM_PD|CidadesdoFuturo_TG|NON_ST|NON_TS|NONE_SZ|1X1_AD|CM1_IT|SOC_U1|GUARAPUAVA_U2|AzulEscuro</t>
  </si>
  <si>
    <t>255476572</t>
  </si>
  <si>
    <t>451396677</t>
  </si>
  <si>
    <t>MK|BR_CH|PSD_DT|CROSS_PB|FCBK_FM|GIF_RT|CPM_PD|CidadesdoFuturo_TG|NON_ST|NON_TS|NONE_SZ|1X1_AD|CM1_IT|SOC_U1|IMPERATRIZ_U2|AzulEscuro</t>
  </si>
  <si>
    <t>255476560</t>
  </si>
  <si>
    <t>451396701</t>
  </si>
  <si>
    <t>MK|BR_CH|PSD_DT|CROSS_PB|FCBK_FM|GIF_RT|CPM_PD|CidadesdoFuturo_TG|NON_ST|NON_TS|NONE_SZ|1X1_AD|CM1_IT|SOC_U1|ITABIARA_U2|AzulEscuro</t>
  </si>
  <si>
    <t>255476548</t>
  </si>
  <si>
    <t>451396728</t>
  </si>
  <si>
    <t>MK|BR_CH|PSD_DT|CROSS_PB|FCBK_FM|GIF_RT|CPM_PD|CidadesdoFuturo_TG|NON_ST|NON_TS|NONE_SZ|1X1_AD|CM1_IT|SOC_U1|ITAPETINIGA_U2|AzulEscuro</t>
  </si>
  <si>
    <t>255476536</t>
  </si>
  <si>
    <t>451396752</t>
  </si>
  <si>
    <t>MK|BR_CH|PSD_DT|CROSS_PB|FCBK_FM|GIF_RT|CPM_PD|CidadesdoFuturo_TG|NON_ST|NON_TS|NONE_SZ|1X1_AD|CM1_IT|SOC_U1|ITUMBIARA_U2|AzulEscuro</t>
  </si>
  <si>
    <t>255476524</t>
  </si>
  <si>
    <t>451396779</t>
  </si>
  <si>
    <t>MK|BR_CH|PSD_DT|CROSS_PB|FCBK_FM|GIF_RT|CPM_PD|CidadesdoFuturo_TG|NON_ST|NON_TS|NONE_SZ|1X1_AD|CM1_IT|SOC_U1|JAU_U2|AzulEscuro</t>
  </si>
  <si>
    <t>255476512</t>
  </si>
  <si>
    <t>451396806</t>
  </si>
  <si>
    <t>256224218</t>
  </si>
  <si>
    <t>452369682</t>
  </si>
  <si>
    <t>MK|BR_CH|PSD_DT|CROSS_PB|FCBK_FM|GIF_RT|CPM_PD|CidadesdoFuturo_TG|NON_ST|NON_TS|NONE_SZ|1X1_AD|CM1_IT|SOC_U1|JUAZEIRODONORTE_U2|AzulEscuro</t>
  </si>
  <si>
    <t>255476500</t>
  </si>
  <si>
    <t>451493098</t>
  </si>
  <si>
    <t>255476503</t>
  </si>
  <si>
    <t>451493092</t>
  </si>
  <si>
    <t>MK|BR_CH|PSD_DT|CROSS_PB|FCBK_FM|GIF_RT|CPM_PD|CidadesdoFuturo_TG|NON_ST|NON_TS|NONE_SZ|1X1_AD|CM1_IT|SOC_U1|JUIZDEFORA_U2|AzulEscuro</t>
  </si>
  <si>
    <t>255471052</t>
  </si>
  <si>
    <t>451397559</t>
  </si>
  <si>
    <t>MK|BR_CH|PSD_DT|CROSS_PB|FCBK_FM|GIF_RT|CPM_PD|CidadesdoFuturo_TG|NON_ST|NON_TS|NONE_SZ|1X1_AD|CM1_IT|SOC_U1|LINHARES_U2|AzulEscuro</t>
  </si>
  <si>
    <t>255476488</t>
  </si>
  <si>
    <t>451493125</t>
  </si>
  <si>
    <t>255476491</t>
  </si>
  <si>
    <t>451493119</t>
  </si>
  <si>
    <t>256224230</t>
  </si>
  <si>
    <t>452369670</t>
  </si>
  <si>
    <t>MK|BR_CH|PSD_DT|CROSS_PB|FCBK_FM|GIF_RT|CPM_PD|CidadesdoFuturo_TG|NON_ST|NON_TS|NONE_SZ|1X1_AD|CM1_IT|SOC_U1|LUZIANIA_U2|AzulEscuro</t>
  </si>
  <si>
    <t>255476476</t>
  </si>
  <si>
    <t>451493149</t>
  </si>
  <si>
    <t>255476479</t>
  </si>
  <si>
    <t>451493143</t>
  </si>
  <si>
    <t>MK|BR_CH|PSD_DT|CROSS_PB|FCBK_FM|GIF_RT|CPM_PD|CidadesdoFuturo_TG|NON_ST|NON_TS|NONE_SZ|1X1_AD|CM1_IT|SOC_U1|MACAPA_U2|AzulEscuro</t>
  </si>
  <si>
    <t>255476464</t>
  </si>
  <si>
    <t>451493173</t>
  </si>
  <si>
    <t>255476467</t>
  </si>
  <si>
    <t>451493167</t>
  </si>
  <si>
    <t>MK|BR_CH|PSD_DT|CROSS_PB|FCBK_FM|GIF_RT|CPM_PD|CidadesdoFuturo_TG|NON_ST|NON_TS|NONE_SZ|1X1_AD|CM1_IT|SOC_U1|MACEIO_U2|AzulEscuro</t>
  </si>
  <si>
    <t>255471040</t>
  </si>
  <si>
    <t>451397571</t>
  </si>
  <si>
    <t>MK|BR_CH|PSD_DT|CROSS_PB|FCBK_FM|GIF_RT|CPM_PD|CidadesdoFuturo_TG|NON_ST|NON_TS|NONE_SZ|1X1_AD|CM1_IT|SOC_U1|MANAUS_U2|AzulEscuro</t>
  </si>
  <si>
    <t>255471028</t>
  </si>
  <si>
    <t>451397583</t>
  </si>
  <si>
    <t>MK|BR_CH|PSD_DT|CROSS_PB|FCBK_FM|GIF_RT|CPM_PD|CidadesdoFuturo_TG|NON_ST|NON_TS|NONE_SZ|1X1_AD|CM1_IT|SOC_U1|MARABA_U2|AzulEscuro</t>
  </si>
  <si>
    <t>255476452</t>
  </si>
  <si>
    <t>451493200</t>
  </si>
  <si>
    <t>255476455</t>
  </si>
  <si>
    <t>451493191</t>
  </si>
  <si>
    <t>256224248</t>
  </si>
  <si>
    <t>452369652</t>
  </si>
  <si>
    <t>MK|BR_CH|PSD_DT|CROSS_PB|FCBK_FM|GIF_RT|CPM_PD|CidadesdoFuturo_TG|NON_ST|NON_TS|NONE_SZ|1X1_AD|CM1_IT|SOC_U1|MARINGA_U2|AzulEscuro</t>
  </si>
  <si>
    <t>255476440</t>
  </si>
  <si>
    <t>451493224</t>
  </si>
  <si>
    <t>MK|BR_CH|PSD_DT|CROSS_PB|FCBK_FM|GIF_RT|CPM_PD|CidadesdoFuturo_TG|NON_ST|NON_TS|NONE_SZ|1X1_AD|CM1_IT|SOC_U1|MOGIGUAÇU_U2|AzulEscuro</t>
  </si>
  <si>
    <t>255476428</t>
  </si>
  <si>
    <t>451493248</t>
  </si>
  <si>
    <t>MK|BR_CH|PSD_DT|CROSS_PB|FCBK_FM|GIF_RT|CPM_PD|CidadesdoFuturo_TG|NON_ST|NON_TS|NONE_SZ|1X1_AD|CM1_IT|SOC_U1|MONTESCLAROS_U2|AzulEscuro</t>
  </si>
  <si>
    <t>255476416</t>
  </si>
  <si>
    <t>451493275</t>
  </si>
  <si>
    <t>MK|BR_CH|PSD_DT|CROSS_PB|FCBK_FM|GIF_RT|CPM_PD|CidadesdoFuturo_TG|NON_ST|NON_TS|NONE_SZ|1X1_AD|CM1_IT|SOC_U1|MOSSORO_U2|AzulEscuro</t>
  </si>
  <si>
    <t>255476404</t>
  </si>
  <si>
    <t>451493302</t>
  </si>
  <si>
    <t>MK|BR_CH|PSD_DT|CROSS_PB|FCBK_FM|GIF_RT|CPM_PD|CidadesdoFuturo_TG|NON_ST|NON_TS|NONE_SZ|1X1_AD|CM1_IT|SOC_U1|NOVAFRIBURGO_U2|AzulEscuro</t>
  </si>
  <si>
    <t>255476392</t>
  </si>
  <si>
    <t>451493326</t>
  </si>
  <si>
    <t>256224284</t>
  </si>
  <si>
    <t>452369622</t>
  </si>
  <si>
    <t>MK|BR_CH|PSD_DT|CROSS_PB|FCBK_FM|GIF_RT|CPM_PD|CidadesdoFuturo_TG|NON_ST|NON_TS|NONE_SZ|1X1_AD|CM1_IT|SOC_U1|PARANAGUA_U2|AzulEscuro</t>
  </si>
  <si>
    <t>255476380</t>
  </si>
  <si>
    <t>451493353</t>
  </si>
  <si>
    <t>MK|BR_CH|PSD_DT|CROSS_PB|FCBK_FM|GIF_RT|CPM_PD|CidadesdoFuturo_TG|NON_ST|NON_TS|NONE_SZ|1X1_AD|CM1_IT|SOC_U1|PARAUAPEBAS_U2|AzulEscuro</t>
  </si>
  <si>
    <t>255476368</t>
  </si>
  <si>
    <t>451397109</t>
  </si>
  <si>
    <t>MK|BR_CH|PSD_DT|CROSS_PB|FCBK_FM|GIF_RT|CPM_PD|CidadesdoFuturo_TG|NON_ST|NON_TS|NONE_SZ|1X1_AD|CM1_IT|SOC_U1|PATOSDEMINAS_U2|AzulEscuro</t>
  </si>
  <si>
    <t>255476356</t>
  </si>
  <si>
    <t>451397136</t>
  </si>
  <si>
    <t>255476359</t>
  </si>
  <si>
    <t>451397130</t>
  </si>
  <si>
    <t>MK|BR_CH|PSD_DT|CROSS_PB|FCBK_FM|GIF_RT|CPM_PD|CidadesdoFuturo_TG|NON_ST|NON_TS|NONE_SZ|1X1_AD|CM1_IT|SOC_U1|PELOTAS_U2|AzulEscuro</t>
  </si>
  <si>
    <t>255476347</t>
  </si>
  <si>
    <t>451397154</t>
  </si>
  <si>
    <t>MK|BR_CH|PSD_DT|CROSS_PB|FCBK_FM|GIF_RT|CPM_PD|CidadesdoFuturo_TG|NON_ST|NON_TS|NONE_SZ|1X1_AD|CM1_IT|SOC_U1|PETROLINA_U2|AzulEscuro</t>
  </si>
  <si>
    <t>255476332</t>
  </si>
  <si>
    <t>451397187</t>
  </si>
  <si>
    <t>256665276</t>
  </si>
  <si>
    <t>452475289</t>
  </si>
  <si>
    <t>MK|BR_CH|PSD_DT|CROSS_PB|FCBK_FM|GIF_RT|CPM_PD|CidadesdoFuturo_TG|NON_ST|NON_TS|NONE_SZ|1X1_AD|CM1_IT|SOC_U1|PETROPOLIS_U2|AzulEscuro</t>
  </si>
  <si>
    <t>255471220</t>
  </si>
  <si>
    <t>451397211</t>
  </si>
  <si>
    <t>255476323</t>
  </si>
  <si>
    <t>451397205</t>
  </si>
  <si>
    <t>MK|BR_CH|PSD_DT|CROSS_PB|FCBK_FM|GIF_RT|CPM_PD|CidadesdoFuturo_TG|NON_ST|NON_TS|NONE_SZ|1X1_AD|CM1_IT|SOC_U1|POCOSDECALDAS_U2|AzulEscuro</t>
  </si>
  <si>
    <t>256665294</t>
  </si>
  <si>
    <t>452475277</t>
  </si>
  <si>
    <t>MK|BR_CH|PSD_DT|CROSS_PB|FCBK_FM|GIF_RT|CPM_PD|CidadesdoFuturo_TG|NON_ST|NON_TS|NONE_SZ|1X1_AD|CM1_IT|SOC_U1|POÇOSDECALDAS_U2|AzulEscuro</t>
  </si>
  <si>
    <t>255471208</t>
  </si>
  <si>
    <t>451397238</t>
  </si>
  <si>
    <t>255471211</t>
  </si>
  <si>
    <t>451397232</t>
  </si>
  <si>
    <t>MK|BR_CH|PSD_DT|CROSS_PB|FCBK_FM|GIF_RT|CPM_PD|CidadesdoFuturo_TG|NON_ST|NON_TS|NONE_SZ|1X1_AD|CM1_IT|SOC_U1|RIOCLARO_U2|AzulEscuro</t>
  </si>
  <si>
    <t>255471193</t>
  </si>
  <si>
    <t>MK|BR_CH|PSD_DT|CROSS_PB|FCBK_FM|LNK_RT|CPM_PD|CidadesdoFuturo_TG|NON_ST|NON_TS|NONE_SZ|1X1_AD|CM1_IT|SOC_U1|RIOCLARO_U2|AzulEscuro</t>
  </si>
  <si>
    <t>451397268</t>
  </si>
  <si>
    <t>255471196</t>
  </si>
  <si>
    <t>451397262</t>
  </si>
  <si>
    <t>255471199</t>
  </si>
  <si>
    <t>451397256</t>
  </si>
  <si>
    <t>MK|BR_CH|PSD_DT|CROSS_PB|FCBK_FM|GIF_RT|CPM_PD|CidadesdoFuturo_TG|NON_ST|NON_TS|NONE_SZ|1X1_AD|CM1_IT|SOC_U1|RIOVERDE_U2|AzulEscuro</t>
  </si>
  <si>
    <t>255471184</t>
  </si>
  <si>
    <t>451397289</t>
  </si>
  <si>
    <t>255471187</t>
  </si>
  <si>
    <t>451397283</t>
  </si>
  <si>
    <t>256665312</t>
  </si>
  <si>
    <t>452475265</t>
  </si>
  <si>
    <t>MK|BR_CH|PSD_DT|CROSS_PB|FCBK_FM|GIF_RT|CPM_PD|CidadesdoFuturo_TG|NON_ST|NON_TS|NONE_SZ|1X1_AD|CM1_IT|SOC_U1|SANTACRUZDOSUL_U2|AzulEscuro</t>
  </si>
  <si>
    <t>255471172</t>
  </si>
  <si>
    <t>451397313</t>
  </si>
  <si>
    <t>255471175</t>
  </si>
  <si>
    <t>451397307</t>
  </si>
  <si>
    <t>256665321</t>
  </si>
  <si>
    <t>452475259</t>
  </si>
  <si>
    <t>MK|BR_CH|PSD_DT|CROSS_PB|FCBK_FM|GIF_RT|CPM_PD|CidadesdoFuturo_TG|NON_ST|NON_TS|NONE_SZ|1X1_AD|CM1_IT|SOC_U1|SAOLUIS_U2|AzulEscuro</t>
  </si>
  <si>
    <t>255471016</t>
  </si>
  <si>
    <t>451397595</t>
  </si>
  <si>
    <t>MK|BR_CH|PSD_DT|CROSS_PB|FCBK_FM|GIF_RT|CPM_PD|CidadesdoFuturo_TG|NON_ST|NON_TS|NONE_SZ|1X1_AD|CM1_IT|SOC_U1|SAOMATEUS_U2|AzulEscuro</t>
  </si>
  <si>
    <t>255471160</t>
  </si>
  <si>
    <t>451397340</t>
  </si>
  <si>
    <t>255471163</t>
  </si>
  <si>
    <t>451397334</t>
  </si>
  <si>
    <t>MK|BR_CH|PSD_DT|CROSS_PB|FCBK_FM|GIF_RT|CPM_PD|CidadesdoFuturo_TG|NON_ST|NON_TS|NONE_SZ|1X1_AD|CM1_IT|SOC_U1|SETELAGOAS_U2|AzulEscuro</t>
  </si>
  <si>
    <t>255471148</t>
  </si>
  <si>
    <t>451397364</t>
  </si>
  <si>
    <t>256665339</t>
  </si>
  <si>
    <t>452475247</t>
  </si>
  <si>
    <t>MK|BR_CH|PSD_DT|CROSS_PB|FCBK_FM|GIF_RT|CPM_PD|CidadesdoFuturo_TG|NON_ST|NON_TS|NONE_SZ|1X1_AD|CM1_IT|SOC_U1|TEOFILOOTONI_U2|AzulEscuro</t>
  </si>
  <si>
    <t>255471136</t>
  </si>
  <si>
    <t>451397391</t>
  </si>
  <si>
    <t>256665348</t>
  </si>
  <si>
    <t>452475241</t>
  </si>
  <si>
    <t>MK|BR_CH|PSD_DT|CROSS_PB|FCBK_FM|GIF_RT|CPM_PD|CidadesdoFuturo_TG|NON_ST|NON_TS|NONE_SZ|1X1_AD|CM1_IT|SOC_U1|TERESINA_U2|AzulEscuro</t>
  </si>
  <si>
    <t>255471004</t>
  </si>
  <si>
    <t>451397607</t>
  </si>
  <si>
    <t>MK|BR_CH|PSD_DT|CROSS_PB|FCBK_FM|GIF_RT|CPM_PD|CidadesdoFuturo_TG|NON_ST|NON_TS|NONE_SZ|1X1_AD|CM1_IT|SOC_U1|TOLEDO_U2|AzulEscuro</t>
  </si>
  <si>
    <t>255471112</t>
  </si>
  <si>
    <t>451397442</t>
  </si>
  <si>
    <t>MK|BR_CH|PSD_DT|CROSS_PB|FCBK_FM|GIF_RT|CPM_PD|CidadesdoFuturo_TG|NON_ST|NON_TS|NONE_SZ|1X1_AD|CM1_IT|SOC_U1|URUGUAIANA_U2|AzulEscuro</t>
  </si>
  <si>
    <t>255471100</t>
  </si>
  <si>
    <t>451397466</t>
  </si>
  <si>
    <t>MK|BR_CH|PSD_DT|CROSS_PB|FCBK_FM|GIF_RT|CPM_PD|CidadesdoFuturo_TG|NON_ST|NON_TS|NONE_SZ|1X1_AD|CM1_IT|SOC_U1|VITORIADACONQUISTA_U2|AzulEscuro</t>
  </si>
  <si>
    <t>255471088</t>
  </si>
  <si>
    <t>451397493</t>
  </si>
  <si>
    <t>MK|BR_CH|PSD_DT|CROSS_PB|FCBK_FM|GIF_RT|CPM_PD|CompraFora_TG|NON_ST|NON_TS|NONE_SZ|1X1_AD|CM1_IT|SOC_U1|PRATICIDADE_U2|GAMERS</t>
  </si>
  <si>
    <t>MK|BR_CH|PSD_DT|CROSS_PB|FCBK_FM|LNK_RT|CPM_PD|CidadesdoFuturo_TG|NON_ST|NON_TS|NONE_SZ|1X1_AD|CM1_IT|SOC_U1|ANAPOLIS_U2|AzulEscuro</t>
  </si>
  <si>
    <t>255146069</t>
  </si>
  <si>
    <t>451451579</t>
  </si>
  <si>
    <t>MK|BR_CH|PSD_DT|CROSS_PB|FCBK_FM|LNK_RT|CPM_PD|CidadesdoFuturo_TG|NON_ST|NON_TS|NONE_SZ|1X1_AD|CM1_IT|SOC_U1|ANGRADOSREIS_U2|AzulEscuro</t>
  </si>
  <si>
    <t>255146057</t>
  </si>
  <si>
    <t>451451603</t>
  </si>
  <si>
    <t>MK|BR_CH|PSD_DT|CROSS_PB|FCBK_FM|LNK_RT|CPM_PD|CidadesdoFuturo_TG|NON_ST|NON_TS|NONE_SZ|1X1_AD|CM1_IT|SOC_U1|APUCARANA_U2|AzulEscuro</t>
  </si>
  <si>
    <t>255146045</t>
  </si>
  <si>
    <t>451491292</t>
  </si>
  <si>
    <t>MK|BR_CH|PSD_DT|CROSS_PB|FCBK_FM|LNK_RT|CPM_PD|CidadesdoFuturo_TG|NON_ST|NON_TS|NONE_SZ|1X1_AD|CM1_IT|SOC_U1|ARAGUAINA_U2|AzulEscuro</t>
  </si>
  <si>
    <t>255146033</t>
  </si>
  <si>
    <t>451491316</t>
  </si>
  <si>
    <t>MK|BR_CH|PSD_DT|CROSS_PB|FCBK_FM|LNK_RT|CPM_PD|CidadesdoFuturo_TG|NON_ST|NON_TS|NONE_SZ|1X1_AD|CM1_IT|SOC_U1|ARARAS_U2|AzulEscuro</t>
  </si>
  <si>
    <t>255146021</t>
  </si>
  <si>
    <t>451491343</t>
  </si>
  <si>
    <t>MK|BR_CH|PSD_DT|CROSS_PB|FCBK_FM|LNK_RT|CPM_PD|CidadesdoFuturo_TG|NON_ST|NON_TS|NONE_SZ|1X1_AD|CM1_IT|SOC_U1|BARRETOS_U2|AzulEscuro</t>
  </si>
  <si>
    <t>255146009</t>
  </si>
  <si>
    <t>451491367</t>
  </si>
  <si>
    <t>MK|BR_CH|PSD_DT|CROSS_PB|FCBK_FM|LNK_RT|CPM_PD|CidadesdoFuturo_TG|NON_ST|NON_TS|NONE_SZ|1X1_AD|CM1_IT|SOC_U1|BELEM_U2|AzulEscuro</t>
  </si>
  <si>
    <t>255471073</t>
  </si>
  <si>
    <t>451397523</t>
  </si>
  <si>
    <t>256665396</t>
  </si>
  <si>
    <t>452475208</t>
  </si>
  <si>
    <t>MK|BR_CH|PSD_DT|CROSS_PB|FCBK_FM|LNK_RT|CPM_PD|CidadesdoFuturo_TG|NON_ST|NON_TS|NONE_SZ|1X1_AD|CM1_IT|SOC_U1|BOAVISTA_U2|AzulEscuro</t>
  </si>
  <si>
    <t>255145997</t>
  </si>
  <si>
    <t>451491394</t>
  </si>
  <si>
    <t>256224104</t>
  </si>
  <si>
    <t>452369796</t>
  </si>
  <si>
    <t>MK|BR_CH|PSD_DT|CROSS_PB|FCBK_FM|LNK_RT|CPM_PD|CidadesdoFuturo_TG|NON_ST|NON_TS|NONE_SZ|1X1_AD|CM1_IT|SOC_U1|BRUSQUE_U2|AzulEscuro</t>
  </si>
  <si>
    <t>255145973</t>
  </si>
  <si>
    <t>MK|BR_CH|PSD_DT|CROSS_PB|FCBK_FM|LNK_RT|CPM_PD|CidadesdoFuturo_TG|NON_ST|NON_TS|NONE_SZ|1X1_AD|CM1_IT|SOC_U1|CABOFRIO_U2|AzulEscuro</t>
  </si>
  <si>
    <t>451491445</t>
  </si>
  <si>
    <t>255145979</t>
  </si>
  <si>
    <t>451491433</t>
  </si>
  <si>
    <t>255145985</t>
  </si>
  <si>
    <t>451491418</t>
  </si>
  <si>
    <t>256224116</t>
  </si>
  <si>
    <t>452369784</t>
  </si>
  <si>
    <t>MK|BR_CH|PSD_DT|CROSS_PB|FCBK_FM|LNK_RT|CPM_PD|CidadesdoFuturo_TG|NON_ST|NON_TS|NONE_SZ|1X1_AD|CM1_IT|SOC_U1|CACHOEIRODEITAPEMIRIM_U2|AzulEscuro</t>
  </si>
  <si>
    <t>255145961</t>
  </si>
  <si>
    <t>451491469</t>
  </si>
  <si>
    <t>255145967</t>
  </si>
  <si>
    <t>451491457</t>
  </si>
  <si>
    <t>MK|BR_CH|PSD_DT|CROSS_PB|FCBK_FM|LNK_RT|CPM_PD|CidadesdoFuturo_TG|NON_ST|NON_TS|NONE_SZ|1X1_AD|CM1_IT|SOC_U1|CAMPINAGRANDE_U2|AzulEscuro</t>
  </si>
  <si>
    <t>255145949</t>
  </si>
  <si>
    <t>451491496</t>
  </si>
  <si>
    <t>255145955</t>
  </si>
  <si>
    <t>451491481</t>
  </si>
  <si>
    <t>MK|BR_CH|PSD_DT|CROSS_PB|FCBK_FM|LNK_RT|CPM_PD|CidadesdoFuturo_TG|NON_ST|NON_TS|NONE_SZ|1X1_AD|CM1_IT|SOC_U1|CAMPOSDOSGOYTACAZES_U2|AzulEscuro</t>
  </si>
  <si>
    <t>255145943</t>
  </si>
  <si>
    <t>451491508</t>
  </si>
  <si>
    <t>MK|BR_CH|PSD_DT|CROSS_PB|FCBK_FM|LNK_RT|CPM_PD|CidadesdoFuturo_TG|NON_ST|NON_TS|NONE_SZ|1X1_AD|CM1_IT|SOC_U1|CARUARU_U2|AzulEscuro</t>
  </si>
  <si>
    <t>255145925</t>
  </si>
  <si>
    <t>451491547</t>
  </si>
  <si>
    <t>256224140</t>
  </si>
  <si>
    <t>452369760</t>
  </si>
  <si>
    <t>MK|BR_CH|PSD_DT|CROSS_PB|FCBK_FM|LNK_RT|CPM_PD|CidadesdoFuturo_TG|NON_ST|NON_TS|NONE_SZ|1X1_AD|CM1_IT|SOC_U1|CASCAVEL_U2|AzulEscuro</t>
  </si>
  <si>
    <t>255145913</t>
  </si>
  <si>
    <t>451491574</t>
  </si>
  <si>
    <t>MK|BR_CH|PSD_DT|CROSS_PB|FCBK_FM|LNK_RT|CPM_PD|CidadesdoFuturo_TG|NON_ST|NON_TS|NONE_SZ|1X1_AD|CM1_IT|SOC_U1|CATANDUVA_U2|AzulEscuro</t>
  </si>
  <si>
    <t>255145901</t>
  </si>
  <si>
    <t>451396530</t>
  </si>
  <si>
    <t>MK|BR_CH|PSD_DT|CROSS_PB|FCBK_FM|LNK_RT|CPM_PD|CidadesdoFuturo_TG|NON_ST|NON_TS|NONE_SZ|1X1_AD|CM1_IT|SOC_U1|COLATINA_U2|AzulEscuro</t>
  </si>
  <si>
    <t>256224158</t>
  </si>
  <si>
    <t>452369742</t>
  </si>
  <si>
    <t>MK|BR_CH|PSD_DT|CROSS_PB|FCBK_FM|LNK_RT|CPM_PD|CidadesdoFuturo_TG|NON_ST|NON_TS|NONE_SZ|1X1_AD|CM1_IT|SOC_U1|CONSELHEIROLAFAIETE_U2|AzulEscuro</t>
  </si>
  <si>
    <t>255476617</t>
  </si>
  <si>
    <t>451396581</t>
  </si>
  <si>
    <t>MK|BR_CH|PSD_DT|CROSS_PB|FCBK_FM|LNK_RT|CPM_PD|CidadesdoFuturo_TG|NON_ST|NON_TS|NONE_SZ|1X1_AD|CM1_IT|SOC_U1|CORUMBA_U2|AzulEscuro</t>
  </si>
  <si>
    <t>255476605</t>
  </si>
  <si>
    <t>451396605</t>
  </si>
  <si>
    <t>256224173</t>
  </si>
  <si>
    <t>452369727</t>
  </si>
  <si>
    <t>MK|BR_CH|PSD_DT|CROSS_PB|FCBK_FM|LNK_RT|CPM_PD|CidadesdoFuturo_TG|NON_ST|NON_TS|NONE_SZ|1X1_AD|CM1_IT|SOC_U1|Colatina_U2|AzulEscuro</t>
  </si>
  <si>
    <t>255145889</t>
  </si>
  <si>
    <t>451396557</t>
  </si>
  <si>
    <t>MK|BR_CH|PSD_DT|CROSS_PB|FCBK_FM|LNK_RT|CPM_PD|CidadesdoFuturo_TG|NON_ST|NON_TS|NONE_SZ|1X1_AD|CM1_IT|SOC_U1|DIVINOPOLIS_U2|AzulEscuro</t>
  </si>
  <si>
    <t>255476593</t>
  </si>
  <si>
    <t>451396632</t>
  </si>
  <si>
    <t>256224179</t>
  </si>
  <si>
    <t>452369721</t>
  </si>
  <si>
    <t>MK|BR_CH|PSD_DT|CROSS_PB|FCBK_FM|LNK_RT|CPM_PD|CidadesdoFuturo_TG|NON_ST|NON_TS|NONE_SZ|1X1_AD|CM1_IT|SOC_U1|FEIRADESANTANA_U2|AzulEscuro</t>
  </si>
  <si>
    <t>255471061</t>
  </si>
  <si>
    <t>451397550</t>
  </si>
  <si>
    <t>256665405</t>
  </si>
  <si>
    <t>452475202</t>
  </si>
  <si>
    <t>MK|BR_CH|PSD_DT|CROSS_PB|FCBK_FM|LNK_RT|CPM_PD|CidadesdoFuturo_TG|NON_ST|NON_TS|NONE_SZ|1X1_AD|CM1_IT|SOC_U1|GOVERNADORVALADARES_U2|AzulEscuro</t>
  </si>
  <si>
    <t>256224185</t>
  </si>
  <si>
    <t>452369715</t>
  </si>
  <si>
    <t>MK|BR_CH|PSD_DT|CROSS_PB|FCBK_FM|LNK_RT|CPM_PD|CidadesdoFuturo_TG|NON_ST|NON_TS|NONE_SZ|1X1_AD|CM1_IT|SOC_U1|GUARAPUAVA_U2|AzulEscuro</t>
  </si>
  <si>
    <t>255476569</t>
  </si>
  <si>
    <t>451396683</t>
  </si>
  <si>
    <t>256224191</t>
  </si>
  <si>
    <t>452369709</t>
  </si>
  <si>
    <t>MK|BR_CH|PSD_DT|CROSS_PB|FCBK_FM|LNK_RT|CPM_PD|CidadesdoFuturo_TG|NON_ST|NON_TS|NONE_SZ|1X1_AD|CM1_IT|SOC_U1|IMPERATRIZ_U2|AzulEscuro</t>
  </si>
  <si>
    <t>255476557</t>
  </si>
  <si>
    <t>451396710</t>
  </si>
  <si>
    <t>256224197</t>
  </si>
  <si>
    <t>452369703</t>
  </si>
  <si>
    <t>MK|BR_CH|PSD_DT|CROSS_PB|FCBK_FM|LNK_RT|CPM_PD|CidadesdoFuturo_TG|NON_ST|NON_TS|NONE_SZ|1X1_AD|CM1_IT|SOC_U1|ITABIARA_U2|AzulEscuro</t>
  </si>
  <si>
    <t>255476545</t>
  </si>
  <si>
    <t>451396734</t>
  </si>
  <si>
    <t>MK|BR_CH|PSD_DT|CROSS_PB|FCBK_FM|LNK_RT|CPM_PD|CidadesdoFuturo_TG|NON_ST|NON_TS|NONE_SZ|1X1_AD|CM1_IT|SOC_U1|ITAPETINIGA_U2|AzulEscuro</t>
  </si>
  <si>
    <t>255476533</t>
  </si>
  <si>
    <t>451396761</t>
  </si>
  <si>
    <t>MK|BR_CH|PSD_DT|CROSS_PB|FCBK_FM|LNK_RT|CPM_PD|CidadesdoFuturo_TG|NON_ST|NON_TS|NONE_SZ|1X1_AD|CM1_IT|SOC_U1|ITUMBIARA_U2|AzulEscuro</t>
  </si>
  <si>
    <t>255476521</t>
  </si>
  <si>
    <t>451396785</t>
  </si>
  <si>
    <t>MK|BR_CH|PSD_DT|CROSS_PB|FCBK_FM|LNK_RT|CPM_PD|CidadesdoFuturo_TG|NON_ST|NON_TS|NONE_SZ|1X1_AD|CM1_IT|SOC_U1|JAU_U2|AzulEscuro</t>
  </si>
  <si>
    <t>255476509</t>
  </si>
  <si>
    <t>451493080</t>
  </si>
  <si>
    <t>MK|BR_CH|PSD_DT|CROSS_PB|FCBK_FM|LNK_RT|CPM_PD|CidadesdoFuturo_TG|NON_ST|NON_TS|NONE_SZ|1X1_AD|CM1_IT|SOC_U1|JUAZEIRODONORTE_U2|AzulEscuro</t>
  </si>
  <si>
    <t>255476497</t>
  </si>
  <si>
    <t>451493104</t>
  </si>
  <si>
    <t>MK|BR_CH|PSD_DT|CROSS_PB|FCBK_FM|LNK_RT|CPM_PD|CidadesdoFuturo_TG|NON_ST|NON_TS|NONE_SZ|1X1_AD|CM1_IT|SOC_U1|JUIZDEFORA_U2|AzulEscuro</t>
  </si>
  <si>
    <t>255471049</t>
  </si>
  <si>
    <t>451397562</t>
  </si>
  <si>
    <t>256665414</t>
  </si>
  <si>
    <t>452475196</t>
  </si>
  <si>
    <t>MK|BR_CH|PSD_DT|CROSS_PB|FCBK_FM|LNK_RT|CPM_PD|CidadesdoFuturo_TG|NON_ST|NON_TS|NONE_SZ|1X1_AD|CM1_IT|SOC_U1|LINHARES_U2|AzulEscuro</t>
  </si>
  <si>
    <t>255476485</t>
  </si>
  <si>
    <t>451493131</t>
  </si>
  <si>
    <t>MK|BR_CH|PSD_DT|CROSS_PB|FCBK_FM|LNK_RT|CPM_PD|CidadesdoFuturo_TG|NON_ST|NON_TS|NONE_SZ|1X1_AD|CM1_IT|SOC_U1|LUZIANIA_U2|AzulEscuro</t>
  </si>
  <si>
    <t>255476473</t>
  </si>
  <si>
    <t>451493155</t>
  </si>
  <si>
    <t>256224239</t>
  </si>
  <si>
    <t>452369661</t>
  </si>
  <si>
    <t>MK|BR_CH|PSD_DT|CROSS_PB|FCBK_FM|LNK_RT|CPM_PD|CidadesdoFuturo_TG|NON_ST|NON_TS|NONE_SZ|1X1_AD|CM1_IT|SOC_U1|MACAPA_U2|AzulEscuro</t>
  </si>
  <si>
    <t>256224245</t>
  </si>
  <si>
    <t>452369655</t>
  </si>
  <si>
    <t>MK|BR_CH|PSD_DT|CROSS_PB|FCBK_FM|LNK_RT|CPM_PD|CidadesdoFuturo_TG|NON_ST|NON_TS|NONE_SZ|1X1_AD|CM1_IT|SOC_U1|MACEIO_U2|AzulEscuro</t>
  </si>
  <si>
    <t>255471037</t>
  </si>
  <si>
    <t>451397574</t>
  </si>
  <si>
    <t>MK|BR_CH|PSD_DT|CROSS_PB|FCBK_FM|LNK_RT|CPM_PD|CidadesdoFuturo_TG|NON_ST|NON_TS|NONE_SZ|1X1_AD|CM1_IT|SOC_U1|MANAUS_U2|AzulEscuro</t>
  </si>
  <si>
    <t>255471025</t>
  </si>
  <si>
    <t>451397586</t>
  </si>
  <si>
    <t>256665432</t>
  </si>
  <si>
    <t>452475184</t>
  </si>
  <si>
    <t>MK|BR_CH|PSD_DT|CROSS_PB|FCBK_FM|LNK_RT|CPM_PD|CidadesdoFuturo_TG|NON_ST|NON_TS|NONE_SZ|1X1_AD|CM1_IT|SOC_U1|MARABA_U2|AzulEscuro</t>
  </si>
  <si>
    <t>255476449</t>
  </si>
  <si>
    <t>451493206</t>
  </si>
  <si>
    <t>256224251</t>
  </si>
  <si>
    <t>452369649</t>
  </si>
  <si>
    <t>MK|BR_CH|PSD_DT|CROSS_PB|FCBK_FM|LNK_RT|CPM_PD|CidadesdoFuturo_TG|NON_ST|NON_TS|NONE_SZ|1X1_AD|CM1_IT|SOC_U1|MARINGA_U2|AzulEscuro</t>
  </si>
  <si>
    <t>255476437</t>
  </si>
  <si>
    <t>451493230</t>
  </si>
  <si>
    <t>MK|BR_CH|PSD_DT|CROSS_PB|FCBK_FM|LNK_RT|CPM_PD|CidadesdoFuturo_TG|NON_ST|NON_TS|NONE_SZ|1X1_AD|CM1_IT|SOC_U1|MOGIGUAÇU_U2|AzulEscuro</t>
  </si>
  <si>
    <t>255476425</t>
  </si>
  <si>
    <t>451493257</t>
  </si>
  <si>
    <t>256224263</t>
  </si>
  <si>
    <t>452369637</t>
  </si>
  <si>
    <t>MK|BR_CH|PSD_DT|CROSS_PB|FCBK_FM|LNK_RT|CPM_PD|CidadesdoFuturo_TG|NON_ST|NON_TS|NONE_SZ|1X1_AD|CM1_IT|SOC_U1|MONTESCLAROS_U2|AzulEscuro</t>
  </si>
  <si>
    <t>255476413</t>
  </si>
  <si>
    <t>451493281</t>
  </si>
  <si>
    <t>256224272</t>
  </si>
  <si>
    <t>452369631</t>
  </si>
  <si>
    <t>MK|BR_CH|PSD_DT|CROSS_PB|FCBK_FM|LNK_RT|CPM_PD|CidadesdoFuturo_TG|NON_ST|NON_TS|NONE_SZ|1X1_AD|CM1_IT|SOC_U1|MOSSORO_U2|AzulEscuro</t>
  </si>
  <si>
    <t>255476401</t>
  </si>
  <si>
    <t>451493308</t>
  </si>
  <si>
    <t>MK|BR_CH|PSD_DT|CROSS_PB|FCBK_FM|LNK_RT|CPM_PD|CidadesdoFuturo_TG|NON_ST|NON_TS|NONE_SZ|1X1_AD|CM1_IT|SOC_U1|NOVAFRIBURGO_U2|AzulEscuro</t>
  </si>
  <si>
    <t>255476389</t>
  </si>
  <si>
    <t>451493332</t>
  </si>
  <si>
    <t>256224290</t>
  </si>
  <si>
    <t>452475319</t>
  </si>
  <si>
    <t>MK|BR_CH|PSD_DT|CROSS_PB|FCBK_FM|LNK_RT|CPM_PD|CidadesdoFuturo_TG|NON_ST|NON_TS|NONE_SZ|1X1_AD|CM1_IT|SOC_U1|PARANAGUA_U2|AzulEscuro</t>
  </si>
  <si>
    <t>255476377</t>
  </si>
  <si>
    <t>451493359</t>
  </si>
  <si>
    <t>256224299</t>
  </si>
  <si>
    <t>452475313</t>
  </si>
  <si>
    <t>MK|BR_CH|PSD_DT|CROSS_PB|FCBK_FM|LNK_RT|CPM_PD|CidadesdoFuturo_TG|NON_ST|NON_TS|NONE_SZ|1X1_AD|CM1_IT|SOC_U1|PARAUAPEBAS_U2|AzulEscuro</t>
  </si>
  <si>
    <t>255476365</t>
  </si>
  <si>
    <t>451397115</t>
  </si>
  <si>
    <t>MK|BR_CH|PSD_DT|CROSS_PB|FCBK_FM|LNK_RT|CPM_PD|CidadesdoFuturo_TG|NON_ST|NON_TS|NONE_SZ|1X1_AD|CM1_IT|SOC_U1|PATOSDEMINAS_U2|AzulEscuro</t>
  </si>
  <si>
    <t>255476353</t>
  </si>
  <si>
    <t>451397142</t>
  </si>
  <si>
    <t>MK|BR_CH|PSD_DT|CROSS_PB|FCBK_FM|LNK_RT|CPM_PD|CidadesdoFuturo_TG|NON_ST|NON_TS|NONE_SZ|1X1_AD|CM1_IT|SOC_U1|PELOTAS_U2|AzulEscuro</t>
  </si>
  <si>
    <t>255476344</t>
  </si>
  <si>
    <t>451397160</t>
  </si>
  <si>
    <t>256665267</t>
  </si>
  <si>
    <t>452475295</t>
  </si>
  <si>
    <t>MK|BR_CH|PSD_DT|CROSS_PB|FCBK_FM|LNK_RT|CPM_PD|CidadesdoFuturo_TG|NON_ST|NON_TS|NONE_SZ|1X1_AD|CM1_IT|SOC_U1|PETROLINA_U2|AzulEscuro</t>
  </si>
  <si>
    <t>255476329</t>
  </si>
  <si>
    <t>451397193</t>
  </si>
  <si>
    <t>256665279</t>
  </si>
  <si>
    <t>452475286</t>
  </si>
  <si>
    <t>MK|BR_CH|PSD_DT|CROSS_PB|FCBK_FM|LNK_RT|CPM_PD|CidadesdoFuturo_TG|NON_ST|NON_TS|NONE_SZ|1X1_AD|CM1_IT|SOC_U1|PETROPOLIS_U2|AzulEscuro</t>
  </si>
  <si>
    <t>255471217</t>
  </si>
  <si>
    <t>451397217</t>
  </si>
  <si>
    <t>MK|BR_CH|PSD_DT|CROSS_PB|FCBK_FM|LNK_RT|CPM_PD|CidadesdoFuturo_TG|NON_ST|NON_TS|NONE_SZ|1X1_AD|CM1_IT|SOC_U1|POCOSDECALDAS_U2|AzulEscuro</t>
  </si>
  <si>
    <t>255471205</t>
  </si>
  <si>
    <t>451397244</t>
  </si>
  <si>
    <t>256665306</t>
  </si>
  <si>
    <t>452475268</t>
  </si>
  <si>
    <t>MK|BR_CH|PSD_DT|CROSS_PB|FCBK_FM|LNK_RT|CPM_PD|CidadesdoFuturo_TG|NON_ST|NON_TS|NONE_SZ|1X1_AD|CM1_IT|SOC_U1|RIOVERDE_U2|AzulEscuro</t>
  </si>
  <si>
    <t>255471181</t>
  </si>
  <si>
    <t>451397295</t>
  </si>
  <si>
    <t>MK|BR_CH|PSD_DT|CROSS_PB|FCBK_FM|LNK_RT|CPM_PD|CidadesdoFuturo_TG|NON_ST|NON_TS|NONE_SZ|1X1_AD|CM1_IT|SOC_U1|SANTACRUZDOSUL_U2|AzulEscuro</t>
  </si>
  <si>
    <t>255471169</t>
  </si>
  <si>
    <t>451397319</t>
  </si>
  <si>
    <t>MK|BR_CH|PSD_DT|CROSS_PB|FCBK_FM|LNK_RT|CPM_PD|CidadesdoFuturo_TG|NON_ST|NON_TS|NONE_SZ|1X1_AD|CM1_IT|SOC_U1|SAOLUIS_U2|AzulEscuro</t>
  </si>
  <si>
    <t>255471013</t>
  </si>
  <si>
    <t>451397598</t>
  </si>
  <si>
    <t>MK|BR_CH|PSD_DT|CROSS_PB|FCBK_FM|LNK_RT|CPM_PD|CidadesdoFuturo_TG|NON_ST|NON_TS|NONE_SZ|1X1_AD|CM1_IT|SOC_U1|SAOMATEUS_U2|AzulEscuro</t>
  </si>
  <si>
    <t>255471157</t>
  </si>
  <si>
    <t>451397346</t>
  </si>
  <si>
    <t>256665333</t>
  </si>
  <si>
    <t>452475250</t>
  </si>
  <si>
    <t>MK|BR_CH|PSD_DT|CROSS_PB|FCBK_FM|LNK_RT|CPM_PD|CidadesdoFuturo_TG|NON_ST|NON_TS|NONE_SZ|1X1_AD|CM1_IT|SOC_U1|SETELAGOAS_U2|AzulEscuro</t>
  </si>
  <si>
    <t>255471145</t>
  </si>
  <si>
    <t>451397370</t>
  </si>
  <si>
    <t>MK|BR_CH|PSD_DT|CROSS_PB|FCBK_FM|LNK_RT|CPM_PD|CidadesdoFuturo_TG|NON_ST|NON_TS|NONE_SZ|1X1_AD|CM1_IT|SOC_U1|TEOFILOOTONI_U2|AzulEscuro</t>
  </si>
  <si>
    <t>255471133</t>
  </si>
  <si>
    <t>451397397</t>
  </si>
  <si>
    <t>MK|BR_CH|PSD_DT|CROSS_PB|FCBK_FM|LNK_RT|CPM_PD|CidadesdoFuturo_TG|NON_ST|NON_TS|NONE_SZ|1X1_AD|CM1_IT|SOC_U1|TERESINA_U2|AzulEscuro</t>
  </si>
  <si>
    <t>255471001</t>
  </si>
  <si>
    <t>451397610</t>
  </si>
  <si>
    <t>MK|BR_CH|PSD_DT|CROSS_PB|FCBK_FM|LNK_RT|CPM_PD|CidadesdoFuturo_TG|NON_ST|NON_TS|NONE_SZ|1X1_AD|CM1_IT|SOC_U1|TOLEDO_U2|AzulEscuro</t>
  </si>
  <si>
    <t>255471109</t>
  </si>
  <si>
    <t>451397448</t>
  </si>
  <si>
    <t>MK|BR_CH|PSD_DT|CROSS_PB|FCBK_FM|LNK_RT|CPM_PD|CidadesdoFuturo_TG|NON_ST|NON_TS|NONE_SZ|1X1_AD|CM1_IT|SOC_U1|URUGUAIANA_U2|AzulEscuro</t>
  </si>
  <si>
    <t>255471097</t>
  </si>
  <si>
    <t>451397472</t>
  </si>
  <si>
    <t>MK|BR_CH|PSD_DT|CROSS_PB|FCBK_FM|LNK_RT|CPM_PD|CidadesdoFuturo_TG|NON_ST|NON_TS|NONE_SZ|1X1_AD|CM1_IT|SOC_U1|VITORIADACONQUISTA_U2|AzulEscuro</t>
  </si>
  <si>
    <t>255471085</t>
  </si>
  <si>
    <t>451397499</t>
  </si>
  <si>
    <t>MK|BR_CH|PSD_DT|CROSS_PB|FCBK_FM|LNK_RT|CPM_PD|CompraFora_TG|NON_ST|NON_TS|NONE_SZ|1X1_AD|CM1_IT|SOC_U1|PRATICIDADE_U2|GAMERS</t>
  </si>
  <si>
    <t>MK|BR_CH|PSD_DT|CROSS_PB|INST_FM|STRY_RT|CPM_PD|CidadesdoFuturo_TG|NON_ST|NON_TS|NONE_SZ|1X1_AD|CM1_IT|SOC_U1|ARAGUAINA_U2|AzulEscuro</t>
  </si>
  <si>
    <t>255146027</t>
  </si>
  <si>
    <t>451491331</t>
  </si>
  <si>
    <t>255146039</t>
  </si>
  <si>
    <t>451491304</t>
  </si>
  <si>
    <t>MK|BR_CH|PSD_DT|CROSS_PB|INST_FM|STRY_RT|CPM_PD|CidadesdoFuturo_TG|NON_ST|NON_TS|NONE_SZ|1X1_AD|CM1_IT|SOC_U1|ARARAS_U2|AzulEscuro</t>
  </si>
  <si>
    <t>255146015</t>
  </si>
  <si>
    <t>451491355</t>
  </si>
  <si>
    <t>MK|BR_CH|PSD_DT|CROSS_PB|INST_FM|STRY_RT|CPM_PD|CidadesdoFuturo_TG|NON_ST|NON_TS|NONE_SZ|1X1_AD|CM1_IT|SOC_U1|BARRETOS_U2|AzulEscuro</t>
  </si>
  <si>
    <t>255146003</t>
  </si>
  <si>
    <t>451491382</t>
  </si>
  <si>
    <t>MK|BR_CH|PSD_DT|CROSS_PB|INST_FM|STRY_RT|CPM_PD|CidadesdoFuturo_TG|NON_ST|NON_TS|NONE_SZ|1X1_AD|CM1_IT|SOC_U1|BOAVISTA_U2|AzulEscuro</t>
  </si>
  <si>
    <t>255145991</t>
  </si>
  <si>
    <t>451491406</t>
  </si>
  <si>
    <t>MK|BR_CH|PD_DT|CROSS_PB|DV36_FM|BAN_RT|CPM_PD|CompraFora_TG|NON_ST|NON_TS|NONE_SZ|160x600_AD|CM1_IT|SOC_U1|GAMERS</t>
  </si>
  <si>
    <t>255146815</t>
  </si>
  <si>
    <t>451076094</t>
  </si>
  <si>
    <t>MK|BR_CH|PD_DT|CROSS_PB|DV36_FM|BAN_RT|CPM_PD|CompraFora_TG|NON_ST|NON_TS|NONE_SZ|300x250_AD|CM1_IT|SOC_U1|GAMERS</t>
  </si>
  <si>
    <t>255268446</t>
  </si>
  <si>
    <t>451186045</t>
  </si>
  <si>
    <t>MK|BR_CH|PD_DT|CROSS_PB|DV36_FM|BAN_RT|CPM_PD|CompraFora_TG|NON_ST|NON_TS|NONE_SZ|320x100_AD|CM1_IT|SOC_U1|GAMERS</t>
  </si>
  <si>
    <t>255267429</t>
  </si>
  <si>
    <t>451187029</t>
  </si>
  <si>
    <t>MK|BR_CH|PD_DT|CROSS_PB|DV36_FM|BAN_RT|CPM_PD|CompraFora_TG|NON_ST|NON_TS|NONE_SZ|320x50_AD|CM1_IT|SOC_U1|GAMERS</t>
  </si>
  <si>
    <t>255268185</t>
  </si>
  <si>
    <t>451184854</t>
  </si>
  <si>
    <t>MK|BR_CH|PD_DT|CROSS_PB|DV36_FM|BAN_RT|CPM_PD|CompraFora_TG|NON_ST|NON_TS|NONE_SZ|728x90_AD|CM1_IT|SOC_U1|GAMERS</t>
  </si>
  <si>
    <t>255270702</t>
  </si>
  <si>
    <t>451188691</t>
  </si>
  <si>
    <t>MK|BR_CH|PSD_DT|CROSS_PB|DV36_FM|BAN_RT|CPM_PD|CrossBorder_TG|NON_ST|NON_TS|NONE_SZ|300x250_AD|CM1_IT|OO_U1|CASHBACKNAOCADASTRADO_U2|DNA_U3|VIAJANTE</t>
  </si>
  <si>
    <t>MK|BR_CH|PD_DT|CROSS_PB|LOAN_FM|PUSH_RT|CPM_PD|CrossBorder_TG|NON_ST|NON_TS|NONE_SZ|72x72_AD|CM1_IT|PD</t>
  </si>
  <si>
    <t>MK|BR_CH|PD_DT|CROSS_PB|VER_FM|BAN_RT|CPM_PD|CrossBorder_TG|NON_ST|NON_TS|NONE_SZ|160x600_AD|CM1_IT|PD_U1|GOURMET</t>
  </si>
  <si>
    <t>MK|BR_CH|PD_DT|CROSS_PB|VER_FM|BAN_RT|CPM_PD|CrossBorder_TG|NON_ST|NON_TS|NONE_SZ|160x600_AD|CM1_IT|PD_U1|VIAJANTE</t>
  </si>
  <si>
    <t>MK|BR_CH|PD_DT|CROSS_PB|VER_FM|BAN_RT|CPM_PD|CrossBorder_TG|NON_ST|NON_TS|NONE_SZ|1X1_AD|CM1_IT|PD_U1|VIAJANTE</t>
  </si>
  <si>
    <t>251253988</t>
  </si>
  <si>
    <t>447379793</t>
  </si>
  <si>
    <t>MK|BR_CH|PD_DT|CROSS_PB|VER_FM|BAN_RT|CPM_PD|CrossBorder_TG|NON_ST|NON_TS|NONE_SZ|627x627_AD|CM1_IT|PD</t>
  </si>
  <si>
    <t>MK|BR_CH|PD_DT|CROSS_PB|VER_FM|BAN_RT|CPM_PD|CrossBorder_TG|NON_ST|NON_TS|NONE_SZ|728x90_AD|CM1_IT|PD_U1|VIAJANTE</t>
  </si>
  <si>
    <t>MK|BR_CH|PSD_DT|CROSS_PB|INST_FM|STRY_RT|CPM_PD|CidadesdoFuturo_TG|NON_ST|NON_TS|NONE_SZ|1X1_AD|CM1_IT|SOC_U1|ANAPOLIS_U2|AzulEscuro</t>
  </si>
  <si>
    <t>255146066</t>
  </si>
  <si>
    <t>451451585</t>
  </si>
  <si>
    <t>256224269</t>
  </si>
  <si>
    <t>452411552</t>
  </si>
  <si>
    <t>MK|BR_CH|PSD_DT|CROSS_PB|INST_FM|STRY_RT|CPM_PD|CidadesdoFuturo_TG|NON_ST|NON_TS|NONE_SZ|1X1_AD|CM1_IT|SOC_U1|ANGRADOSREIS_U2|AzulEscuro</t>
  </si>
  <si>
    <t>255146054</t>
  </si>
  <si>
    <t>451451612</t>
  </si>
  <si>
    <t>256224278</t>
  </si>
  <si>
    <t>452411549</t>
  </si>
  <si>
    <t>255146030</t>
  </si>
  <si>
    <t>451491322</t>
  </si>
  <si>
    <t>255146018</t>
  </si>
  <si>
    <t>451491349</t>
  </si>
  <si>
    <t>255146006</t>
  </si>
  <si>
    <t>451491373</t>
  </si>
  <si>
    <t>MK|BR_CH|PSD_DT|CROSS_PB|INST_FM|STRY_RT|CPM_PD|CidadesdoFuturo_TG|NON_ST|NON_TS|NONE_SZ|1X1_AD|CM1_IT|SOC_U1|BELEM_U2|AzulEscuro</t>
  </si>
  <si>
    <t>255471070</t>
  </si>
  <si>
    <t>451397532</t>
  </si>
  <si>
    <t>255145994</t>
  </si>
  <si>
    <t>451491400</t>
  </si>
  <si>
    <t>MK|BR_CH|PSD_DT|CROSS_PB|INST_FM|STRY_RT|CPM_PD|CidadesdoFuturo_TG|NON_ST|NON_TS|NONE_SZ|1X1_AD|CM1_IT|SOC_U1|CABOFRIO_U2|AzulEscuro</t>
  </si>
  <si>
    <t>255145970</t>
  </si>
  <si>
    <t>451491451</t>
  </si>
  <si>
    <t>MK|BR_CH|PSD_DT|CROSS_PB|INST_FM|STRY_RT|CPM_PD|CidadesdoFuturo_TG|NON_ST|NON_TS|NONE_SZ|1X1_AD|CM1_IT|SOC_U1|CACHOEIRODEITAPEMIRIM_U2|AzulEscuro</t>
  </si>
  <si>
    <t>255145958</t>
  </si>
  <si>
    <t>451491475</t>
  </si>
  <si>
    <t>MK|BR_CH|PSD_DT|CROSS_PB|INST_FM|STRY_RT|CPM_PD|CidadesdoFuturo_TG|NON_ST|NON_TS|NONE_SZ|1X1_AD|CM1_IT|SOC_U1|CAMPINAGRANDE_U2|AzulEscuro</t>
  </si>
  <si>
    <t>255145946</t>
  </si>
  <si>
    <t>451491502</t>
  </si>
  <si>
    <t>MK|BR_CH|PSD_DT|CROSS_PB|INST_FM|STRY_RT|CPM_PD|CidadesdoFuturo_TG|NON_ST|NON_TS|NONE_SZ|1X1_AD|CM1_IT|SOC_U1|CARUARU_U2|AzulEscuro</t>
  </si>
  <si>
    <t>255145922</t>
  </si>
  <si>
    <t>451491553</t>
  </si>
  <si>
    <t>MK|BR_CH|PSD_DT|CROSS_PB|INST_FM|STRY_RT|CPM_PD|CidadesdoFuturo_TG|NON_ST|NON_TS|NONE_SZ|1X1_AD|CM1_IT|SOC_U1|CASCAVEL_U2|AzulEscuro</t>
  </si>
  <si>
    <t>255145910</t>
  </si>
  <si>
    <t>451396512</t>
  </si>
  <si>
    <t>MK|BR_CH|PSD_DT|CROSS_PB|INST_FM|STRY_RT|CPM_PD|CidadesdoFuturo_TG|NON_ST|NON_TS|NONE_SZ|1X1_AD|CM1_IT|SOC_U1|CATANDUVA_U2|AzulEscuro</t>
  </si>
  <si>
    <t>255145898</t>
  </si>
  <si>
    <t>451396536</t>
  </si>
  <si>
    <t>MK|BR_CH|PSD_DT|CROSS_PB|INST_FM|STRY_RT|CPM_PD|CidadesdoFuturo_TG|NON_ST|NON_TS|NONE_SZ|1X1_AD|CM1_IT|SOC_U1|COLATINA_U2|AzulEscuro</t>
  </si>
  <si>
    <t>255145886</t>
  </si>
  <si>
    <t>451396563</t>
  </si>
  <si>
    <t>MK|BR_CH|PSD_DT|CROSS_PB|INST_FM|STRY_RT|CPM_PD|CidadesdoFuturo_TG|NON_ST|NON_TS|NONE_SZ|1X1_AD|CM1_IT|SOC_U1|CONSELHEIROLAFAIETE_U2|AzulEscuro</t>
  </si>
  <si>
    <t>255476614</t>
  </si>
  <si>
    <t>451396587</t>
  </si>
  <si>
    <t>MK|BR_CH|PSD_DT|CROSS_PB|INST_FM|STRY_RT|CPM_PD|CidadesdoFuturo_TG|NON_ST|NON_TS|NONE_SZ|1X1_AD|CM1_IT|SOC_U1|CORUMBA_U2|AzulEscuro</t>
  </si>
  <si>
    <t>255476602</t>
  </si>
  <si>
    <t>451396614</t>
  </si>
  <si>
    <t>MK|BR_CH|PSD_DT|CROSS_PB|INST_FM|STRY_RT|CPM_PD|CidadesdoFuturo_TG|NON_ST|NON_TS|NONE_SZ|1X1_AD|CM1_IT|SOC_U1|DIVINOPOLIS_U2|AzulEscuro</t>
  </si>
  <si>
    <t>255476590</t>
  </si>
  <si>
    <t>451396638</t>
  </si>
  <si>
    <t>MK|BR_CH|PSD_DT|CROSS_PB|INST_FM|STRY_RT|CPM_PD|CidadesdoFuturo_TG|NON_ST|NON_TS|NONE_SZ|1X1_AD|CM1_IT|SOC_U1|FEIRADESANTANA_U2|AzulEscuro</t>
  </si>
  <si>
    <t>255471058</t>
  </si>
  <si>
    <t>451397553</t>
  </si>
  <si>
    <t>MK|BR_CH|PSD_DT|CROSS_PB|INST_FM|STRY_RT|CPM_PD|CidadesdoFuturo_TG|NON_ST|NON_TS|NONE_SZ|1X1_AD|CM1_IT|SOC_U1|GOVERNADORVALADARES_U2|AzulEscuro</t>
  </si>
  <si>
    <t>255476578</t>
  </si>
  <si>
    <t>451396665</t>
  </si>
  <si>
    <t>MK|BR_CH|PSD_DT|CROSS_PB|INST_FM|STRY_RT|CPM_PD|CidadesdoFuturo_TG|NON_ST|NON_TS|NONE_SZ|1X1_AD|CM1_IT|SOC_U1|GUARAPUAVA_U2|AzulEscuro</t>
  </si>
  <si>
    <t>255476566</t>
  </si>
  <si>
    <t>451396689</t>
  </si>
  <si>
    <t>MK|BR_CH|PSD_DT|CROSS_PB|INST_FM|STRY_RT|CPM_PD|CidadesdoFuturo_TG|NON_ST|NON_TS|NONE_SZ|1X1_AD|CM1_IT|SOC_U1|IMPERATRIZ_U2|AzulEscuro</t>
  </si>
  <si>
    <t>255476554</t>
  </si>
  <si>
    <t>451396716</t>
  </si>
  <si>
    <t>MK|BR_CH|PSD_DT|CROSS_PB|INST_FM|STRY_RT|CPM_PD|CidadesdoFuturo_TG|NON_ST|NON_TS|NONE_SZ|1X1_AD|CM1_IT|SOC_U1|ITABIARA_U2|AzulEscuro</t>
  </si>
  <si>
    <t>255476542</t>
  </si>
  <si>
    <t>451396740</t>
  </si>
  <si>
    <t>MK|BR_CH|PSD_DT|CROSS_PB|INST_FM|STRY_RT|CPM_PD|CidadesdoFuturo_TG|NON_ST|NON_TS|NONE_SZ|1X1_AD|CM1_IT|SOC_U1|ITAPETINIGA_U2|AzulEscuro</t>
  </si>
  <si>
    <t>255476530</t>
  </si>
  <si>
    <t>451396767</t>
  </si>
  <si>
    <t>MK|BR_CH|PSD_DT|CROSS_PB|INST_FM|STRY_RT|CPM_PD|CidadesdoFuturo_TG|NON_ST|NON_TS|NONE_SZ|1X1_AD|CM1_IT|SOC_U1|ITUMBIARA_U2|AzulEscuro</t>
  </si>
  <si>
    <t>255476518</t>
  </si>
  <si>
    <t>451396791</t>
  </si>
  <si>
    <t>MK|BR_CH|PSD_DT|CROSS_PB|INST_FM|STRY_RT|CPM_PD|CidadesdoFuturo_TG|NON_ST|NON_TS|NONE_SZ|1X1_AD|CM1_IT|SOC_U1|JAU_U2|AzulEscuro</t>
  </si>
  <si>
    <t>255476506</t>
  </si>
  <si>
    <t>451493086</t>
  </si>
  <si>
    <t>MK|BR_CH|PSD_DT|CROSS_PB|INST_FM|STRY_RT|CPM_PD|CidadesdoFuturo_TG|NON_ST|NON_TS|NONE_SZ|1X1_AD|CM1_IT|SOC_U1|JUAZEIRODONORTE_U2|AzulEscuro</t>
  </si>
  <si>
    <t>255476494</t>
  </si>
  <si>
    <t>451493113</t>
  </si>
  <si>
    <t>MK|BR_CH|PSD_DT|CROSS_PB|INST_FM|STRY_RT|CPM_PD|CidadesdoFuturo_TG|NON_ST|NON_TS|NONE_SZ|1X1_AD|CM1_IT|SOC_U1|JUIZDEFORA_U2|AzulEscuro</t>
  </si>
  <si>
    <t>255471046</t>
  </si>
  <si>
    <t>451397565</t>
  </si>
  <si>
    <t>MK|BR_CH|PSD_DT|CROSS_PB|INST_FM|STRY_RT|CPM_PD|CidadesdoFuturo_TG|NON_ST|NON_TS|NONE_SZ|1X1_AD|CM1_IT|SOC_U1|LINHARES_U2|AzulEscuro</t>
  </si>
  <si>
    <t>255476482</t>
  </si>
  <si>
    <t>451493137</t>
  </si>
  <si>
    <t>MK|BR_CH|PSD_DT|CROSS_PB|INST_FM|STRY_RT|CPM_PD|CidadesdoFuturo_TG|NON_ST|NON_TS|NONE_SZ|1X1_AD|CM1_IT|SOC_U1|LUZIANIA_U2|AzulEscuro</t>
  </si>
  <si>
    <t>255476470</t>
  </si>
  <si>
    <t>451493161</t>
  </si>
  <si>
    <t>MK|BR_CH|PSD_DT|CROSS_PB|INST_FM|STRY_RT|CPM_PD|CidadesdoFuturo_TG|NON_ST|NON_TS|NONE_SZ|1X1_AD|CM1_IT|SOC_U1|MACAPA_U2|AzulEscuro</t>
  </si>
  <si>
    <t>255476458</t>
  </si>
  <si>
    <t>451493185</t>
  </si>
  <si>
    <t>MK|BR_CH|PSD_DT|CROSS_PB|INST_FM|STRY_RT|CPM_PD|CidadesdoFuturo_TG|NON_ST|NON_TS|NONE_SZ|1X1_AD|CM1_IT|SOC_U1|MACEIO_U2|AzulEscuro</t>
  </si>
  <si>
    <t>255471034</t>
  </si>
  <si>
    <t>451397577</t>
  </si>
  <si>
    <t>MK|BR_CH|PSD_DT|CROSS_PB|INST_FM|STRY_RT|CPM_PD|CidadesdoFuturo_TG|NON_ST|NON_TS|NONE_SZ|1X1_AD|CM1_IT|SOC_U1|MANAUS_U2|AzulEscuro</t>
  </si>
  <si>
    <t>255471022</t>
  </si>
  <si>
    <t>451397589</t>
  </si>
  <si>
    <t>MK|BR_CH|PSD_DT|CROSS_PB|INST_FM|STRY_RT|CPM_PD|CidadesdoFuturo_TG|NON_ST|NON_TS|NONE_SZ|1X1_AD|CM1_IT|SOC_U1|MARABA_U2|AzulEscuro</t>
  </si>
  <si>
    <t>255476446</t>
  </si>
  <si>
    <t>451493212</t>
  </si>
  <si>
    <t>MK|BR_CH|PSD_DT|CROSS_PB|INST_FM|STRY_RT|CPM_PD|CidadesdoFuturo_TG|NON_ST|NON_TS|NONE_SZ|1X1_AD|CM1_IT|SOC_U1|MARINGA_U2|AzulEscuro</t>
  </si>
  <si>
    <t>255476434</t>
  </si>
  <si>
    <t>451493236</t>
  </si>
  <si>
    <t>MK|BR_CH|PSD_DT|CROSS_PB|INST_FM|STRY_RT|CPM_PD|CidadesdoFuturo_TG|NON_ST|NON_TS|NONE_SZ|1X1_AD|CM1_IT|SOC_U1|MOGIGUAÇU_U2|AzulEscuro</t>
  </si>
  <si>
    <t>255476422</t>
  </si>
  <si>
    <t>451493263</t>
  </si>
  <si>
    <t>256665549</t>
  </si>
  <si>
    <t>452411456</t>
  </si>
  <si>
    <t>MK|BR_CH|PSD_DT|CROSS_PB|INST_FM|STRY_RT|CPM_PD|CidadesdoFuturo_TG|NON_ST|NON_TS|NONE_SZ|1X1_AD|CM1_IT|SOC_U1|MONTESCLAROS_U2|AzulEscuro</t>
  </si>
  <si>
    <t>255476410</t>
  </si>
  <si>
    <t>451493287</t>
  </si>
  <si>
    <t>MK|BR_CH|PSD_DT|CROSS_PB|INST_FM|STRY_RT|CPM_PD|CidadesdoFuturo_TG|NON_ST|NON_TS|NONE_SZ|1X1_AD|CM1_IT|SOC_U1|MOSSORO_U2|AzulEscuro</t>
  </si>
  <si>
    <t>255476398</t>
  </si>
  <si>
    <t>451493314</t>
  </si>
  <si>
    <t>MK|BR_CH|PSD_DT|CROSS_PB|INST_FM|STRY_RT|CPM_PD|CidadesdoFuturo_TG|NON_ST|NON_TS|NONE_SZ|1X1_AD|CM1_IT|SOC_U1|NOVAFRIBURGO_U2|AzulEscuro</t>
  </si>
  <si>
    <t>255476386</t>
  </si>
  <si>
    <t>451493338</t>
  </si>
  <si>
    <t>MK|BR_CH|PSD_DT|CROSS_PB|INST_FM|STRY_RT|CPM_PD|CidadesdoFuturo_TG|NON_ST|NON_TS|NONE_SZ|1X1_AD|CM1_IT|SOC_U1|PARANAGUA_U2|AzulEscuro</t>
  </si>
  <si>
    <t>255476374</t>
  </si>
  <si>
    <t>451493365</t>
  </si>
  <si>
    <t>MK|BR_CH|PSD_DT|CROSS_PB|INST_FM|STRY_RT|CPM_PD|CidadesdoFuturo_TG|NON_ST|NON_TS|NONE_SZ|1X1_AD|CM1_IT|SOC_U1|PARAUAPEBAS_U2|AzulEscuro</t>
  </si>
  <si>
    <t>255476362</t>
  </si>
  <si>
    <t>451397124</t>
  </si>
  <si>
    <t>MK|BR_CH|PSD_DT|CROSS_PB|INST_FM|STRY_RT|CPM_PD|CidadesdoFuturo_TG|NON_ST|NON_TS|NONE_SZ|1X1_AD|CM1_IT|SOC_U1|PATOSDEMINAS_U2|AzulEscuro</t>
  </si>
  <si>
    <t>255476350</t>
  </si>
  <si>
    <t>451397148</t>
  </si>
  <si>
    <t>MK|BR_CH|PSD_DT|CROSS_PB|INST_FM|STRY_RT|CPM_PD|CidadesdoFuturo_TG|NON_ST|NON_TS|NONE_SZ|1X1_AD|CM1_IT|SOC_U1|PELOTAS_U2|AzulEscuro</t>
  </si>
  <si>
    <t>255476338</t>
  </si>
  <si>
    <t>451397175</t>
  </si>
  <si>
    <t>MK|BR_CH|PSD_DT|CROSS_PB|INST_FM|STRY_RT|CPM_PD|CidadesdoFuturo_TG|NON_ST|NON_TS|NONE_SZ|1X1_AD|CM1_IT|SOC_U1|PETROLINA_U2|AzulEscuro</t>
  </si>
  <si>
    <t>255476326</t>
  </si>
  <si>
    <t>451397199</t>
  </si>
  <si>
    <t>MK|BR_CH|PSD_DT|CROSS_PB|INST_FM|STRY_RT|CPM_PD|CidadesdoFuturo_TG|NON_ST|NON_TS|NONE_SZ|1X1_AD|CM1_IT|SOC_U1|PETROPOLIS_U2|AzulEscuro</t>
  </si>
  <si>
    <t>255471214</t>
  </si>
  <si>
    <t>451397223</t>
  </si>
  <si>
    <t>MK|BR_CH|PSD_DT|CROSS_PB|INST_FM|STRY_RT|CPM_PD|CidadesdoFuturo_TG|NON_ST|NON_TS|NONE_SZ|1X1_AD|CM1_IT|SOC_U1|POCOSDECALDAS_U2|AzulEscuro</t>
  </si>
  <si>
    <t>255471202</t>
  </si>
  <si>
    <t>451397250</t>
  </si>
  <si>
    <t>MK|BR_CH|PSD_DT|CROSS_PB|INST_FM|STRY_RT|CPM_PD|CidadesdoFuturo_TG|NON_ST|NON_TS|NONE_SZ|1X1_AD|CM1_IT|SOC_U1|RIOCLARO_U2|AzulEscuro</t>
  </si>
  <si>
    <t>255471190</t>
  </si>
  <si>
    <t>451397274</t>
  </si>
  <si>
    <t>MK|BR_CH|PSD_DT|CROSS_PB|INST_FM|STRY_RT|CPM_PD|CidadesdoFuturo_TG|NON_ST|NON_TS|NONE_SZ|1X1_AD|CM1_IT|SOC_U1|RIOVERDE_U2|AzulEscuro</t>
  </si>
  <si>
    <t>255471178</t>
  </si>
  <si>
    <t>451397301</t>
  </si>
  <si>
    <t>MK|BR_CH|PSD_DT|CROSS_PB|INST_FM|STRY_RT|CPM_PD|CidadesdoFuturo_TG|NON_ST|NON_TS|NONE_SZ|1X1_AD|CM1_IT|SOC_U1|SANTACRUZDOSUL_U2|AzulEscuro</t>
  </si>
  <si>
    <t>255471166</t>
  </si>
  <si>
    <t>451397328</t>
  </si>
  <si>
    <t>MK|BR_CH|PSD_DT|CROSS_PB|INST_FM|STRY_RT|CPM_PD|CidadesdoFuturo_TG|NON_ST|NON_TS|NONE_SZ|1X1_AD|CM1_IT|SOC_U1|SAOLUIZ_U2|AzulEscuro</t>
  </si>
  <si>
    <t>255471010</t>
  </si>
  <si>
    <t>451397601</t>
  </si>
  <si>
    <t>MK|BR_CH|PSD_DT|CROSS_PB|INST_FM|STRY_RT|CPM_PD|CidadesdoFuturo_TG|NON_ST|NON_TS|NONE_SZ|1X1_AD|CM1_IT|SOC_U1|SAOMATEUS_U2|AzulEscuro</t>
  </si>
  <si>
    <t>255471154</t>
  </si>
  <si>
    <t>451397352</t>
  </si>
  <si>
    <t>MK|BR_CH|PSD_DT|CROSS_PB|INST_FM|STRY_RT|CPM_PD|CidadesdoFuturo_TG|NON_ST|NON_TS|NONE_SZ|1X1_AD|CM1_IT|SOC_U1|SETELAGOAS_U2|AzulEscuro</t>
  </si>
  <si>
    <t>255471142</t>
  </si>
  <si>
    <t>451397379</t>
  </si>
  <si>
    <t>MK|BR_CH|PSD_DT|CROSS_PB|INST_FM|STRY_RT|CPM_PD|CidadesdoFuturo_TG|NON_ST|NON_TS|NONE_SZ|1X1_AD|CM1_IT|SOC_U1|TEOFILOOTONI_U2|AzulEscuro</t>
  </si>
  <si>
    <t>255471130</t>
  </si>
  <si>
    <t>451397403</t>
  </si>
  <si>
    <t>MK|BR_CH|PSD_DT|CROSS_PB|INST_FM|STRY_RT|CPM_PD|CidadesdoFuturo_TG|NON_ST|NON_TS|NONE_SZ|1X1_AD|CM1_IT|SOC_U1|TERESINA_U2|AzulEscuro</t>
  </si>
  <si>
    <t>255470998</t>
  </si>
  <si>
    <t>451397613</t>
  </si>
  <si>
    <t>MK|BR_CH|PSD_DT|CROSS_PB|INST_FM|STRY_RT|CPM_PD|CidadesdoFuturo_TG|NON_ST|NON_TS|NONE_SZ|1X1_AD|CM1_IT|SOC_U1|TOLEDO_U2|AzulEscuro</t>
  </si>
  <si>
    <t>255471106</t>
  </si>
  <si>
    <t>451397454</t>
  </si>
  <si>
    <t>MK|BR_CH|PSD_DT|CROSS_PB|INST_FM|STRY_RT|CPM_PD|CidadesdoFuturo_TG|NON_ST|NON_TS|NONE_SZ|1X1_AD|CM1_IT|SOC_U1|URUGUAIANA_U2|AzulEscuro</t>
  </si>
  <si>
    <t>255471094</t>
  </si>
  <si>
    <t>451397481</t>
  </si>
  <si>
    <t>MK|BR_CH|PSD_DT|CROSS_PB|INST_FM|STRY_RT|CPM_PD|CidadesdoFuturo_TG|NON_ST|NON_TS|NONE_SZ|1X1_AD|CM1_IT|SOC_U1|VITORIADACONQUISTA_U2|AzulEscuro</t>
  </si>
  <si>
    <t>255471082</t>
  </si>
  <si>
    <t>451397505</t>
  </si>
  <si>
    <t>MK|BR_CH|PSD_DT|CROSS_PB|INST_FM|STRY_RT|CPM_PD|CompraFora_TG|NON_ST|NON_TS|NONE_SZ|1X1_AD|CM1_IT|SOC_U1|POSSO_U2|FASHION_U3|FEMININO</t>
  </si>
  <si>
    <t>MK|BR_CN|VDV_MN|NONE_YQ|19Q1Q4_CP|PO5020004141_SP|N/A_AC|DE_OB|ACQ_U1|DCM</t>
  </si>
  <si>
    <t>MK|BR_CH|PD_DT|CROSS_PB|ADSM_FM|BAN_RT|CPM_PD|VDV-MERCHANT-NATURA_TG|NON_ST|NON_TS|NONE_SZ|300x50_AD|CM_IT|OO</t>
  </si>
  <si>
    <t>MK|BR_CH|PSD_DT|CROSS_PB|FCBK_FM|CAR_RT|CPM_PD|VDV-MERCHANT-CAMICADO_TG|NON_ST|NON_TS|NONE_SZ|1X1_AD|CM1_IT|SOC</t>
  </si>
  <si>
    <t>MK|BR_CH|PSD_DT|CROSS_PB|FCBK_FM|CAR_RT|CPM_PD|VDV-MERCHANT-DECOLAR_TG|NON_ST|NON_TS|NONE_SZ|1X1_AD|CM1_IT|SOC_U1|MONTANHA</t>
  </si>
  <si>
    <t>MK|BR_CH|PSD_DT|CROSS_PB|FCBK_FM|CAR_RT|CPM_PD|VDV-MERCHANT-DECOLAR_TG|NON_ST|NON_TS|NONE_SZ|1X1_AD|CM1_IT|SOC_U1|PRAIA</t>
  </si>
  <si>
    <t>MK|BR_CH|PSD_DT|CROSS_PB|FCBK_FM|CAR_RT|CPM_PD|VDV-MERCHANT-GOL_TG|NON_ST|NON_TS|NONE_SZ|1X1_AD|CM1_IT|SOC</t>
  </si>
  <si>
    <t>239028840</t>
  </si>
  <si>
    <t>435947622</t>
  </si>
  <si>
    <t>MK|BR_CH|PSD_DT|CROSS_PB|FCBK_FM|CAR_RT|CPM_PD|VDV-MERCHANT-MOVIDA_TG|NON_ST|NON_TS|NONE_SZ|1X1_AD|CM1_IT|SOC_U1|25OFF</t>
  </si>
  <si>
    <t>256167696</t>
  </si>
  <si>
    <t>451881495</t>
  </si>
  <si>
    <t>MK|BR_CH|PSD_DT|CROSS_PB|FCBK_FM|CAR_RT|CPM_PD|VDV-MERCHANT-MOVIDA_TG|NON_ST|NON_TS|NONE_SZ|1X1_AD|CM1_IT|SOC_U1|OFERTAEDUCACIONAL</t>
  </si>
  <si>
    <t>MK|BR_CH|PSD_DT|CROSS_PB|FCBK_FM|CAR_RT|CPM_PD|VDV-MERCHANT-MOVIDA_TG|NON_ST|NON_TS|NONE_SZ|1X1_AD|CM1_IT|SOC_U1|RETANGULAR_U2|20OFF</t>
  </si>
  <si>
    <t>MK|BR_CH|PSD_DT|CROSS_PB|FCBK_FM|CAR_RT|CPM_PD|VDV-MERCHANT-NETSHOES_TG|NON_ST|NON_TS|NONE_SZ|1X1_AD|CM1_IT|SOC</t>
  </si>
  <si>
    <t>MK|BR_CH|PSD_DT|CROSS_PB|FCBK_FM|CAR_RT|CPM_PD|VDV-MERCHANT-NETSHOES_TG|NON_ST|NON_TS|NONE_SZ|1X1_AD|CM1_IT|SOC_U1|15OFF</t>
  </si>
  <si>
    <t>MK|BR_CH|PSD_DT|CROSS_PB|FCBK_FM|CAR_RT|CPM_PD|VDV-MERCHANT-NETSHOES_TG|NON_ST|NON_TS|NONE_SZ|1X1_AD|CM1_IT|SOC_U1|FEMININO_U2|15OFF</t>
  </si>
  <si>
    <t>MK|BR_CH|PSD_DT|CROSS_PB|FCBK_FM|CAR_RT|CPM_PD|VDV-MERCHANT-RENNER_TG|NON_ST|NON_TS|NONE_SZ|1X1_AD|CM1_IT|SOC_U1|5-FRAMES_U2|HOMEM-E-MULHER_U3|MENSAGEM-ANTECIPADA</t>
  </si>
  <si>
    <t>MK|BR_CH|PSD_DT|CROSS_PB|FCBK_FM|CAR_RT|CPM_PD|VDV-PROMONACIONAL_TG|NON_ST|NON_TS|NONE_SZ|1X1_AD|CM1_IT|SOC_U1|CHANCECHANCE_U2|BASEVDV_U3|VOZDEBEBE</t>
  </si>
  <si>
    <t>255126054</t>
  </si>
  <si>
    <t>450991814</t>
  </si>
  <si>
    <t>MK|BR_CH|PSD_DT|CROSS_PB|FCBK_FM|CAR_RT|CPM_PD|VDV-PROMONACIONAL_TG|NON_ST|NON_TS|NONE_SZ|1X1_AD|CM1_IT|SOC_U1|CHANCECHANCE_U2|BOCEJO</t>
  </si>
  <si>
    <t>254860524</t>
  </si>
  <si>
    <t>450664557</t>
  </si>
  <si>
    <t>MK|BR_CH|PSD_DT|CROSS_PB|FCBK_FM|CAR_RT|CPM_PD|VDV-PROMONACIONAL_TG|NON_ST|NON_TS|NONE_SZ|1X1_AD|CM1_IT|SOC_U1|CHANCECHANCE_U2|VOZDEBEBE</t>
  </si>
  <si>
    <t>254860521</t>
  </si>
  <si>
    <t>450664554</t>
  </si>
  <si>
    <t>MK|BR_CH|PSD_DT|CROSS_PB|FCBK_FM|CAR_RT|CPM_PD|VDV-PROMONACIONAL_TG|NON_ST|NON_TS|NONE_SZ|1X1_AD|CM1_IT|SOC_U1|DEBITO_U2|EXPECTATIVA-REALIDADE</t>
  </si>
  <si>
    <t>254917979</t>
  </si>
  <si>
    <t>451281745</t>
  </si>
  <si>
    <t>MK|BR_CH|PSD_DT|CROSS_PB|FCBK_FM|CAR_RT|CPM_PD|VDV-PROMONACIONAL_TG|NON_ST|NON_TS|NONE_SZ|1X1_AD|CM1_IT|SOC_U1|DEBITO_U2|INVADINDO-TIMELINE_U3|CAFE</t>
  </si>
  <si>
    <t>254917967</t>
  </si>
  <si>
    <t>451281733</t>
  </si>
  <si>
    <t>MK|BR_CH|PSD_DT|CROSS_PB|FCBK_FM|CAR_RT|CPM_PD|VDV-PROMONACIONAL_TG|NON_ST|NON_TS|NONE_SZ|1X1_AD|CM1_IT|SOC_U1|DEBITO_U2|INVADINDO-TIMELINE_U3|DOCE</t>
  </si>
  <si>
    <t>254917964</t>
  </si>
  <si>
    <t>451281730</t>
  </si>
  <si>
    <t>MK|BR_CH|PSD_DT|CROSS_PB|FCBK_FM|CAR_RT|CPM_PD|VDV-PROMONACIONAL_TG|NON_ST|NON_TS|NONE_SZ|1X1_AD|CM1_IT|SOC_U1|DIA-DOS-PAIS</t>
  </si>
  <si>
    <t>MK|BR_CH|PSD_DT|CROSS_PB|FCBK_FM|CAR_RT|CPM_PD|VDV-PROMONACIONAL_TG|NON_ST|NON_TS|NONE_SZ|1X1_AD|CM1_IT|SOC_U1|PARTICIPE</t>
  </si>
  <si>
    <t>MK|BR_CH|PSD_DT|CROSS_PB|FCBK_FM|CAR_RT|CPM_PD|VDV-PROMONACIONAL_TG|NON_ST|NON_TS|NONE_SZ|1X1_AD|CM1_IT|SOC_U1|PARTICIPE_U2|PAGUECOMVISA</t>
  </si>
  <si>
    <t>MK|BR_CH|PSD_DT|CROSS_PB|FCBK_FM|CAR_RT|CPM_PD|VDV-PROMONACIONAL_TG|NON_ST|NON_TS|NONE_SZ|1X1_AD|CM1_IT|SOC_U1|SEMANADOBRASIL</t>
  </si>
  <si>
    <t>255051951</t>
  </si>
  <si>
    <t>450915098</t>
  </si>
  <si>
    <t>MK|BR_CH|PSD_DT|CROSS_PB|FCBK_FM|GIF_RT|CPM_PD|VDV-EDUCACIONAL_TG|NON_ST|NON_TS|NONE_SZ|1X1_AD|CM1_IT|SOC_U1|DEBITO_U2|COMPRAS_U3|MOBILE</t>
  </si>
  <si>
    <t>MK|BR_CH|PSD_DT|CROSS_PB|FCBK_FM|GIF_RT|CPM_PD|VDV-MERCHANT-DECOLAR_TG|NON_ST|NON_TS|NONE_SZ|1X1_AD|CM1_IT|SOC_U1|MONTANHA</t>
  </si>
  <si>
    <t>MK|BR_CH|PSD_DT|CROSS_PB|FCBK_FM|GIF_RT|CPM_PD|VDV-MERCHANT-DECOLAR_TG|NON_ST|NON_TS|NONE_SZ|1X1_AD|CM1_IT|SOC_U1|PISCINA_U2|OPORTUNIDADE</t>
  </si>
  <si>
    <t>254746266</t>
  </si>
  <si>
    <t>450673492</t>
  </si>
  <si>
    <t>MK|BR_CH|PSD_DT|CROSS_PB|FCBK_FM|GIF_RT|CPM_PD|VDV-MERCHANT-DECOLAR_TG|NON_ST|NON_TS|NONE_SZ|1X1_AD|CM1_IT|SOC_U1|PRAIA</t>
  </si>
  <si>
    <t>MK|BR_CH|PSD_DT|CROSS_PB|FCBK_FM|GIF_RT|CPM_PD|VDV-MERCHANT-NETSHOES_TG|NON_ST|NON_TS|NONE_SZ|1X1_AD|CM1_IT|SOC_U1|FEMININO_U2|15OFF</t>
  </si>
  <si>
    <t>MK|BR_CH|PSD_DT|CROSS_PB|FCBK_FM|GIF_RT|CPM_PD|VDV-PROMONACIONAL_TG|NON_ST|NON_TS|NONE_SZ|1X1_AD|CM1_IT|SOC_U1|CADASTRE-SE</t>
  </si>
  <si>
    <t>MK|BR_CH|PSD_DT|CROSS_PB|FCBK_FM|GIF_RT|CPM_PD|VDV-PROMONACIONAL_TG|NON_ST|NON_TS|NONE_SZ|1X1_AD|CM1_IT|SOC_U1|CAMPING_U2|CADASTRE-SE</t>
  </si>
  <si>
    <t>MK|BR_CH|PSD_DT|CROSS_PB|FCBK_FM|GIF_RT|CPM_PD|VDV-PROMONACIONAL_TG|NON_ST|NON_TS|NONE_SZ|1X1_AD|CM1_IT|SOC_U1|CHANCECHANCE_U2|BASEVDV</t>
  </si>
  <si>
    <t>255126051</t>
  </si>
  <si>
    <t>450991811</t>
  </si>
  <si>
    <t>MK|BR_CH|PSD_DT|CROSS_PB|FCBK_FM|GIF_RT|CPM_PD|VDV-PROMONACIONAL_TG|NON_ST|NON_TS|NONE_SZ|1X1_AD|CM1_IT|SOC_U1|CHANCECHANCE_U2|BASQUETE</t>
  </si>
  <si>
    <t>254860518</t>
  </si>
  <si>
    <t>450664551</t>
  </si>
  <si>
    <t>MK|BR_CH|PSD_DT|CROSS_PB|FCBK_FM|GIF_RT|CPM_PD|VDV-PROMONACIONAL_TG|NON_ST|NON_TS|NONE_SZ|1X1_AD|CM1_IT|SOC_U1|GANHADORES</t>
  </si>
  <si>
    <t>MK|BR_CH|PSD_DT|CROSS_PB|FCBK_FM|GIF_RT|CPM_PD|VDV-PROMONACIONAL_TG|NON_ST|NON_TS|NONE_SZ|1X1_AD|CM1_IT|SOC_U1|GANHADORESATUALIZADOS</t>
  </si>
  <si>
    <t>256237882</t>
  </si>
  <si>
    <t>452167463</t>
  </si>
  <si>
    <t>MK|BR_CH|PSD_DT|CROSS_PB|FCBK_FM|GIF_RT|CPM_PD|VDV-PROMONACIONAL_TG|NON_ST|NON_TS|NONE_SZ|1X1_AD|CM1_IT|SOC_U1|PARTICIPE_U2|PAGUECOMVISA</t>
  </si>
  <si>
    <t>MK|BR_CH|PSD_DT|CROSS_PB|FCBK_FM|GIF_RT|CPM_PD|VDV-PROMONACIONAL_TG|NON_ST|NON_TS|NONE_SZ|1X1_AD|CM1_IT|SOC_U1|PRAIA_U2|PARTICIPE</t>
  </si>
  <si>
    <t>MK|BR_CH|PSD_DT|CROSS_PB|FCBK_FM|GIF_RT|CPM_PD|VDV-PROMONACIONAL_TG|NON_ST|NON_TS|NONE_SZ|1X1_AD|CM1_IT|SOC_U1|SEMANADOBRASIL</t>
  </si>
  <si>
    <t>254925733</t>
  </si>
  <si>
    <t>450914879</t>
  </si>
  <si>
    <t>MK|BR_CH|PSD_DT|CROSS_PB|FCBK_FM|LNK_RT|CPM_PD|IQ360_TG|NON_ST|NON_TS|NONE_SZ|1X1_AD|CM1_IT|SOC_U1|ADESAO</t>
  </si>
  <si>
    <t>255642634</t>
  </si>
  <si>
    <t>451570686</t>
  </si>
  <si>
    <t>MK|BR_CH|PSD_DT|CROSS_PB|FCBK_FM|LNK_RT|CPM_PD|VCO-MERCHANT-GPA_TG|NON_ST|NON_TS|NONE_SZ|1X1_AD|CM1_IT|SOC_U1|PAIEFILHA</t>
  </si>
  <si>
    <t>MK|BR_CH|PSD_DT|CROSS_PB|FCBK_FM|LNK_RT|CPM_PD|VDV-MERCHANT-DECOLAR_TG|NON_ST|NON_TS|NONE_SZ|1X1_AD|CM1_IT|SOC</t>
  </si>
  <si>
    <t>235541867</t>
  </si>
  <si>
    <t>433254913</t>
  </si>
  <si>
    <t>MK|BR_CH|PSD_DT|CROSS_PB|FCBK_FM|LNK_RT|CPM_PD|VDV-MERCHANT-DECOLAR_TG|NON_ST|NON_TS|NONE_SZ|1X1_AD|CM1_IT|SOC_U1|CAMPO</t>
  </si>
  <si>
    <t>MK|BR_CH|PSD_DT|CROSS_PB|FCBK_FM|LNK_RT|CPM_PD|VDV-MERCHANT-DECOLAR_TG|NON_ST|NON_TS|NONE_SZ|1X1_AD|CM1_IT|SOC_U1|MAR</t>
  </si>
  <si>
    <t>245601013</t>
  </si>
  <si>
    <t>442156464</t>
  </si>
  <si>
    <t>MK|BR_CH|PSD_DT|CROSS_PB|FCBK_FM|LNK_RT|CPM_PD|VDV-MERCHANT-DECOLAR_TG|NON_ST|NON_TS|NONE_SZ|1X1_AD|CM1_IT|SOC_U1|MONTANHA</t>
  </si>
  <si>
    <t>MK|BR_CH|PSD_DT|CROSS_PB|FCBK_FM|LNK_RT|CPM_PD|VDV-MERCHANT-DECOLAR_TG|NON_ST|NON_TS|NONE_SZ|1X1_AD|CM1_IT|SOC_U1|PISCINA_U2|OPORTUNIDADE</t>
  </si>
  <si>
    <t>254745531</t>
  </si>
  <si>
    <t>450614660</t>
  </si>
  <si>
    <t>MK|BR_CH|PSD_DT|CROSS_PB|FCBK_FM|LNK_RT|CPM_PD|VDV-MERCHANT-DECOLAR_TG|NON_ST|NON_TS|NONE_SZ|1X1_AD|CM1_IT|SOC_U1|PRAIA</t>
  </si>
  <si>
    <t>MK|BR_CH|PSD_DT|CROSS_PB|FCBK_FM|LNK_RT|CPM_PD|VDV-MERCHANT-DECOLAR_TG|NON_ST|NON_TS|NONE_SZ|1X1_AD|CM1_IT|SOC_U1|PREDIOS</t>
  </si>
  <si>
    <t>MK|BR_CH|PSD_DT|CROSS_PB|FCBK_FM|LNK_RT|CPM_PD|VDV-MERCHANT-MOVIDA_TG|NON_ST|NON_TS|NONE_SZ|1X1_AD|CM1_IT|SOC_U1|25OFF_U2|QUADRADO</t>
  </si>
  <si>
    <t>256167690</t>
  </si>
  <si>
    <t>451881489</t>
  </si>
  <si>
    <t>MK|BR_CH|PSD_DT|CROSS_PB|FCBK_FM|LNK_RT|CPM_PD|VDV-MERCHANT-MOVIDA_TG|NON_ST|NON_TS|NONE_SZ|1X1_AD|CM1_IT|SOC_U1|25OFF_U2|RETANGULAR</t>
  </si>
  <si>
    <t>256167693</t>
  </si>
  <si>
    <t>451881492</t>
  </si>
  <si>
    <t>MK|BR_CH|PSD_DT|CROSS_PB|FCBK_FM|LNK_RT|CPM_PD|VDV-MERCHANT-MOVIDA_TG|NON_ST|NON_TS|NONE_SZ|1X1_AD|CM1_IT|SOC_U1|QUADRADO_U2|20OFF</t>
  </si>
  <si>
    <t>MK|BR_CH|PSD_DT|CROSS_PB|FCBK_FM|LNK_RT|CPM_PD|VDV-MERCHANT-MOVIDA_TG|NON_ST|NON_TS|NONE_SZ|1X1_AD|CM1_IT|SOC_U1|RETANGULAR_U2|20OFF</t>
  </si>
  <si>
    <t>MK|BR_CH|PSD_DT|CROSS_PB|FCBK_FM|LNK_RT|CPM_PD|VDV-MERCHANT-NETSHOES_TG|NON_ST|NON_TS|NONE_SZ|1X1_AD|CM1_IT|SOC_U1|QUADRADO_U2|15OFF</t>
  </si>
  <si>
    <t>MK|BR_CH|PSD_DT|CROSS_PB|FCBK_FM|LNK_RT|CPM_PD|VDV-MERCHANT-NETSHOES_TG|NON_ST|NON_TS|NONE_SZ|1X1_AD|CM1_IT|SOC_U1|QUADRADO_U2|20OFF</t>
  </si>
  <si>
    <t>MK|BR_CH|PSD_DT|CROSS_PB|FCBK_FM|LNK_RT|CPM_PD|VDV-MERCHANT-RAPPI_TG|NON_ST|NON_TS|NONE_SZ|1X1_AD|CM1_IT|SOC_U1|LARANJA_U2|QUADRADO</t>
  </si>
  <si>
    <t>MK|BR_CH|PSD_DT|CROSS_PB|FCBK_FM|LNK_RT|CPM_PD|VDV-MERCHANT-RAPPI_TG|NON_ST|NON_TS|NONE_SZ|1X1_AD|CM1_IT|SOC_U1|LARANJA_U2|RETANGULAR</t>
  </si>
  <si>
    <t>MK|BR_CH|PSD_DT|CROSS_PB|FCBK_FM|LNK_RT|CPM_PD|VDV-MERCHANT-RAPPI_TG|NON_ST|NON_TS|NONE_SZ|1X1_AD|CM1_IT|SOC_U1|RETANGULAR_U2|VERDE</t>
  </si>
  <si>
    <t>MK|BR_CH|PSD_DT|CROSS_PB|FCBK_FM|LNK_RT|CPM_PD|VDV-MERCHANT-ZATTINI_TG|NON_ST|NON_TS|NONE_SZ|1X1_AD|CM1_IT|SOC_U1|FEMININO_U2|15OFF</t>
  </si>
  <si>
    <t>MK|BR_CH|PSD_DT|CROSS_PB|FCBK_FM|LNK_RT|CPM_PD|VDV-PROMONACIONAL_TG|NON_ST|NON_TS|NONE_SZ|1X1_AD|CM1_IT|SOC_U1|AMARELO</t>
  </si>
  <si>
    <t>MK|BR_CH|PSD_DT|CROSS_PB|FCBK_FM|LNK_RT|CPM_PD|VDV-PROMONACIONAL_TG|NON_ST|NON_TS|NONE_SZ|1X1_AD|CM1_IT|SOC_U1|CHANCECHANCE_U2|BASEVDV</t>
  </si>
  <si>
    <t>255126048</t>
  </si>
  <si>
    <t>450991808</t>
  </si>
  <si>
    <t>MK|BR_CH|PSD_DT|CROSS_PB|FCBK_FM|LNK_RT|CPM_PD|VDV-PROMONACIONAL_TG|NON_ST|NON_TS|NONE_SZ|1X1_AD|CM1_IT|SOC_U1|CHANCECHANCE_U2|BOCEJO</t>
  </si>
  <si>
    <t>254860515</t>
  </si>
  <si>
    <t>450664548</t>
  </si>
  <si>
    <t>MK|BR_CH|PSD_DT|CROSS_PB|FCBK_FM|LNK_RT|CPM_PD|VDV-PROMONACIONAL_TG|NON_ST|NON_TS|NONE_SZ|1X1_AD|CM1_IT|SOC_U1|CHANCECHANCE_U2|HORIZONTAL</t>
  </si>
  <si>
    <t>254741131</t>
  </si>
  <si>
    <t>450680808</t>
  </si>
  <si>
    <t>MK|BR_CH|PSD_DT|CROSS_PB|FCBK_FM|LNK_RT|CPM_PD|VDV-PROMONACIONAL_TG|NON_ST|NON_TS|NONE_SZ|1X1_AD|CM1_IT|SOC_U1|CHANCECHANCE_U2|VERTICAL</t>
  </si>
  <si>
    <t>254871960</t>
  </si>
  <si>
    <t>450679719</t>
  </si>
  <si>
    <t>MK|BR_CH|PSD_DT|CROSS_PB|FCBK_FM|LNK_RT|CPM_PD|VDV-PROMONACIONAL_TG|NON_ST|NON_TS|NONE_SZ|1X1_AD|CM1_IT|SOC_U1|DEBITO_U2|EXPECTATIVA-REALIDADE</t>
  </si>
  <si>
    <t>254917970</t>
  </si>
  <si>
    <t>451281736</t>
  </si>
  <si>
    <t>MK|BR_CH|PSD_DT|CROSS_PB|FCBK_FM|LNK_RT|CPM_PD|VDV-PROMONACIONAL_TG|NON_ST|NON_TS|NONE_SZ|1X1_AD|CM1_IT|SOC_U1|DEBITO_U2|INVADINDO-TIMELINE_U3|CAFE</t>
  </si>
  <si>
    <t>254917961</t>
  </si>
  <si>
    <t>451281727</t>
  </si>
  <si>
    <t>MK|BR_CH|PSD_DT|CROSS_PB|FCBK_FM|LNK_RT|CPM_PD|VDV-PROMONACIONAL_TG|NON_ST|NON_TS|NONE_SZ|1X1_AD|CM1_IT|SOC_U1|DEBITO_U2|INVADINDO-TIMELINE_U3|DOCE</t>
  </si>
  <si>
    <t>254917982</t>
  </si>
  <si>
    <t>451281748</t>
  </si>
  <si>
    <t>MK|BR_CH|PSD_DT|CROSS_PB|FCBK_FM|LNK_RT|CPM_PD|VDV-PROMONACIONAL_TG|NON_ST|NON_TS|NONE_SZ|1X1_AD|CM1_IT|SOC_U1|GANHADORES</t>
  </si>
  <si>
    <t>MK|BR_CH|PSD_DT|CROSS_PB|FCBK_FM|LNK_RT|CPM_PD|VDV-PROMONACIONAL_TG|NON_ST|NON_TS|NONE_SZ|1X1_AD|CM1_IT|SOC_U1|GANHADORESATUALIZADOS_U2|SETEMBRO</t>
  </si>
  <si>
    <t>255925904</t>
  </si>
  <si>
    <t>452168339</t>
  </si>
  <si>
    <t>MK|BR_CH|PSD_DT|CROSS_PB|FCBK_FM|LNK_RT|CPM_PD|VDV-PROMONACIONAL_TG|NON_ST|NON_TS|NONE_SZ|1X1_AD|CM1_IT|SOC_U1|PARTICIPE</t>
  </si>
  <si>
    <t>MK|BR_CH|PSD_DT|CROSS_PB|FCBK_FM|LNK_RT|CPM_PD|VDV-PROMONACIONAL_TG|NON_ST|NON_TS|NONE_SZ|1X1_AD|CM1_IT|SOC_U1|PARTICIPE_U2|PAGUECOMVISA</t>
  </si>
  <si>
    <t>MK|BR_CH|PSD_DT|CROSS_PB|FCBK_FM|LNK_RT|CPM_PD|VDV-PROMONACIONAL_TG|NON_ST|NON_TS|NONE_SZ|1X1_AD|CM1_IT|SOC_U1|SEMANADOBRASIL</t>
  </si>
  <si>
    <t>255052029</t>
  </si>
  <si>
    <t>450960340</t>
  </si>
  <si>
    <t>MK|BR_CH|PSD_DT|CROSS_PB|FCBK_FM|STRY_RT|CPM_PD|VDV-PROMONACIONAL_TG|NON_ST|NON_TS|NONE_SZ|1X1_AD|CM1_IT|SOC_U1|CHANCECHANCE_U2|BASEVDV_U3|BOCEJO</t>
  </si>
  <si>
    <t>255126057</t>
  </si>
  <si>
    <t>450991817</t>
  </si>
  <si>
    <t>MK|BR_CH|PSD_DT|CROSS_PB|VER_FM|LNK_RT|CPM_PD|VDV-PROMONACIONAL_TG|NON_ST|NON_TS|NONE_SZ|1X1_AD|CM1_IT|SOC_U1|CAMPING_U2|CADASTRE-SE</t>
  </si>
  <si>
    <t>MK|BR_CH|PSD_DT|CROSS_PB|YOUT_FM|BMPR_RT|CPM_PD|VDV-PROMONACIONAL_TG|NON_ST|NON_TS|NONE_SZ|1X1_AD|CM1_IT|SOC_U1|CHANCECHANCE</t>
  </si>
  <si>
    <t>255175294</t>
  </si>
  <si>
    <t>451157612</t>
  </si>
  <si>
    <t>MK|BR_CH|PSV_DT|CROSS_PB|YOUT_FM|BMPR_RT|CPM_PD|VDV-PROMONACIONAL_TG|NON_ST|NON_TS|NONE_SZ|1X1_AD|CM1_IT|SOC_U1|CHANCECHANCE</t>
  </si>
  <si>
    <t>254862021</t>
  </si>
  <si>
    <t>450673278</t>
  </si>
  <si>
    <t>MK|BR_CH|PSV_DT|CROSS_PB|YOUT_FM|BMPR_RT|CPM_PD|VDV-PROMONACIONAL_TG|NON_ST|NON_TS|NONE_SZ|1X1_AD|CM1_IT|SOC_U1|KVFERIAS_U2|PRAIA</t>
  </si>
  <si>
    <t>MK|BR_CH|PSV_DT|CROSS_PB|YOUT_FM|BMPR_RT|CPM_PD|VDV-PROMONACIONAL_TG|NON_ST|NON_TS|NONE_SZ|Video:6_AD|CM1_IT|SOC</t>
  </si>
  <si>
    <t>MK|BR_CH|PSV_DT|CROSS_PB|YOUT_FM|VID_RT|CPM_PD|VDV-PROMONACIONAL_TG|NON_ST|NON_TS|NONE_SZ|1X1_AD|CM1_IT|SOC_U1|KVFERIAS_U2|PRAIA</t>
  </si>
  <si>
    <t>251351886</t>
  </si>
  <si>
    <t>447378698</t>
  </si>
  <si>
    <t>MK|BR_CH|PV_DT|CROSS_PB|YOUT_FM|VID_RT|CPM_PD|VDV-PROMONACIONAL_TG|NON_ST|NON_TS|NONE_SZ|1X1_AD|CM1_IT|SOC_U1|CHANCECHANCE_U2|32''</t>
  </si>
  <si>
    <t>254926983</t>
  </si>
  <si>
    <t>450836302</t>
  </si>
  <si>
    <t>MK|BR_CH|PD_DT|CROSS_PB|DV36_FM|BAN_RT|CPM_PD|VCO-MERCHANT-GOL_TG|NON_ST|NON_TS|NONE_SZ|300x250_AD|CM_IT|SOC_U1|WIFI</t>
  </si>
  <si>
    <t>MK|BR_CH|PD_DT|CROSS_PB|DV36_FM|BAN_RT|CPM_PD|VCO-MERCHANT-GOL_TG|NON_ST|NON_TS|NONE_SZ|300x600_AD|CM_IT|SOC_U1|WIFI</t>
  </si>
  <si>
    <t>MK|BR_CH|PD_DT|CROSS_PB|DV36_FM|BAN_RT|CPM_PD|VCO-MERCHANT-GPA_TG|NON_ST|NON_TS|NONE_SZ|160x600_AD|CM_IT|SOC</t>
  </si>
  <si>
    <t>MK|BR_CH|PD_DT|CROSS_PB|DV36_FM|BAN_RT|CPM_PD|VCO-MERCHANT-GPA_TG|NON_ST|NON_TS|NONE_SZ|300x250_AD|CM_IT|SOC</t>
  </si>
  <si>
    <t>MK|BR_CH|PD_DT|CROSS_PB|DV36_FM|BAN_RT|CPM_PD|VCO-MERCHANT-GPA_TG|NON_ST|NON_TS|NONE_SZ|300x600_AD|CM_IT|SOC</t>
  </si>
  <si>
    <t>MK|BR_CH|PD_DT|CROSS_PB|DV36_FM|BAN_RT|CPM_PD|VCO-MERCHANT-GPA_TG|NON_ST|NON_TS|NONE_SZ|970x250_AD|CM_IT|SOC</t>
  </si>
  <si>
    <t>MK|BR_CH|PD_DT|CROSS_PB|DV36_FM|BAN_RT|CPM_PD|VDV-EDUCACIONAL_TG|NON_ST|NON_TS|NONE_SZ|160x600_AD|CM_IT|SOC</t>
  </si>
  <si>
    <t>MK|BR_CH|PD_DT|CROSS_PB|DV36_FM|BAN_RT|CPM_PD|VDV-EDUCACIONAL_TG|NON_ST|NON_TS|NONE_SZ|160x600_AD|CM_IT|SOC_U1|CREDITO</t>
  </si>
  <si>
    <t>MK|BR_CH|PD_DT|CROSS_PB|DV36_FM|BAN_RT|CPM_PD|VDV-EDUCACIONAL_TG|NON_ST|NON_TS|NONE_SZ|300x250_AD|CM_IT|SOC</t>
  </si>
  <si>
    <t>MK|BR_CH|PD_DT|CROSS_PB|DV36_FM|BAN_RT|CPM_PD|VDV-EDUCACIONAL_TG|NON_ST|NON_TS|NONE_SZ|300x250_AD|CM_IT|SOC_U1|CREDITO</t>
  </si>
  <si>
    <t>MK|BR_CH|PD_DT|CROSS_PB|DV36_FM|BAN_RT|CPM_PD|VDV-EDUCACIONAL_TG|NON_ST|NON_TS|NONE_SZ|300x600_AD|CM_IT|SOC</t>
  </si>
  <si>
    <t>MK|BR_CH|PD_DT|CROSS_PB|DV36_FM|BAN_RT|CPM_PD|VDV-EDUCACIONAL_TG|NON_ST|NON_TS|NONE_SZ|300x600_AD|CM_IT|SOC_U1|CREDITO</t>
  </si>
  <si>
    <t>MK|BR_CH|PD_DT|CROSS_PB|DV36_FM|BAN_RT|CPM_PD|VDV-EDUCACIONAL_TG|NON_ST|NON_TS|NONE_SZ|970x250_AD|CM_IT|SOC</t>
  </si>
  <si>
    <t>MK|BR_CH|PD_DT|CROSS_PB|DV36_FM|BAN_RT|CPM_PD|VDV-EDUCACIONAL_TG|NON_ST|NON_TS|NONE_SZ|970x250_AD|CM_IT|SOC_U1|CREDITO</t>
  </si>
  <si>
    <t>MK|BR_CH|PD_DT|CROSS_PB|VER_FM|BAN_RT|CPM_PD|VDV-EDUCACIONAL_TG|NON_ST|NON_TS|NONE_SZ|300x250_AD|CM_IT|OO</t>
  </si>
  <si>
    <t>MK|BR_CH|PD_DT|CROSS_PB|VER_FM|BAN_RT|CPM_PD|VDV-MERCHANT-GOL_TG|NON_ST|NON_TS|NONE_SZ|627x627_AD|CM_IT|OO</t>
  </si>
  <si>
    <t>240843175</t>
  </si>
  <si>
    <t>437838733</t>
  </si>
  <si>
    <t>MK|BR_CH|PD_DT|CROSS_PB|VER_FM|BAN_RT|CPM_PD|VDV-PROMONACIONAL_TG|NON_ST|NON_TS|NONE_SZ|627x627_AD|CM_IT|OO</t>
  </si>
  <si>
    <t>MK|BR_CH|PD_DT|CROSS_PB|VER_FM|BAN_RT|CPM_PD|VDV-PROMONACIONAL_TG|NON_ST|NON_TS|NONE_SZ|627x627_AD|CM_IT|OO_U1|CAMPO</t>
  </si>
  <si>
    <t>MK|BR_CH|PD_DT|CROSS_PB|VER_FM|BAN_RT|CPM_PD|VDV-PROMONACIONAL_TG|NON_ST|NON_TS|NONE_SZ|627x627_AD|CM_IT|OO_U1|PRAIA</t>
  </si>
  <si>
    <t>MK|BR_CH|PSD_DT|CROSS_PB|VER_FM|BAN_RT|CPM_PD|VDV-EDUCACIONAL_TG|NON_ST|NON_TS|NONE_SZ|160x600_AD|CM_IT|OO</t>
  </si>
  <si>
    <t>MK|BR_CH|PSD_DT|CROSS_PB|VER_FM|BAN_RT|CPM_PD|VDV-EDUCACIONAL_TG|NON_ST|NON_TS|NONE_SZ|300x600_AD|CM_IT|OO</t>
  </si>
  <si>
    <t>MK|BR_CH|PD_DT|CROSS_PB|VER_FM|BAN_RT|CPM_PD|VDV-MERCHANT-DECOLAR_TG|NON_ST|NON_TS|NONE_SZ|160x600_AD|CM_IT|SOC_U1|CAMPO</t>
  </si>
  <si>
    <t>MK|BR_CH|PD_DT|CROSS_PB|VER_FM|BAN_RT|CPM_PD|VDV-MERCHANT-DECOLAR_TG|NON_ST|NON_TS|NONE_SZ|160x600_AD|CM_IT|SOC_U1|MAR</t>
  </si>
  <si>
    <t>MK|BR_CH|PD_DT|CROSS_PB|VER_FM|BAN_RT|CPM_PD|VDV-MERCHANT-DECOLAR_TG|NON_ST|NON_TS|NONE_SZ|160x600_AD|CM_IT|SOC_U1|PREDIO</t>
  </si>
  <si>
    <t>MK|BR_CH|PD_DT|CROSS_PB|VER_FM|BAN_RT|CPM_PD|VDV-MERCHANT-DECOLAR_TG|NON_ST|NON_TS|NONE_SZ|300x250_AD|CM_IT|SOC_U1|CAMPO</t>
  </si>
  <si>
    <t>MK|BR_CH|PD_DT|CROSS_PB|VER_FM|BAN_RT|CPM_PD|VDV-MERCHANT-DECOLAR_TG|NON_ST|NON_TS|NONE_SZ|300x250_AD|CM_IT|SOC_U1|MAR</t>
  </si>
  <si>
    <t>MK|BR_CH|PD_DT|CROSS_PB|VER_FM|BAN_RT|CPM_PD|VDV-MERCHANT-DECOLAR_TG|NON_ST|NON_TS|NONE_SZ|300x250_AD|CM_IT|SOC_U1|PREDIO</t>
  </si>
  <si>
    <t>MK|BR_CH|PD_DT|CROSS_PB|VER_FM|BAN_RT|CPM_PD|VDV-MERCHANT-DECOLAR_TG|NON_ST|NON_TS|NONE_SZ|300x600_AD|CM_IT|SOC_U1|CAMPO</t>
  </si>
  <si>
    <t>MK|BR_CH|PD_DT|CROSS_PB|VER_FM|BAN_RT|CPM_PD|VDV-MERCHANT-DECOLAR_TG|NON_ST|NON_TS|NONE_SZ|300x600_AD|CM_IT|SOC_U1|MAR</t>
  </si>
  <si>
    <t>MK|BR_CH|PD_DT|CROSS_PB|VER_FM|BAN_RT|CPM_PD|VDV-MERCHANT-DECOLAR_TG|NON_ST|NON_TS|NONE_SZ|300x600_AD|CM_IT|SOC_U1|PREDIO</t>
  </si>
  <si>
    <t>MK|BR_CH|PD_DT|CROSS_PB|VER_FM|BAN_RT|CPM_PD|VDV-MERCHANT-DECOLAR_TG|NON_ST|NON_TS|NONE_SZ|970x250_AD|CM_IT|SOC_U1|CAMPO</t>
  </si>
  <si>
    <t>MK|BR_CH|PD_DT|CROSS_PB|VER_FM|BAN_RT|CPM_PD|VDV-MERCHANT-DECOLAR_TG|NON_ST|NON_TS|NONE_SZ|970x250_AD|CM_IT|SOC_U1|MAR</t>
  </si>
  <si>
    <t>MK|BR_CH|PD_DT|CROSS_PB|VER_FM|BAN_RT|CPM_PD|VDV-MERCHANT-DECOLAR_TG|NON_ST|NON_TS|NONE_SZ|970x250_AD|CM_IT|SOC_U1|PREDIO</t>
  </si>
  <si>
    <t>MK|BR_CH|PD_DT|CROSS_PB|VER_FM|BAN_RT|CPM_PD|VDV-PROMONACIONAL_TG|NON_ST|NON_TS|NONE_SZ|627x627_AD|CM1_IT|SOC_U1|SEMANADOBRASIL</t>
  </si>
  <si>
    <t>254918774</t>
  </si>
  <si>
    <t>451188084</t>
  </si>
  <si>
    <t>MK|BR_CH|PD_DT|CROSS_PB|VER_FM|BAN_RT|CPM_PD|VDV-PROMONACIONAL_TG|NON_ST|NON_TS|NONE_SZ|720x1280_AD|CM1_IT|SOC_U1|SEMANADOBRASIL</t>
  </si>
  <si>
    <t>255383355</t>
  </si>
  <si>
    <t>451188090</t>
  </si>
  <si>
    <t>MK|BR_CH|PD_DT|CROSS_PB|VER_FM|NAT_RT|CPM_PD|VDV-PROMONACIONAL_TG|NON_ST|NON_TS|NONE_SZ|1200x627_AD|CM1_IT|SOC_U1|KVAMARELO</t>
  </si>
  <si>
    <t>MK|BR_CH|PD_DT|CROSS_PB|VER_FM|NAT_RT|CPM_PD|VDV-PROMONACIONAL_TG|NON_ST|NON_TS|NONE_SZ|1200x627_AD|CM1_IT|SOC_U1|SEMANADOBRASIL</t>
  </si>
  <si>
    <t>255357874</t>
  </si>
  <si>
    <t>451385677</t>
  </si>
  <si>
    <t>MK|BR_CH|PD_DT|CROSS_PB|VER_FM|NAT_RT|CPM_PD|VDV-PROMONACIONAL_TG|NON_ST|NON_TS|NONE_SZ|627x627_AD|CM1_IT|OO_U1|KVAMARELO_U2|TESTE-DSP</t>
  </si>
  <si>
    <t>MK|BR_CH|PD_DT|CROSS_PB|VER_FM|NAT_RT|CPM_PD|VDV-PROMONACIONAL_TG|NON_ST|NON_TS|NONE_SZ|627x627_AD|CM1_IT|SOC_U1|SEMANADOBRASIL</t>
  </si>
  <si>
    <t>255022919</t>
  </si>
  <si>
    <t>451384063</t>
  </si>
  <si>
    <t>MK|BR_CH|PD_DT|CROSS_PB|VER_FM|NAT_RT|CPM_PD|VDV-PROMONACIONAL_TG|NON_ST|NON_TS|NONE_SZ|720x1280_AD|CM1_IT|SOC_U1|SEMANADOBRASIL</t>
  </si>
  <si>
    <t>255491046</t>
  </si>
  <si>
    <t>451333037</t>
  </si>
  <si>
    <t>MK|BR_CH|PSD_DT|CROSS_PB|VER_FM|NAT_RT|CPM_PD|VDV-MERCHANT-NETSHOES_TG|NON_ST|NON_TS|NONE_SZ|1200x627_AD|CM1_IT|SOC_U1|FEMININO_U2|15OFF</t>
  </si>
  <si>
    <t>MK|BR_CH|PV_DT|CROSS_PB|VER_FM|INV_RT|CPM_PD|VDV-PROMONACIONAL_TG|NON_ST|NON_TS|NONE_SZ|1X1_AD|CM1_IT|SOC_U1|CHANCECHANCE_U2|32''</t>
  </si>
  <si>
    <t>254463878</t>
  </si>
  <si>
    <t>450739923</t>
  </si>
  <si>
    <t>MK|BR_CH|PSD_DT|CROSS_PB|FCBK_FM|GIF_RT|CPM_PD|VDV-PROMONACIONAL_TG|NON_ST|NON_TS|NONE_SZ|1X1_AD|CM1_IT|SOC_U1|CHANCECHANCE_U2|BASEVDV_U3|FUTEBOL</t>
  </si>
  <si>
    <t>255126045</t>
  </si>
  <si>
    <t>450991805</t>
  </si>
  <si>
    <t>MK|BR_CH|PSD_DT|CROSS_PB|FCBK_FM|STRY_RT|CPM_PD|VDV-MERCHANT-MOVIDA_TG|NON_ST|NON_TS|NONE_SZ|1X1_AD|CM1_IT|SOC_U1|25OFF</t>
  </si>
  <si>
    <t>256167687</t>
  </si>
  <si>
    <t>451881486</t>
  </si>
  <si>
    <t>MK|BR_CH|PSD_DT|CROSS_PB|FCBK_FM|STRY_RT|CPM_PD|VDV-PROMONACIONAL_TG|NON_ST|NON_TS|NONE_SZ|1X1_AD|CM1_IT|SOC_U1|CHANCECHANCE</t>
  </si>
  <si>
    <t>255052710</t>
  </si>
  <si>
    <t>450854811</t>
  </si>
  <si>
    <t>MK|BR_CH|PSD_DT|CROSS_PB|FCBK_FM|STRY_RT|CPM_PD|VDV-PROMONACIONAL_TG|NON_ST|NON_TS|NONE_SZ|1X1_AD|CM1_IT|SOC_U1|CHANCECHANCE_U2|BASEVDV_U3|BASQUETE</t>
  </si>
  <si>
    <t>255126060</t>
  </si>
  <si>
    <t>450991820</t>
  </si>
  <si>
    <t>MK|BR_CH|PSD_DT|CROSS_PB|FCBK_FM|STRY_RT|CPM_PD|VDV-PROMONACIONAL_TG|NON_ST|NON_TS|NONE_SZ|1X1_AD|CM1_IT|SOC_U1|DEBITO_U2|EXPECTATIVA-REALIDADE</t>
  </si>
  <si>
    <t>254917985</t>
  </si>
  <si>
    <t>451281751</t>
  </si>
  <si>
    <t>MK|BR_CH|PSD_DT|CROSS_PB|FCBK_FM|STRY_RT|CPM_PD|VDV-PROMONACIONAL_TG|NON_ST|NON_TS|NONE_SZ|1X1_AD|CM1_IT|SOC_U1|DEBITO_U2|INVADINDO-TIMELINE_U3|CAFE</t>
  </si>
  <si>
    <t>254917976</t>
  </si>
  <si>
    <t>451281742</t>
  </si>
  <si>
    <t>MK|BR_CH|PSD_DT|CROSS_PB|FCBK_FM|STRY_RT|CPM_PD|VDV-PROMONACIONAL_TG|NON_ST|NON_TS|NONE_SZ|1X1_AD|CM1_IT|SOC_U1|DEBITO_U2|INVADINDO-TIMELINE_U3|DOCE</t>
  </si>
  <si>
    <t>254917973</t>
  </si>
  <si>
    <t>451281739</t>
  </si>
  <si>
    <t>MK|BR_CH|PSD_DT|CROSS_PB|FCBK_FM|STRY_RT|CPM_PD|VDV-PROMONACIONAL_TG|NON_ST|NON_TS|NONE_SZ|1X1_AD|CM1_IT|SOC_U1|GANHADORESATUALIZADOS</t>
  </si>
  <si>
    <t>256384401</t>
  </si>
  <si>
    <t>452128572</t>
  </si>
  <si>
    <t>MK|BR_CH|PSD_DT|CROSS_PB|INST_FM|STRY_RT|CPM_PD|VCO-MERCHANT-GPA_TG|NON_ST|NON_TS|NONE_SZ|1X1_AD|CM1_IT|SOC_U1|PAIEFILHA</t>
  </si>
  <si>
    <t>254095836</t>
  </si>
  <si>
    <t>450078163</t>
  </si>
  <si>
    <t>MK|BR_CH|PSD_DT|CROSS_PB|INST_FM|STRY_RT|CPM_PD|VDV-EDUCACIONAL_TG|NON_ST|NON_TS|NONE_SZ|1X1_AD|CM1_IT|SOC_U1|DEBITO</t>
  </si>
  <si>
    <t>MK|BR_CH|PSD_DT|CROSS_PB|INST_FM|STRY_RT|CPM_PD|VDV-EDUCACIONAL_TG|NON_ST|NON_TS|NONE_SZ|1X1_AD|CM1_IT|SOC_U1|DESCONTO</t>
  </si>
  <si>
    <t>MK|BR_CH|PSD_DT|CROSS_PB|INST_FM|STRY_RT|CPM_PD|VDV-EDUCACIONAL_TG|NON_ST|NON_TS|NONE_SZ|1X1_AD|CM1_IT|SOC_U1|VIAGEM_U2|OFERTA</t>
  </si>
  <si>
    <t>MK|BR_CH|PSD_DT|CROSS_PB|INST_FM|STRY_RT|CPM_PD|VDV-MERCHANT-DECOLAR_TG|NON_ST|NON_TS|NONE_SZ|1X1_AD|CM1_IT|SOC_U1|MONTANHA</t>
  </si>
  <si>
    <t>MK|BR_CH|PSD_DT|CROSS_PB|INST_FM|STRY_RT|CPM_PD|VDV-MERCHANT-DECOLAR_TG|NON_ST|NON_TS|NONE_SZ|1X1_AD|CM1_IT|SOC_U1|PRAIA</t>
  </si>
  <si>
    <t>MK|BR_CH|PSD_DT|CROSS_PB|INST_FM|STRY_RT|CPM_PD|VDV-MERCHANT-MOVIDA_TG|NON_ST|NON_TS|NONE_SZ|1X1_AD|CM1_IT|SOC_U1|20OFF</t>
  </si>
  <si>
    <t>MK|BR_CH|PSD_DT|CROSS_PB|INST_FM|STRY_RT|CPM_PD|VDV-MERCHANT-NETSHOES_TG|NON_ST|NON_TS|NONE_SZ|1X1_AD|CM1_IT|SOC_U1|FEMININO_U2|15OFF</t>
  </si>
  <si>
    <t>MK|BR_CH|PSD_DT|CROSS_PB|INST_FM|STRY_RT|CPM_PD|VDV-MERCHANT-RAPPI_TG|NON_ST|NON_TS|NONE_SZ|1X1_AD|CM1_IT|SOC_U1|LARANJA</t>
  </si>
  <si>
    <t>MK|BR_CH|PSD_DT|CROSS_PB|INST_FM|STRY_RT|CPM_PD|VDV-MERCHANT-ZATTINI_TG|NON_ST|NON_TS|NONE_SZ|1X1_AD|CM1_IT|SOC_U1|FEMININO_U2|15OFF</t>
  </si>
  <si>
    <t>MK|BR_CH|PSD_DT|CROSS_PB|INST_FM|STRY_RT|CPM_PD|VDV-PROMONACIONAL_TG|NON_ST|NON_TS|NONE_SZ|1X1_AD|CM1_IT|SOC_U1|CHANCECHANCE_U2|BASQUETE</t>
  </si>
  <si>
    <t>254380283</t>
  </si>
  <si>
    <t>450664545</t>
  </si>
  <si>
    <t>MK|BR_CH|PSD_DT|CROSS_PB|INST_FM|STRY_RT|CPM_PD|VDV-PROMONACIONAL_TG|NON_ST|NON_TS|NONE_SZ|1X1_AD|CM1_IT|SOC_U1|CHANCECHANCE_U2|FUTEBOL</t>
  </si>
  <si>
    <t>254380280</t>
  </si>
  <si>
    <t>450664542</t>
  </si>
  <si>
    <t>MK|BR_CH|PSD_DT|CROSS_PB|INST_FM|STRY_RT|CPM_PD|VDV-PROMONACIONAL_TG|NON_ST|NON_TS|NONE_SZ|1X1_AD|CM1_IT|SOC_U1|GANHADORES</t>
  </si>
  <si>
    <t>MK|BR_CH|PSD_DT|CROSS_PB|INST_FM|STRY_RT|CPM_PD|VDV-PROMONACIONAL_TG|NON_ST|NON_TS|NONE_SZ|1X1_AD|CM1_IT|SOC_U1|PAGUECOMVISA</t>
  </si>
  <si>
    <t>MK|BR_CH|PSD_DT|CROSS_PB|INST_FM|STRY_RT|CPM_PD|VDV-PROMONACIONAL_TG|NON_ST|NON_TS|NONE_SZ|1X1_AD|CM1_IT|SOC_U1|PARTICIPE_U2|PAGUECOMVISA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</si>
</sst>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6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850"/>
  <sheetViews>
    <sheetView topLeftCell="A683" workbookViewId="0">
      <selection activeCell="A2" sqref="A2:J692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54</v>
      </c>
    </row>
    <row r="2" spans="1:11">
      <c r="A2" s="17" t="s">
        <v>501</v>
      </c>
      <c r="B2" s="19" t="s">
        <v>50</v>
      </c>
      <c r="C2" s="19" t="s">
        <v>502</v>
      </c>
      <c r="D2" s="19" t="s">
        <v>348</v>
      </c>
      <c r="E2" s="20" t="s">
        <v>32</v>
      </c>
      <c r="F2" s="19" t="s">
        <v>502</v>
      </c>
      <c r="G2" s="19" t="s">
        <v>349</v>
      </c>
      <c r="H2" s="19" t="s">
        <v>32</v>
      </c>
      <c r="I2">
        <v>0</v>
      </c>
      <c r="J2">
        <v>8355</v>
      </c>
      <c r="K2" s="1"/>
    </row>
    <row r="3" spans="1:11">
      <c r="A3" s="17" t="s">
        <v>501</v>
      </c>
      <c r="B3" s="19" t="s">
        <v>50</v>
      </c>
      <c r="C3" s="19" t="s">
        <v>503</v>
      </c>
      <c r="D3" s="19" t="s">
        <v>189</v>
      </c>
      <c r="E3" s="20" t="s">
        <v>32</v>
      </c>
      <c r="F3" s="19" t="s">
        <v>503</v>
      </c>
      <c r="G3" s="19" t="s">
        <v>190</v>
      </c>
      <c r="H3" s="19" t="s">
        <v>32</v>
      </c>
      <c r="I3">
        <v>0</v>
      </c>
      <c r="J3">
        <v>25559</v>
      </c>
      <c r="K3" s="1"/>
    </row>
    <row r="4" spans="1:11">
      <c r="A4" s="17" t="s">
        <v>501</v>
      </c>
      <c r="B4" s="19" t="s">
        <v>50</v>
      </c>
      <c r="C4" s="19" t="s">
        <v>504</v>
      </c>
      <c r="D4" s="19" t="s">
        <v>105</v>
      </c>
      <c r="E4" s="20" t="s">
        <v>32</v>
      </c>
      <c r="F4" s="19" t="s">
        <v>504</v>
      </c>
      <c r="G4" s="19" t="s">
        <v>106</v>
      </c>
      <c r="H4" s="19" t="s">
        <v>32</v>
      </c>
      <c r="I4">
        <v>0</v>
      </c>
      <c r="J4">
        <v>2</v>
      </c>
      <c r="K4" s="1"/>
    </row>
    <row r="5" spans="1:11">
      <c r="A5" s="17" t="s">
        <v>501</v>
      </c>
      <c r="B5" s="19" t="s">
        <v>50</v>
      </c>
      <c r="C5" s="19" t="s">
        <v>505</v>
      </c>
      <c r="D5" s="19" t="s">
        <v>342</v>
      </c>
      <c r="E5" s="20" t="s">
        <v>32</v>
      </c>
      <c r="F5" s="19" t="s">
        <v>505</v>
      </c>
      <c r="G5" s="19" t="s">
        <v>343</v>
      </c>
      <c r="H5" s="19" t="s">
        <v>32</v>
      </c>
      <c r="I5">
        <v>0</v>
      </c>
      <c r="J5">
        <v>3617</v>
      </c>
      <c r="K5" s="1"/>
    </row>
    <row r="6" spans="1:11">
      <c r="A6" s="17" t="s">
        <v>501</v>
      </c>
      <c r="B6" s="19" t="s">
        <v>50</v>
      </c>
      <c r="C6" s="19" t="s">
        <v>506</v>
      </c>
      <c r="D6" s="19" t="s">
        <v>507</v>
      </c>
      <c r="E6" s="20" t="s">
        <v>32</v>
      </c>
      <c r="F6" s="19" t="s">
        <v>506</v>
      </c>
      <c r="G6" s="19" t="s">
        <v>508</v>
      </c>
      <c r="H6" s="19" t="s">
        <v>32</v>
      </c>
      <c r="I6">
        <v>0</v>
      </c>
      <c r="J6">
        <v>1</v>
      </c>
      <c r="K6" s="1"/>
    </row>
    <row r="7" spans="1:11">
      <c r="A7" s="17" t="s">
        <v>501</v>
      </c>
      <c r="B7" s="19" t="s">
        <v>50</v>
      </c>
      <c r="C7" s="19" t="s">
        <v>509</v>
      </c>
      <c r="D7" s="19" t="s">
        <v>344</v>
      </c>
      <c r="E7" s="20" t="s">
        <v>32</v>
      </c>
      <c r="F7" s="19" t="s">
        <v>509</v>
      </c>
      <c r="G7" s="19" t="s">
        <v>345</v>
      </c>
      <c r="H7" s="19" t="s">
        <v>32</v>
      </c>
      <c r="I7">
        <v>0</v>
      </c>
      <c r="J7">
        <v>6773</v>
      </c>
      <c r="K7" s="1"/>
    </row>
    <row r="8" spans="1:11">
      <c r="A8" s="17" t="s">
        <v>501</v>
      </c>
      <c r="B8" s="19" t="s">
        <v>50</v>
      </c>
      <c r="C8" s="19" t="s">
        <v>510</v>
      </c>
      <c r="D8" s="19" t="s">
        <v>346</v>
      </c>
      <c r="E8" s="20" t="s">
        <v>32</v>
      </c>
      <c r="F8" s="19" t="s">
        <v>510</v>
      </c>
      <c r="G8" s="19" t="s">
        <v>347</v>
      </c>
      <c r="H8" s="19" t="s">
        <v>32</v>
      </c>
      <c r="I8">
        <v>0</v>
      </c>
      <c r="J8">
        <v>17040</v>
      </c>
      <c r="K8" s="1"/>
    </row>
    <row r="9" spans="1:11">
      <c r="A9" s="17" t="s">
        <v>501</v>
      </c>
      <c r="B9" s="19" t="s">
        <v>50</v>
      </c>
      <c r="C9" s="19" t="s">
        <v>511</v>
      </c>
      <c r="D9" s="19" t="s">
        <v>350</v>
      </c>
      <c r="E9" s="20" t="s">
        <v>32</v>
      </c>
      <c r="F9" s="19" t="s">
        <v>511</v>
      </c>
      <c r="G9" s="19" t="s">
        <v>351</v>
      </c>
      <c r="H9" s="19" t="s">
        <v>32</v>
      </c>
      <c r="I9">
        <v>0</v>
      </c>
      <c r="J9">
        <v>1218</v>
      </c>
      <c r="K9" s="1"/>
    </row>
    <row r="10" spans="1:11">
      <c r="A10" s="17" t="s">
        <v>501</v>
      </c>
      <c r="B10" s="19" t="s">
        <v>50</v>
      </c>
      <c r="C10" s="19" t="s">
        <v>512</v>
      </c>
      <c r="D10" s="19" t="s">
        <v>107</v>
      </c>
      <c r="E10" s="20" t="s">
        <v>32</v>
      </c>
      <c r="F10" s="19" t="s">
        <v>512</v>
      </c>
      <c r="G10" s="19" t="s">
        <v>108</v>
      </c>
      <c r="H10" s="19" t="s">
        <v>32</v>
      </c>
      <c r="I10">
        <v>0</v>
      </c>
      <c r="J10">
        <v>2</v>
      </c>
      <c r="K10" s="1"/>
    </row>
    <row r="11" spans="1:11">
      <c r="A11" s="17" t="s">
        <v>501</v>
      </c>
      <c r="B11" s="19" t="s">
        <v>50</v>
      </c>
      <c r="C11" s="19" t="s">
        <v>513</v>
      </c>
      <c r="D11" s="19" t="s">
        <v>352</v>
      </c>
      <c r="E11" s="20" t="s">
        <v>32</v>
      </c>
      <c r="F11" s="19" t="s">
        <v>513</v>
      </c>
      <c r="G11" s="19" t="s">
        <v>353</v>
      </c>
      <c r="H11" s="19" t="s">
        <v>32</v>
      </c>
      <c r="I11">
        <v>0</v>
      </c>
      <c r="J11">
        <v>366</v>
      </c>
      <c r="K11" s="1"/>
    </row>
    <row r="12" spans="1:11">
      <c r="A12" s="17" t="s">
        <v>501</v>
      </c>
      <c r="B12" s="19" t="s">
        <v>50</v>
      </c>
      <c r="C12" s="19" t="s">
        <v>514</v>
      </c>
      <c r="D12" s="19" t="s">
        <v>81</v>
      </c>
      <c r="E12" s="20" t="s">
        <v>32</v>
      </c>
      <c r="F12" s="19" t="s">
        <v>514</v>
      </c>
      <c r="G12" s="19" t="s">
        <v>82</v>
      </c>
      <c r="H12" s="19" t="s">
        <v>32</v>
      </c>
      <c r="I12">
        <v>0</v>
      </c>
      <c r="J12">
        <v>1</v>
      </c>
      <c r="K12" s="1"/>
    </row>
    <row r="13" spans="1:11">
      <c r="A13" s="17" t="s">
        <v>501</v>
      </c>
      <c r="B13" s="19" t="s">
        <v>83</v>
      </c>
      <c r="C13" s="19" t="s">
        <v>515</v>
      </c>
      <c r="D13" s="19" t="s">
        <v>516</v>
      </c>
      <c r="E13" s="20" t="s">
        <v>32</v>
      </c>
      <c r="F13" s="19" t="s">
        <v>515</v>
      </c>
      <c r="G13" s="19" t="s">
        <v>517</v>
      </c>
      <c r="H13" s="19" t="s">
        <v>32</v>
      </c>
      <c r="I13">
        <v>6654899</v>
      </c>
      <c r="J13">
        <v>26844</v>
      </c>
      <c r="K13" s="1"/>
    </row>
    <row r="14" spans="1:11">
      <c r="A14" s="17" t="s">
        <v>501</v>
      </c>
      <c r="B14" s="19" t="s">
        <v>83</v>
      </c>
      <c r="C14" s="19" t="s">
        <v>518</v>
      </c>
      <c r="D14" s="19" t="s">
        <v>519</v>
      </c>
      <c r="E14" s="20" t="s">
        <v>32</v>
      </c>
      <c r="F14" s="19" t="s">
        <v>518</v>
      </c>
      <c r="G14" s="19" t="s">
        <v>520</v>
      </c>
      <c r="H14" s="19" t="s">
        <v>32</v>
      </c>
      <c r="I14">
        <v>6672124</v>
      </c>
      <c r="J14">
        <v>31153</v>
      </c>
      <c r="K14" s="1"/>
    </row>
    <row r="15" spans="1:11">
      <c r="A15" s="17" t="s">
        <v>501</v>
      </c>
      <c r="B15" s="19" t="s">
        <v>83</v>
      </c>
      <c r="C15" s="19" t="s">
        <v>521</v>
      </c>
      <c r="D15" s="19" t="s">
        <v>109</v>
      </c>
      <c r="E15" s="20" t="s">
        <v>32</v>
      </c>
      <c r="F15" s="19" t="s">
        <v>521</v>
      </c>
      <c r="G15" s="19" t="s">
        <v>110</v>
      </c>
      <c r="H15" s="19" t="s">
        <v>32</v>
      </c>
      <c r="I15">
        <v>0</v>
      </c>
      <c r="J15">
        <v>33</v>
      </c>
      <c r="K15" s="1"/>
    </row>
    <row r="16" spans="1:11">
      <c r="A16" s="17" t="s">
        <v>501</v>
      </c>
      <c r="B16" s="19" t="s">
        <v>83</v>
      </c>
      <c r="C16" s="19" t="s">
        <v>522</v>
      </c>
      <c r="D16" s="19" t="s">
        <v>523</v>
      </c>
      <c r="E16" s="20" t="s">
        <v>32</v>
      </c>
      <c r="F16" s="19" t="s">
        <v>522</v>
      </c>
      <c r="G16" s="19" t="s">
        <v>524</v>
      </c>
      <c r="H16" s="19" t="s">
        <v>32</v>
      </c>
      <c r="I16">
        <v>18528000</v>
      </c>
      <c r="J16">
        <v>238980</v>
      </c>
      <c r="K16" s="1"/>
    </row>
    <row r="17" spans="1:11">
      <c r="A17" s="17" t="s">
        <v>501</v>
      </c>
      <c r="B17" s="19" t="s">
        <v>49</v>
      </c>
      <c r="C17" s="19" t="s">
        <v>525</v>
      </c>
      <c r="D17" s="19" t="s">
        <v>364</v>
      </c>
      <c r="E17" s="20" t="s">
        <v>12</v>
      </c>
      <c r="F17" s="19" t="s">
        <v>525</v>
      </c>
      <c r="G17" s="19" t="s">
        <v>365</v>
      </c>
      <c r="H17" s="19" t="s">
        <v>31</v>
      </c>
      <c r="I17">
        <v>126498</v>
      </c>
      <c r="J17">
        <v>25</v>
      </c>
      <c r="K17" s="1"/>
    </row>
    <row r="18" spans="1:11">
      <c r="A18" s="17" t="s">
        <v>501</v>
      </c>
      <c r="B18" s="19" t="s">
        <v>49</v>
      </c>
      <c r="C18" s="19" t="s">
        <v>526</v>
      </c>
      <c r="D18" s="19" t="s">
        <v>366</v>
      </c>
      <c r="E18" s="20" t="s">
        <v>12</v>
      </c>
      <c r="F18" s="19" t="s">
        <v>526</v>
      </c>
      <c r="G18" s="19" t="s">
        <v>368</v>
      </c>
      <c r="H18" s="19" t="s">
        <v>31</v>
      </c>
      <c r="I18">
        <v>2163833</v>
      </c>
      <c r="J18">
        <v>3337</v>
      </c>
      <c r="K18" s="1"/>
    </row>
    <row r="19" spans="1:11">
      <c r="A19" s="17" t="s">
        <v>501</v>
      </c>
      <c r="B19" s="19" t="s">
        <v>49</v>
      </c>
      <c r="C19" s="19" t="s">
        <v>527</v>
      </c>
      <c r="D19" s="19" t="s">
        <v>369</v>
      </c>
      <c r="E19" s="20" t="s">
        <v>12</v>
      </c>
      <c r="F19" s="19" t="s">
        <v>527</v>
      </c>
      <c r="G19" s="19" t="s">
        <v>370</v>
      </c>
      <c r="H19" s="19" t="s">
        <v>31</v>
      </c>
      <c r="I19">
        <v>243071</v>
      </c>
      <c r="J19">
        <v>979</v>
      </c>
      <c r="K19" s="1"/>
    </row>
    <row r="20" spans="1:11">
      <c r="A20" s="17" t="s">
        <v>501</v>
      </c>
      <c r="B20" s="19" t="s">
        <v>49</v>
      </c>
      <c r="C20" s="19" t="s">
        <v>528</v>
      </c>
      <c r="D20" s="19" t="s">
        <v>371</v>
      </c>
      <c r="E20" s="20" t="s">
        <v>12</v>
      </c>
      <c r="F20" s="19" t="s">
        <v>528</v>
      </c>
      <c r="G20" s="19" t="s">
        <v>372</v>
      </c>
      <c r="H20" s="19" t="s">
        <v>31</v>
      </c>
      <c r="I20">
        <v>710511</v>
      </c>
      <c r="J20">
        <v>1655</v>
      </c>
      <c r="K20" s="1"/>
    </row>
    <row r="21" spans="1:11">
      <c r="A21" s="17" t="s">
        <v>501</v>
      </c>
      <c r="B21" s="19" t="s">
        <v>49</v>
      </c>
      <c r="C21" s="19" t="s">
        <v>529</v>
      </c>
      <c r="D21" s="19" t="s">
        <v>373</v>
      </c>
      <c r="E21" s="20" t="s">
        <v>12</v>
      </c>
      <c r="F21" s="19" t="s">
        <v>529</v>
      </c>
      <c r="G21" s="19" t="s">
        <v>374</v>
      </c>
      <c r="H21" s="19" t="s">
        <v>31</v>
      </c>
      <c r="I21">
        <v>484462</v>
      </c>
      <c r="J21">
        <v>188</v>
      </c>
      <c r="K21" s="1"/>
    </row>
    <row r="22" spans="1:11">
      <c r="A22" s="17" t="s">
        <v>501</v>
      </c>
      <c r="B22" s="19" t="s">
        <v>49</v>
      </c>
      <c r="C22" s="19" t="s">
        <v>530</v>
      </c>
      <c r="D22" s="19" t="s">
        <v>375</v>
      </c>
      <c r="E22" s="20" t="s">
        <v>12</v>
      </c>
      <c r="F22" s="19" t="s">
        <v>530</v>
      </c>
      <c r="G22" s="19" t="s">
        <v>376</v>
      </c>
      <c r="H22" s="19" t="s">
        <v>31</v>
      </c>
      <c r="I22">
        <v>106683</v>
      </c>
      <c r="J22">
        <v>12</v>
      </c>
      <c r="K22" s="1"/>
    </row>
    <row r="23" spans="1:11">
      <c r="A23" s="17" t="s">
        <v>501</v>
      </c>
      <c r="B23" s="19" t="s">
        <v>49</v>
      </c>
      <c r="C23" s="19" t="s">
        <v>531</v>
      </c>
      <c r="D23" s="19" t="s">
        <v>377</v>
      </c>
      <c r="E23" s="20" t="s">
        <v>12</v>
      </c>
      <c r="F23" s="19" t="s">
        <v>531</v>
      </c>
      <c r="G23" s="19" t="s">
        <v>378</v>
      </c>
      <c r="H23" s="19" t="s">
        <v>31</v>
      </c>
      <c r="I23">
        <v>2013334</v>
      </c>
      <c r="J23">
        <v>3321</v>
      </c>
      <c r="K23" s="1"/>
    </row>
    <row r="24" spans="1:11">
      <c r="A24" s="17" t="s">
        <v>501</v>
      </c>
      <c r="B24" s="19" t="s">
        <v>49</v>
      </c>
      <c r="C24" s="19" t="s">
        <v>532</v>
      </c>
      <c r="D24" s="19" t="s">
        <v>379</v>
      </c>
      <c r="E24" s="20" t="s">
        <v>12</v>
      </c>
      <c r="F24" s="19" t="s">
        <v>532</v>
      </c>
      <c r="G24" s="19" t="s">
        <v>380</v>
      </c>
      <c r="H24" s="19" t="s">
        <v>31</v>
      </c>
      <c r="I24">
        <v>205879</v>
      </c>
      <c r="J24">
        <v>800</v>
      </c>
      <c r="K24" s="1"/>
    </row>
    <row r="25" spans="1:11">
      <c r="A25" s="17" t="s">
        <v>501</v>
      </c>
      <c r="B25" s="19" t="s">
        <v>49</v>
      </c>
      <c r="C25" s="19" t="s">
        <v>533</v>
      </c>
      <c r="D25" s="19" t="s">
        <v>381</v>
      </c>
      <c r="E25" s="20" t="s">
        <v>12</v>
      </c>
      <c r="F25" s="19" t="s">
        <v>533</v>
      </c>
      <c r="G25" s="19" t="s">
        <v>382</v>
      </c>
      <c r="H25" s="19" t="s">
        <v>31</v>
      </c>
      <c r="I25">
        <v>624873</v>
      </c>
      <c r="J25">
        <v>1459</v>
      </c>
      <c r="K25" s="1"/>
    </row>
    <row r="26" spans="1:11">
      <c r="A26" s="17" t="s">
        <v>501</v>
      </c>
      <c r="B26" s="19" t="s">
        <v>49</v>
      </c>
      <c r="C26" s="19" t="s">
        <v>534</v>
      </c>
      <c r="D26" s="19" t="s">
        <v>383</v>
      </c>
      <c r="E26" s="20" t="s">
        <v>12</v>
      </c>
      <c r="F26" s="19" t="s">
        <v>534</v>
      </c>
      <c r="G26" s="19" t="s">
        <v>384</v>
      </c>
      <c r="H26" s="19" t="s">
        <v>31</v>
      </c>
      <c r="I26">
        <v>506446</v>
      </c>
      <c r="J26">
        <v>263</v>
      </c>
      <c r="K26" s="1"/>
    </row>
    <row r="27" spans="1:11">
      <c r="A27" s="17" t="s">
        <v>501</v>
      </c>
      <c r="B27" s="19" t="s">
        <v>49</v>
      </c>
      <c r="C27" s="19" t="s">
        <v>535</v>
      </c>
      <c r="D27" s="19" t="s">
        <v>385</v>
      </c>
      <c r="E27" s="20" t="s">
        <v>12</v>
      </c>
      <c r="F27" s="19" t="s">
        <v>535</v>
      </c>
      <c r="G27" s="19" t="s">
        <v>386</v>
      </c>
      <c r="H27" s="19" t="s">
        <v>31</v>
      </c>
      <c r="I27">
        <v>1111879</v>
      </c>
      <c r="J27">
        <v>737</v>
      </c>
      <c r="K27" s="1"/>
    </row>
    <row r="28" spans="1:11">
      <c r="A28" s="17" t="s">
        <v>501</v>
      </c>
      <c r="B28" s="19" t="s">
        <v>49</v>
      </c>
      <c r="C28" s="19" t="s">
        <v>536</v>
      </c>
      <c r="D28" s="19" t="s">
        <v>387</v>
      </c>
      <c r="E28" s="20" t="s">
        <v>12</v>
      </c>
      <c r="F28" s="19" t="s">
        <v>536</v>
      </c>
      <c r="G28" s="19" t="s">
        <v>388</v>
      </c>
      <c r="H28" s="19" t="s">
        <v>31</v>
      </c>
      <c r="I28">
        <v>7785</v>
      </c>
      <c r="J28">
        <v>8</v>
      </c>
      <c r="K28" s="1"/>
    </row>
    <row r="29" spans="1:11">
      <c r="A29" s="17" t="s">
        <v>501</v>
      </c>
      <c r="B29" s="19" t="s">
        <v>49</v>
      </c>
      <c r="C29" s="19" t="s">
        <v>537</v>
      </c>
      <c r="D29" s="19" t="s">
        <v>354</v>
      </c>
      <c r="E29" s="20" t="s">
        <v>12</v>
      </c>
      <c r="F29" s="19" t="s">
        <v>537</v>
      </c>
      <c r="G29" s="19" t="s">
        <v>355</v>
      </c>
      <c r="H29" s="19" t="s">
        <v>31</v>
      </c>
      <c r="I29">
        <v>94873</v>
      </c>
      <c r="J29">
        <v>61</v>
      </c>
      <c r="K29" s="1"/>
    </row>
    <row r="30" spans="1:11">
      <c r="A30" s="17" t="s">
        <v>501</v>
      </c>
      <c r="B30" s="19" t="s">
        <v>49</v>
      </c>
      <c r="C30" s="19" t="s">
        <v>538</v>
      </c>
      <c r="D30" s="19" t="s">
        <v>356</v>
      </c>
      <c r="E30" s="20" t="s">
        <v>11</v>
      </c>
      <c r="F30" s="19" t="s">
        <v>115</v>
      </c>
      <c r="G30" s="19" t="s">
        <v>367</v>
      </c>
      <c r="H30" s="19" t="s">
        <v>31</v>
      </c>
      <c r="I30">
        <v>1</v>
      </c>
      <c r="J30">
        <v>0</v>
      </c>
      <c r="K30" s="1"/>
    </row>
    <row r="31" spans="1:11">
      <c r="A31" s="17" t="s">
        <v>501</v>
      </c>
      <c r="B31" s="19" t="s">
        <v>49</v>
      </c>
      <c r="C31" s="19" t="s">
        <v>538</v>
      </c>
      <c r="D31" s="19" t="s">
        <v>356</v>
      </c>
      <c r="E31" s="20" t="s">
        <v>12</v>
      </c>
      <c r="F31" s="19" t="s">
        <v>538</v>
      </c>
      <c r="G31" s="19" t="s">
        <v>357</v>
      </c>
      <c r="H31" s="19" t="s">
        <v>31</v>
      </c>
      <c r="I31">
        <v>5213924</v>
      </c>
      <c r="J31">
        <v>15105</v>
      </c>
      <c r="K31" s="1"/>
    </row>
    <row r="32" spans="1:11">
      <c r="A32" s="17" t="s">
        <v>501</v>
      </c>
      <c r="B32" s="19" t="s">
        <v>49</v>
      </c>
      <c r="C32" s="19" t="s">
        <v>539</v>
      </c>
      <c r="D32" s="19" t="s">
        <v>358</v>
      </c>
      <c r="E32" s="20" t="s">
        <v>12</v>
      </c>
      <c r="F32" s="19" t="s">
        <v>539</v>
      </c>
      <c r="G32" s="19" t="s">
        <v>359</v>
      </c>
      <c r="H32" s="19" t="s">
        <v>31</v>
      </c>
      <c r="I32">
        <v>588085</v>
      </c>
      <c r="J32">
        <v>2693</v>
      </c>
      <c r="K32" s="1"/>
    </row>
    <row r="33" spans="1:11">
      <c r="A33" s="17" t="s">
        <v>501</v>
      </c>
      <c r="B33" s="19" t="s">
        <v>49</v>
      </c>
      <c r="C33" s="19" t="s">
        <v>540</v>
      </c>
      <c r="D33" s="19" t="s">
        <v>360</v>
      </c>
      <c r="E33" s="20" t="s">
        <v>12</v>
      </c>
      <c r="F33" s="19" t="s">
        <v>540</v>
      </c>
      <c r="G33" s="19" t="s">
        <v>361</v>
      </c>
      <c r="H33" s="19" t="s">
        <v>31</v>
      </c>
      <c r="I33">
        <v>2211289</v>
      </c>
      <c r="J33">
        <v>11853</v>
      </c>
      <c r="K33" s="1"/>
    </row>
    <row r="34" spans="1:11">
      <c r="A34" s="17" t="s">
        <v>501</v>
      </c>
      <c r="B34" s="19" t="s">
        <v>49</v>
      </c>
      <c r="C34" s="19" t="s">
        <v>541</v>
      </c>
      <c r="D34" s="19" t="s">
        <v>362</v>
      </c>
      <c r="E34" s="20" t="s">
        <v>12</v>
      </c>
      <c r="F34" s="19" t="s">
        <v>541</v>
      </c>
      <c r="G34" s="19" t="s">
        <v>363</v>
      </c>
      <c r="H34" s="19" t="s">
        <v>31</v>
      </c>
      <c r="I34">
        <v>462308</v>
      </c>
      <c r="J34">
        <v>1170</v>
      </c>
      <c r="K34" s="1"/>
    </row>
    <row r="35" spans="1:11">
      <c r="A35" s="17" t="s">
        <v>501</v>
      </c>
      <c r="B35" s="19" t="s">
        <v>49</v>
      </c>
      <c r="C35" s="19" t="s">
        <v>542</v>
      </c>
      <c r="D35" s="19" t="s">
        <v>389</v>
      </c>
      <c r="E35" s="20" t="s">
        <v>12</v>
      </c>
      <c r="F35" s="19" t="s">
        <v>542</v>
      </c>
      <c r="G35" s="19" t="s">
        <v>390</v>
      </c>
      <c r="H35" s="19" t="s">
        <v>31</v>
      </c>
      <c r="I35">
        <v>42432</v>
      </c>
      <c r="J35">
        <v>32</v>
      </c>
      <c r="K35" s="1"/>
    </row>
    <row r="36" spans="1:11">
      <c r="A36" s="17" t="s">
        <v>501</v>
      </c>
      <c r="B36" s="19" t="s">
        <v>49</v>
      </c>
      <c r="C36" s="19" t="s">
        <v>543</v>
      </c>
      <c r="D36" s="19" t="s">
        <v>391</v>
      </c>
      <c r="E36" s="20" t="s">
        <v>12</v>
      </c>
      <c r="F36" s="19" t="s">
        <v>543</v>
      </c>
      <c r="G36" s="19" t="s">
        <v>392</v>
      </c>
      <c r="H36" s="19" t="s">
        <v>31</v>
      </c>
      <c r="I36">
        <v>2627192</v>
      </c>
      <c r="J36">
        <v>5604</v>
      </c>
      <c r="K36" s="1"/>
    </row>
    <row r="37" spans="1:11">
      <c r="A37" s="17" t="s">
        <v>501</v>
      </c>
      <c r="B37" s="19" t="s">
        <v>49</v>
      </c>
      <c r="C37" s="19" t="s">
        <v>544</v>
      </c>
      <c r="D37" s="19" t="s">
        <v>393</v>
      </c>
      <c r="E37" s="20" t="s">
        <v>12</v>
      </c>
      <c r="F37" s="19" t="s">
        <v>544</v>
      </c>
      <c r="G37" s="19" t="s">
        <v>394</v>
      </c>
      <c r="H37" s="19" t="s">
        <v>31</v>
      </c>
      <c r="I37">
        <v>428531</v>
      </c>
      <c r="J37">
        <v>1639</v>
      </c>
      <c r="K37" s="1"/>
    </row>
    <row r="38" spans="1:11">
      <c r="A38" s="17" t="s">
        <v>501</v>
      </c>
      <c r="B38" s="19" t="s">
        <v>49</v>
      </c>
      <c r="C38" s="19" t="s">
        <v>545</v>
      </c>
      <c r="D38" s="19" t="s">
        <v>395</v>
      </c>
      <c r="E38" s="20" t="s">
        <v>12</v>
      </c>
      <c r="F38" s="19" t="s">
        <v>545</v>
      </c>
      <c r="G38" s="19" t="s">
        <v>396</v>
      </c>
      <c r="H38" s="19" t="s">
        <v>31</v>
      </c>
      <c r="I38">
        <v>233620</v>
      </c>
      <c r="J38">
        <v>797</v>
      </c>
      <c r="K38" s="1"/>
    </row>
    <row r="39" spans="1:11">
      <c r="A39" s="17" t="s">
        <v>501</v>
      </c>
      <c r="B39" s="19" t="s">
        <v>49</v>
      </c>
      <c r="C39" s="19" t="s">
        <v>546</v>
      </c>
      <c r="D39" s="19" t="s">
        <v>397</v>
      </c>
      <c r="E39" s="20" t="s">
        <v>12</v>
      </c>
      <c r="F39" s="19" t="s">
        <v>546</v>
      </c>
      <c r="G39" s="19" t="s">
        <v>398</v>
      </c>
      <c r="H39" s="19" t="s">
        <v>31</v>
      </c>
      <c r="I39">
        <v>942190</v>
      </c>
      <c r="J39">
        <v>4143</v>
      </c>
      <c r="K39" s="1"/>
    </row>
    <row r="40" spans="1:11">
      <c r="A40" s="17" t="s">
        <v>501</v>
      </c>
      <c r="B40" s="19" t="s">
        <v>49</v>
      </c>
      <c r="C40" s="19" t="s">
        <v>547</v>
      </c>
      <c r="D40" s="19" t="s">
        <v>399</v>
      </c>
      <c r="E40" s="20" t="s">
        <v>12</v>
      </c>
      <c r="F40" s="19" t="s">
        <v>547</v>
      </c>
      <c r="G40" s="19" t="s">
        <v>400</v>
      </c>
      <c r="H40" s="19" t="s">
        <v>31</v>
      </c>
      <c r="I40">
        <v>238049</v>
      </c>
      <c r="J40">
        <v>432</v>
      </c>
      <c r="K40" s="1"/>
    </row>
    <row r="41" spans="1:11">
      <c r="A41" s="17" t="s">
        <v>501</v>
      </c>
      <c r="B41" s="19" t="s">
        <v>49</v>
      </c>
      <c r="C41" s="19" t="s">
        <v>548</v>
      </c>
      <c r="D41" s="19" t="s">
        <v>191</v>
      </c>
      <c r="E41" s="20" t="s">
        <v>12</v>
      </c>
      <c r="F41" s="19" t="s">
        <v>548</v>
      </c>
      <c r="G41" s="19" t="s">
        <v>192</v>
      </c>
      <c r="H41" s="19" t="s">
        <v>31</v>
      </c>
      <c r="I41">
        <v>221199</v>
      </c>
      <c r="J41">
        <v>136</v>
      </c>
      <c r="K41" s="1"/>
    </row>
    <row r="42" spans="1:11">
      <c r="A42" s="17" t="s">
        <v>501</v>
      </c>
      <c r="B42" s="19" t="s">
        <v>49</v>
      </c>
      <c r="C42" s="19" t="s">
        <v>549</v>
      </c>
      <c r="D42" s="19" t="s">
        <v>193</v>
      </c>
      <c r="E42" s="20" t="s">
        <v>12</v>
      </c>
      <c r="F42" s="19" t="s">
        <v>549</v>
      </c>
      <c r="G42" s="19" t="s">
        <v>194</v>
      </c>
      <c r="H42" s="19" t="s">
        <v>31</v>
      </c>
      <c r="I42">
        <v>400589</v>
      </c>
      <c r="J42">
        <v>9</v>
      </c>
      <c r="K42" s="1"/>
    </row>
    <row r="43" spans="1:11">
      <c r="A43" s="17" t="s">
        <v>501</v>
      </c>
      <c r="B43" s="19" t="s">
        <v>49</v>
      </c>
      <c r="C43" s="19" t="s">
        <v>550</v>
      </c>
      <c r="D43" s="19" t="s">
        <v>401</v>
      </c>
      <c r="E43" s="20" t="s">
        <v>12</v>
      </c>
      <c r="F43" s="19" t="s">
        <v>550</v>
      </c>
      <c r="G43" s="19" t="s">
        <v>402</v>
      </c>
      <c r="H43" s="19" t="s">
        <v>31</v>
      </c>
      <c r="I43">
        <v>542685</v>
      </c>
      <c r="J43">
        <v>69</v>
      </c>
      <c r="K43" s="1"/>
    </row>
    <row r="44" spans="1:11">
      <c r="A44" s="17" t="s">
        <v>501</v>
      </c>
      <c r="B44" s="19" t="s">
        <v>49</v>
      </c>
      <c r="C44" s="19" t="s">
        <v>551</v>
      </c>
      <c r="D44" s="19" t="s">
        <v>195</v>
      </c>
      <c r="E44" s="20" t="s">
        <v>12</v>
      </c>
      <c r="F44" s="19" t="s">
        <v>551</v>
      </c>
      <c r="G44" s="19" t="s">
        <v>196</v>
      </c>
      <c r="H44" s="19" t="s">
        <v>31</v>
      </c>
      <c r="I44">
        <v>68062</v>
      </c>
      <c r="J44">
        <v>4</v>
      </c>
      <c r="K44" s="1"/>
    </row>
    <row r="45" spans="1:11">
      <c r="A45" s="17" t="s">
        <v>501</v>
      </c>
      <c r="B45" s="19" t="s">
        <v>49</v>
      </c>
      <c r="C45" s="19" t="s">
        <v>552</v>
      </c>
      <c r="D45" s="19" t="s">
        <v>197</v>
      </c>
      <c r="E45" s="20" t="s">
        <v>12</v>
      </c>
      <c r="F45" s="19" t="s">
        <v>552</v>
      </c>
      <c r="G45" s="19" t="s">
        <v>198</v>
      </c>
      <c r="H45" s="19" t="s">
        <v>31</v>
      </c>
      <c r="I45">
        <v>71733</v>
      </c>
      <c r="J45">
        <v>1</v>
      </c>
      <c r="K45" s="1"/>
    </row>
    <row r="46" spans="1:11">
      <c r="A46" s="17" t="s">
        <v>501</v>
      </c>
      <c r="B46" s="19" t="s">
        <v>49</v>
      </c>
      <c r="C46" s="19" t="s">
        <v>553</v>
      </c>
      <c r="D46" s="19" t="s">
        <v>199</v>
      </c>
      <c r="E46" s="20" t="s">
        <v>12</v>
      </c>
      <c r="F46" s="19" t="s">
        <v>553</v>
      </c>
      <c r="G46" s="19" t="s">
        <v>200</v>
      </c>
      <c r="H46" s="19" t="s">
        <v>31</v>
      </c>
      <c r="I46">
        <v>175144</v>
      </c>
      <c r="J46">
        <v>15</v>
      </c>
      <c r="K46" s="1"/>
    </row>
    <row r="47" spans="1:11">
      <c r="A47" s="17" t="s">
        <v>501</v>
      </c>
      <c r="B47" s="19" t="s">
        <v>49</v>
      </c>
      <c r="C47" s="19" t="s">
        <v>554</v>
      </c>
      <c r="D47" s="19" t="s">
        <v>201</v>
      </c>
      <c r="E47" s="20" t="s">
        <v>12</v>
      </c>
      <c r="F47" s="19" t="s">
        <v>554</v>
      </c>
      <c r="G47" s="19" t="s">
        <v>202</v>
      </c>
      <c r="H47" s="19" t="s">
        <v>31</v>
      </c>
      <c r="I47">
        <v>190709</v>
      </c>
      <c r="J47">
        <v>106</v>
      </c>
      <c r="K47" s="1"/>
    </row>
    <row r="48" spans="1:11">
      <c r="A48" s="17" t="s">
        <v>501</v>
      </c>
      <c r="B48" s="19" t="s">
        <v>49</v>
      </c>
      <c r="C48" s="19" t="s">
        <v>555</v>
      </c>
      <c r="D48" s="19" t="s">
        <v>203</v>
      </c>
      <c r="E48" s="20" t="s">
        <v>12</v>
      </c>
      <c r="F48" s="19" t="s">
        <v>555</v>
      </c>
      <c r="G48" s="19" t="s">
        <v>204</v>
      </c>
      <c r="H48" s="19" t="s">
        <v>31</v>
      </c>
      <c r="I48">
        <v>108392</v>
      </c>
      <c r="J48">
        <v>10</v>
      </c>
      <c r="K48" s="1"/>
    </row>
    <row r="49" spans="1:11">
      <c r="A49" s="17" t="s">
        <v>501</v>
      </c>
      <c r="B49" s="19" t="s">
        <v>49</v>
      </c>
      <c r="C49" s="19" t="s">
        <v>556</v>
      </c>
      <c r="D49" s="19" t="s">
        <v>403</v>
      </c>
      <c r="E49" s="20" t="s">
        <v>12</v>
      </c>
      <c r="F49" s="19" t="s">
        <v>556</v>
      </c>
      <c r="G49" s="19" t="s">
        <v>404</v>
      </c>
      <c r="H49" s="19" t="s">
        <v>31</v>
      </c>
      <c r="I49">
        <v>679475</v>
      </c>
      <c r="J49">
        <v>241</v>
      </c>
      <c r="K49" s="1"/>
    </row>
    <row r="50" spans="1:11">
      <c r="A50" s="17" t="s">
        <v>501</v>
      </c>
      <c r="B50" s="19" t="s">
        <v>49</v>
      </c>
      <c r="C50" s="19" t="s">
        <v>557</v>
      </c>
      <c r="D50" s="19" t="s">
        <v>205</v>
      </c>
      <c r="E50" s="20" t="s">
        <v>12</v>
      </c>
      <c r="F50" s="19" t="s">
        <v>557</v>
      </c>
      <c r="G50" s="19" t="s">
        <v>206</v>
      </c>
      <c r="H50" s="19" t="s">
        <v>31</v>
      </c>
      <c r="I50">
        <v>27908</v>
      </c>
      <c r="J50">
        <v>2</v>
      </c>
      <c r="K50" s="1"/>
    </row>
    <row r="51" spans="1:11">
      <c r="A51" s="17" t="s">
        <v>501</v>
      </c>
      <c r="B51" s="19" t="s">
        <v>49</v>
      </c>
      <c r="C51" s="19" t="s">
        <v>558</v>
      </c>
      <c r="D51" s="19" t="s">
        <v>207</v>
      </c>
      <c r="E51" s="20" t="s">
        <v>12</v>
      </c>
      <c r="F51" s="19" t="s">
        <v>558</v>
      </c>
      <c r="G51" s="19" t="s">
        <v>208</v>
      </c>
      <c r="H51" s="19" t="s">
        <v>31</v>
      </c>
      <c r="I51">
        <v>29362</v>
      </c>
      <c r="J51">
        <v>2</v>
      </c>
      <c r="K51" s="1"/>
    </row>
    <row r="52" spans="1:11">
      <c r="A52" s="17" t="s">
        <v>501</v>
      </c>
      <c r="B52" s="19" t="s">
        <v>49</v>
      </c>
      <c r="C52" s="19" t="s">
        <v>559</v>
      </c>
      <c r="D52" s="19" t="s">
        <v>209</v>
      </c>
      <c r="E52" s="20" t="s">
        <v>12</v>
      </c>
      <c r="F52" s="19" t="s">
        <v>559</v>
      </c>
      <c r="G52" s="19" t="s">
        <v>210</v>
      </c>
      <c r="H52" s="19" t="s">
        <v>31</v>
      </c>
      <c r="I52">
        <v>85217</v>
      </c>
      <c r="J52">
        <v>9</v>
      </c>
      <c r="K52" s="1"/>
    </row>
    <row r="53" spans="1:11">
      <c r="A53" s="17" t="s">
        <v>501</v>
      </c>
      <c r="B53" s="19" t="s">
        <v>53</v>
      </c>
      <c r="C53" s="19" t="s">
        <v>560</v>
      </c>
      <c r="D53" s="19" t="s">
        <v>561</v>
      </c>
      <c r="E53" s="20" t="s">
        <v>32</v>
      </c>
      <c r="F53" s="19" t="s">
        <v>560</v>
      </c>
      <c r="G53" s="19" t="s">
        <v>562</v>
      </c>
      <c r="H53" s="19" t="s">
        <v>32</v>
      </c>
      <c r="I53">
        <v>0</v>
      </c>
      <c r="J53">
        <v>1</v>
      </c>
      <c r="K53" s="1"/>
    </row>
    <row r="54" spans="1:11">
      <c r="A54" s="17" t="s">
        <v>501</v>
      </c>
      <c r="B54" s="19" t="s">
        <v>111</v>
      </c>
      <c r="C54" s="19" t="s">
        <v>563</v>
      </c>
      <c r="D54" s="19" t="s">
        <v>405</v>
      </c>
      <c r="E54" s="20" t="s">
        <v>12</v>
      </c>
      <c r="F54" s="19" t="s">
        <v>563</v>
      </c>
      <c r="G54" s="19" t="s">
        <v>406</v>
      </c>
      <c r="H54" s="19" t="s">
        <v>31</v>
      </c>
      <c r="I54">
        <v>36379</v>
      </c>
      <c r="J54">
        <v>9</v>
      </c>
      <c r="K54" s="1"/>
    </row>
    <row r="55" spans="1:11">
      <c r="A55" s="17" t="s">
        <v>501</v>
      </c>
      <c r="B55" s="19" t="s">
        <v>111</v>
      </c>
      <c r="C55" s="19" t="s">
        <v>564</v>
      </c>
      <c r="D55" s="19" t="s">
        <v>407</v>
      </c>
      <c r="E55" s="20" t="s">
        <v>12</v>
      </c>
      <c r="F55" s="19" t="s">
        <v>564</v>
      </c>
      <c r="G55" s="19" t="s">
        <v>408</v>
      </c>
      <c r="H55" s="19" t="s">
        <v>31</v>
      </c>
      <c r="I55">
        <v>5057227</v>
      </c>
      <c r="J55">
        <v>877</v>
      </c>
      <c r="K55" s="1"/>
    </row>
    <row r="56" spans="1:11">
      <c r="A56" s="17" t="s">
        <v>501</v>
      </c>
      <c r="B56" s="19" t="s">
        <v>111</v>
      </c>
      <c r="C56" s="19" t="s">
        <v>565</v>
      </c>
      <c r="D56" s="19" t="s">
        <v>409</v>
      </c>
      <c r="E56" s="20" t="s">
        <v>12</v>
      </c>
      <c r="F56" s="19" t="s">
        <v>565</v>
      </c>
      <c r="G56" s="19" t="s">
        <v>410</v>
      </c>
      <c r="H56" s="19" t="s">
        <v>31</v>
      </c>
      <c r="I56">
        <v>879638</v>
      </c>
      <c r="J56">
        <v>1456</v>
      </c>
      <c r="K56" s="1"/>
    </row>
    <row r="57" spans="1:11">
      <c r="A57" s="17" t="s">
        <v>501</v>
      </c>
      <c r="B57" s="19" t="s">
        <v>111</v>
      </c>
      <c r="C57" s="19" t="s">
        <v>566</v>
      </c>
      <c r="D57" s="19" t="s">
        <v>411</v>
      </c>
      <c r="E57" s="20" t="s">
        <v>12</v>
      </c>
      <c r="F57" s="19" t="s">
        <v>566</v>
      </c>
      <c r="G57" s="19" t="s">
        <v>412</v>
      </c>
      <c r="H57" s="19" t="s">
        <v>31</v>
      </c>
      <c r="I57">
        <v>1649859</v>
      </c>
      <c r="J57">
        <v>1773</v>
      </c>
      <c r="K57" s="1"/>
    </row>
    <row r="58" spans="1:11">
      <c r="A58" s="17" t="s">
        <v>501</v>
      </c>
      <c r="B58" s="19" t="s">
        <v>111</v>
      </c>
      <c r="C58" s="19" t="s">
        <v>567</v>
      </c>
      <c r="D58" s="19" t="s">
        <v>413</v>
      </c>
      <c r="E58" s="20" t="s">
        <v>12</v>
      </c>
      <c r="F58" s="19" t="s">
        <v>567</v>
      </c>
      <c r="G58" s="19" t="s">
        <v>414</v>
      </c>
      <c r="H58" s="19" t="s">
        <v>31</v>
      </c>
      <c r="I58">
        <v>4873323</v>
      </c>
      <c r="J58">
        <v>302</v>
      </c>
      <c r="K58" s="1"/>
    </row>
    <row r="59" spans="1:11">
      <c r="A59" s="17" t="s">
        <v>501</v>
      </c>
      <c r="B59" s="19" t="s">
        <v>111</v>
      </c>
      <c r="C59" s="19" t="s">
        <v>568</v>
      </c>
      <c r="D59" s="19" t="s">
        <v>415</v>
      </c>
      <c r="E59" s="20" t="s">
        <v>12</v>
      </c>
      <c r="F59" s="19" t="s">
        <v>568</v>
      </c>
      <c r="G59" s="19" t="s">
        <v>416</v>
      </c>
      <c r="H59" s="19" t="s">
        <v>31</v>
      </c>
      <c r="I59">
        <v>79442</v>
      </c>
      <c r="J59">
        <v>13</v>
      </c>
      <c r="K59" s="1"/>
    </row>
    <row r="60" spans="1:11">
      <c r="A60" s="17" t="s">
        <v>501</v>
      </c>
      <c r="B60" s="19" t="s">
        <v>111</v>
      </c>
      <c r="C60" s="19" t="s">
        <v>569</v>
      </c>
      <c r="D60" s="19" t="s">
        <v>417</v>
      </c>
      <c r="E60" s="20" t="s">
        <v>11</v>
      </c>
      <c r="F60" s="19" t="s">
        <v>115</v>
      </c>
      <c r="G60" s="19" t="s">
        <v>367</v>
      </c>
      <c r="H60" s="19" t="s">
        <v>31</v>
      </c>
      <c r="I60">
        <v>1</v>
      </c>
      <c r="J60">
        <v>0</v>
      </c>
      <c r="K60" s="1"/>
    </row>
    <row r="61" spans="1:11">
      <c r="A61" s="17" t="s">
        <v>501</v>
      </c>
      <c r="B61" s="19" t="s">
        <v>111</v>
      </c>
      <c r="C61" s="19" t="s">
        <v>569</v>
      </c>
      <c r="D61" s="19" t="s">
        <v>417</v>
      </c>
      <c r="E61" s="20" t="s">
        <v>12</v>
      </c>
      <c r="F61" s="19" t="s">
        <v>569</v>
      </c>
      <c r="G61" s="19" t="s">
        <v>418</v>
      </c>
      <c r="H61" s="19" t="s">
        <v>31</v>
      </c>
      <c r="I61">
        <v>3367479</v>
      </c>
      <c r="J61">
        <v>3477</v>
      </c>
      <c r="K61" s="1"/>
    </row>
    <row r="62" spans="1:11">
      <c r="A62" s="17" t="s">
        <v>501</v>
      </c>
      <c r="B62" s="19" t="s">
        <v>111</v>
      </c>
      <c r="C62" s="19" t="s">
        <v>570</v>
      </c>
      <c r="D62" s="19" t="s">
        <v>419</v>
      </c>
      <c r="E62" s="20" t="s">
        <v>12</v>
      </c>
      <c r="F62" s="19" t="s">
        <v>570</v>
      </c>
      <c r="G62" s="19" t="s">
        <v>420</v>
      </c>
      <c r="H62" s="19" t="s">
        <v>31</v>
      </c>
      <c r="I62">
        <v>1249628</v>
      </c>
      <c r="J62">
        <v>2065</v>
      </c>
      <c r="K62" s="1"/>
    </row>
    <row r="63" spans="1:11">
      <c r="A63" s="17" t="s">
        <v>501</v>
      </c>
      <c r="B63" s="19" t="s">
        <v>111</v>
      </c>
      <c r="C63" s="19" t="s">
        <v>571</v>
      </c>
      <c r="D63" s="19" t="s">
        <v>421</v>
      </c>
      <c r="E63" s="20" t="s">
        <v>12</v>
      </c>
      <c r="F63" s="19" t="s">
        <v>571</v>
      </c>
      <c r="G63" s="19" t="s">
        <v>423</v>
      </c>
      <c r="H63" s="19" t="s">
        <v>31</v>
      </c>
      <c r="I63">
        <v>5112218</v>
      </c>
      <c r="J63">
        <v>8293</v>
      </c>
      <c r="K63" s="1"/>
    </row>
    <row r="64" spans="1:11">
      <c r="A64" s="17" t="s">
        <v>501</v>
      </c>
      <c r="B64" s="19" t="s">
        <v>111</v>
      </c>
      <c r="C64" s="19" t="s">
        <v>572</v>
      </c>
      <c r="D64" s="19" t="s">
        <v>424</v>
      </c>
      <c r="E64" s="20" t="s">
        <v>12</v>
      </c>
      <c r="F64" s="19" t="s">
        <v>572</v>
      </c>
      <c r="G64" s="19" t="s">
        <v>425</v>
      </c>
      <c r="H64" s="19" t="s">
        <v>31</v>
      </c>
      <c r="I64">
        <v>1376302</v>
      </c>
      <c r="J64">
        <v>242</v>
      </c>
      <c r="K64" s="1"/>
    </row>
    <row r="65" spans="1:11">
      <c r="A65" s="17" t="s">
        <v>501</v>
      </c>
      <c r="B65" s="19" t="s">
        <v>111</v>
      </c>
      <c r="C65" s="19" t="s">
        <v>573</v>
      </c>
      <c r="D65" s="19" t="s">
        <v>456</v>
      </c>
      <c r="E65" s="20" t="s">
        <v>12</v>
      </c>
      <c r="F65" s="19" t="s">
        <v>573</v>
      </c>
      <c r="G65" s="19" t="s">
        <v>457</v>
      </c>
      <c r="H65" s="19" t="s">
        <v>31</v>
      </c>
      <c r="I65">
        <v>34</v>
      </c>
      <c r="J65">
        <v>0</v>
      </c>
      <c r="K65" s="1"/>
    </row>
    <row r="66" spans="1:11">
      <c r="A66" s="17" t="s">
        <v>501</v>
      </c>
      <c r="B66" s="19" t="s">
        <v>111</v>
      </c>
      <c r="C66" s="19" t="s">
        <v>574</v>
      </c>
      <c r="D66" s="19" t="s">
        <v>458</v>
      </c>
      <c r="E66" s="20" t="s">
        <v>12</v>
      </c>
      <c r="F66" s="19" t="s">
        <v>574</v>
      </c>
      <c r="G66" s="19" t="s">
        <v>459</v>
      </c>
      <c r="H66" s="19" t="s">
        <v>31</v>
      </c>
      <c r="I66">
        <v>4417525</v>
      </c>
      <c r="J66">
        <v>5325</v>
      </c>
      <c r="K66" s="1"/>
    </row>
    <row r="67" spans="1:11">
      <c r="A67" s="17" t="s">
        <v>501</v>
      </c>
      <c r="B67" s="19" t="s">
        <v>111</v>
      </c>
      <c r="C67" s="19" t="s">
        <v>575</v>
      </c>
      <c r="D67" s="19" t="s">
        <v>460</v>
      </c>
      <c r="E67" s="20" t="s">
        <v>12</v>
      </c>
      <c r="F67" s="19" t="s">
        <v>575</v>
      </c>
      <c r="G67" s="19" t="s">
        <v>461</v>
      </c>
      <c r="H67" s="19" t="s">
        <v>31</v>
      </c>
      <c r="I67">
        <v>1922737</v>
      </c>
      <c r="J67">
        <v>702</v>
      </c>
      <c r="K67" s="1"/>
    </row>
    <row r="68" spans="1:11">
      <c r="A68" s="17" t="s">
        <v>501</v>
      </c>
      <c r="B68" s="19" t="s">
        <v>111</v>
      </c>
      <c r="C68" s="19" t="s">
        <v>576</v>
      </c>
      <c r="D68" s="19" t="s">
        <v>462</v>
      </c>
      <c r="E68" s="20" t="s">
        <v>12</v>
      </c>
      <c r="F68" s="19" t="s">
        <v>576</v>
      </c>
      <c r="G68" s="19" t="s">
        <v>463</v>
      </c>
      <c r="H68" s="19" t="s">
        <v>31</v>
      </c>
      <c r="I68">
        <v>1153800</v>
      </c>
      <c r="J68">
        <v>90</v>
      </c>
      <c r="K68" s="1"/>
    </row>
    <row r="69" spans="1:11">
      <c r="A69" s="17" t="s">
        <v>501</v>
      </c>
      <c r="B69" s="19" t="s">
        <v>111</v>
      </c>
      <c r="C69" s="19" t="s">
        <v>577</v>
      </c>
      <c r="D69" s="19" t="s">
        <v>426</v>
      </c>
      <c r="E69" s="20" t="s">
        <v>12</v>
      </c>
      <c r="F69" s="19" t="s">
        <v>577</v>
      </c>
      <c r="G69" s="19" t="s">
        <v>427</v>
      </c>
      <c r="H69" s="19" t="s">
        <v>31</v>
      </c>
      <c r="I69">
        <v>8</v>
      </c>
      <c r="J69">
        <v>0</v>
      </c>
      <c r="K69" s="1"/>
    </row>
    <row r="70" spans="1:11">
      <c r="A70" s="17" t="s">
        <v>501</v>
      </c>
      <c r="B70" s="19" t="s">
        <v>111</v>
      </c>
      <c r="C70" s="19" t="s">
        <v>578</v>
      </c>
      <c r="D70" s="19" t="s">
        <v>428</v>
      </c>
      <c r="E70" s="20" t="s">
        <v>12</v>
      </c>
      <c r="F70" s="19" t="s">
        <v>578</v>
      </c>
      <c r="G70" s="19" t="s">
        <v>429</v>
      </c>
      <c r="H70" s="19" t="s">
        <v>31</v>
      </c>
      <c r="I70">
        <v>1801499</v>
      </c>
      <c r="J70">
        <v>883</v>
      </c>
      <c r="K70" s="1"/>
    </row>
    <row r="71" spans="1:11">
      <c r="A71" s="17" t="s">
        <v>501</v>
      </c>
      <c r="B71" s="19" t="s">
        <v>111</v>
      </c>
      <c r="C71" s="19" t="s">
        <v>579</v>
      </c>
      <c r="D71" s="19" t="s">
        <v>430</v>
      </c>
      <c r="E71" s="20" t="s">
        <v>12</v>
      </c>
      <c r="F71" s="19" t="s">
        <v>579</v>
      </c>
      <c r="G71" s="19" t="s">
        <v>431</v>
      </c>
      <c r="H71" s="19" t="s">
        <v>31</v>
      </c>
      <c r="I71">
        <v>806266</v>
      </c>
      <c r="J71">
        <v>1456</v>
      </c>
      <c r="K71" s="1"/>
    </row>
    <row r="72" spans="1:11">
      <c r="A72" s="17" t="s">
        <v>501</v>
      </c>
      <c r="B72" s="19" t="s">
        <v>111</v>
      </c>
      <c r="C72" s="19" t="s">
        <v>580</v>
      </c>
      <c r="D72" s="19" t="s">
        <v>432</v>
      </c>
      <c r="E72" s="20" t="s">
        <v>12</v>
      </c>
      <c r="F72" s="19" t="s">
        <v>580</v>
      </c>
      <c r="G72" s="19" t="s">
        <v>433</v>
      </c>
      <c r="H72" s="19" t="s">
        <v>31</v>
      </c>
      <c r="I72">
        <v>5022047</v>
      </c>
      <c r="J72">
        <v>13900</v>
      </c>
      <c r="K72" s="1"/>
    </row>
    <row r="73" spans="1:11">
      <c r="A73" s="17" t="s">
        <v>501</v>
      </c>
      <c r="B73" s="19" t="s">
        <v>111</v>
      </c>
      <c r="C73" s="19" t="s">
        <v>581</v>
      </c>
      <c r="D73" s="19" t="s">
        <v>434</v>
      </c>
      <c r="E73" s="20" t="s">
        <v>12</v>
      </c>
      <c r="F73" s="19" t="s">
        <v>581</v>
      </c>
      <c r="G73" s="19" t="s">
        <v>435</v>
      </c>
      <c r="H73" s="19" t="s">
        <v>31</v>
      </c>
      <c r="I73">
        <v>1479678</v>
      </c>
      <c r="J73">
        <v>105</v>
      </c>
      <c r="K73" s="1"/>
    </row>
    <row r="74" spans="1:11">
      <c r="A74" s="17" t="s">
        <v>501</v>
      </c>
      <c r="B74" s="19" t="s">
        <v>111</v>
      </c>
      <c r="C74" s="19" t="s">
        <v>582</v>
      </c>
      <c r="D74" s="19" t="s">
        <v>436</v>
      </c>
      <c r="E74" s="20" t="s">
        <v>12</v>
      </c>
      <c r="F74" s="19" t="s">
        <v>582</v>
      </c>
      <c r="G74" s="19" t="s">
        <v>437</v>
      </c>
      <c r="H74" s="19" t="s">
        <v>31</v>
      </c>
      <c r="I74">
        <v>9</v>
      </c>
      <c r="J74">
        <v>0</v>
      </c>
      <c r="K74" s="1"/>
    </row>
    <row r="75" spans="1:11">
      <c r="A75" s="17" t="s">
        <v>501</v>
      </c>
      <c r="B75" s="19" t="s">
        <v>111</v>
      </c>
      <c r="C75" s="19" t="s">
        <v>583</v>
      </c>
      <c r="D75" s="19" t="s">
        <v>438</v>
      </c>
      <c r="E75" s="20" t="s">
        <v>12</v>
      </c>
      <c r="F75" s="19" t="s">
        <v>583</v>
      </c>
      <c r="G75" s="19" t="s">
        <v>439</v>
      </c>
      <c r="H75" s="19" t="s">
        <v>31</v>
      </c>
      <c r="I75">
        <v>528121</v>
      </c>
      <c r="J75">
        <v>727</v>
      </c>
      <c r="K75" s="1"/>
    </row>
    <row r="76" spans="1:11">
      <c r="A76" s="17" t="s">
        <v>501</v>
      </c>
      <c r="B76" s="19" t="s">
        <v>111</v>
      </c>
      <c r="C76" s="19" t="s">
        <v>584</v>
      </c>
      <c r="D76" s="19" t="s">
        <v>440</v>
      </c>
      <c r="E76" s="20" t="s">
        <v>12</v>
      </c>
      <c r="F76" s="19" t="s">
        <v>584</v>
      </c>
      <c r="G76" s="19" t="s">
        <v>441</v>
      </c>
      <c r="H76" s="19" t="s">
        <v>31</v>
      </c>
      <c r="I76">
        <v>681950</v>
      </c>
      <c r="J76">
        <v>1279</v>
      </c>
      <c r="K76" s="1"/>
    </row>
    <row r="77" spans="1:11">
      <c r="A77" s="17" t="s">
        <v>501</v>
      </c>
      <c r="B77" s="19" t="s">
        <v>111</v>
      </c>
      <c r="C77" s="19" t="s">
        <v>585</v>
      </c>
      <c r="D77" s="19" t="s">
        <v>442</v>
      </c>
      <c r="E77" s="20" t="s">
        <v>11</v>
      </c>
      <c r="F77" s="19" t="s">
        <v>122</v>
      </c>
      <c r="G77" s="19" t="s">
        <v>422</v>
      </c>
      <c r="H77" s="19" t="s">
        <v>31</v>
      </c>
      <c r="I77">
        <v>1</v>
      </c>
      <c r="J77">
        <v>0</v>
      </c>
      <c r="K77" s="1"/>
    </row>
    <row r="78" spans="1:11">
      <c r="A78" s="17" t="s">
        <v>501</v>
      </c>
      <c r="B78" s="19" t="s">
        <v>111</v>
      </c>
      <c r="C78" s="19" t="s">
        <v>585</v>
      </c>
      <c r="D78" s="19" t="s">
        <v>442</v>
      </c>
      <c r="E78" s="20" t="s">
        <v>12</v>
      </c>
      <c r="F78" s="19" t="s">
        <v>585</v>
      </c>
      <c r="G78" s="19" t="s">
        <v>443</v>
      </c>
      <c r="H78" s="19" t="s">
        <v>31</v>
      </c>
      <c r="I78">
        <v>3880511</v>
      </c>
      <c r="J78">
        <v>9990</v>
      </c>
      <c r="K78" s="1"/>
    </row>
    <row r="79" spans="1:11">
      <c r="A79" s="17" t="s">
        <v>501</v>
      </c>
      <c r="B79" s="19" t="s">
        <v>111</v>
      </c>
      <c r="C79" s="19" t="s">
        <v>586</v>
      </c>
      <c r="D79" s="19" t="s">
        <v>444</v>
      </c>
      <c r="E79" s="20" t="s">
        <v>12</v>
      </c>
      <c r="F79" s="19" t="s">
        <v>586</v>
      </c>
      <c r="G79" s="19" t="s">
        <v>445</v>
      </c>
      <c r="H79" s="19" t="s">
        <v>31</v>
      </c>
      <c r="I79">
        <v>6053</v>
      </c>
      <c r="J79">
        <v>2</v>
      </c>
      <c r="K79" s="1"/>
    </row>
    <row r="80" spans="1:11">
      <c r="A80" s="17" t="s">
        <v>501</v>
      </c>
      <c r="B80" s="19" t="s">
        <v>111</v>
      </c>
      <c r="C80" s="19" t="s">
        <v>587</v>
      </c>
      <c r="D80" s="19" t="s">
        <v>446</v>
      </c>
      <c r="E80" s="20" t="s">
        <v>12</v>
      </c>
      <c r="F80" s="19" t="s">
        <v>587</v>
      </c>
      <c r="G80" s="19" t="s">
        <v>447</v>
      </c>
      <c r="H80" s="19" t="s">
        <v>31</v>
      </c>
      <c r="I80">
        <v>4806</v>
      </c>
      <c r="J80">
        <v>2</v>
      </c>
      <c r="K80" s="1"/>
    </row>
    <row r="81" spans="1:11">
      <c r="A81" s="17" t="s">
        <v>501</v>
      </c>
      <c r="B81" s="19" t="s">
        <v>111</v>
      </c>
      <c r="C81" s="19" t="s">
        <v>588</v>
      </c>
      <c r="D81" s="19" t="s">
        <v>448</v>
      </c>
      <c r="E81" s="20" t="s">
        <v>12</v>
      </c>
      <c r="F81" s="19" t="s">
        <v>588</v>
      </c>
      <c r="G81" s="19" t="s">
        <v>449</v>
      </c>
      <c r="H81" s="19" t="s">
        <v>31</v>
      </c>
      <c r="I81">
        <v>836281</v>
      </c>
      <c r="J81">
        <v>409</v>
      </c>
      <c r="K81" s="1"/>
    </row>
    <row r="82" spans="1:11">
      <c r="A82" s="17" t="s">
        <v>501</v>
      </c>
      <c r="B82" s="19" t="s">
        <v>111</v>
      </c>
      <c r="C82" s="19" t="s">
        <v>589</v>
      </c>
      <c r="D82" s="19" t="s">
        <v>450</v>
      </c>
      <c r="E82" s="20" t="s">
        <v>12</v>
      </c>
      <c r="F82" s="19" t="s">
        <v>589</v>
      </c>
      <c r="G82" s="19" t="s">
        <v>451</v>
      </c>
      <c r="H82" s="19" t="s">
        <v>31</v>
      </c>
      <c r="I82">
        <v>659249</v>
      </c>
      <c r="J82">
        <v>1025</v>
      </c>
      <c r="K82" s="1"/>
    </row>
    <row r="83" spans="1:11">
      <c r="A83" s="17" t="s">
        <v>501</v>
      </c>
      <c r="B83" s="19" t="s">
        <v>111</v>
      </c>
      <c r="C83" s="19" t="s">
        <v>590</v>
      </c>
      <c r="D83" s="19" t="s">
        <v>452</v>
      </c>
      <c r="E83" s="20" t="s">
        <v>12</v>
      </c>
      <c r="F83" s="19" t="s">
        <v>590</v>
      </c>
      <c r="G83" s="19" t="s">
        <v>453</v>
      </c>
      <c r="H83" s="19" t="s">
        <v>31</v>
      </c>
      <c r="I83">
        <v>3067951</v>
      </c>
      <c r="J83">
        <v>7185</v>
      </c>
      <c r="K83" s="1"/>
    </row>
    <row r="84" spans="1:11">
      <c r="A84" s="17" t="s">
        <v>501</v>
      </c>
      <c r="B84" s="19" t="s">
        <v>111</v>
      </c>
      <c r="C84" s="19" t="s">
        <v>591</v>
      </c>
      <c r="D84" s="19" t="s">
        <v>454</v>
      </c>
      <c r="E84" s="20" t="s">
        <v>12</v>
      </c>
      <c r="F84" s="19" t="s">
        <v>591</v>
      </c>
      <c r="G84" s="19" t="s">
        <v>455</v>
      </c>
      <c r="H84" s="19" t="s">
        <v>31</v>
      </c>
      <c r="I84">
        <v>494158</v>
      </c>
      <c r="J84">
        <v>25</v>
      </c>
      <c r="K84" s="1"/>
    </row>
    <row r="85" spans="1:11">
      <c r="A85" s="17" t="s">
        <v>501</v>
      </c>
      <c r="B85" s="19" t="s">
        <v>111</v>
      </c>
      <c r="C85" s="19" t="s">
        <v>592</v>
      </c>
      <c r="D85" s="19" t="s">
        <v>464</v>
      </c>
      <c r="E85" s="20" t="s">
        <v>32</v>
      </c>
      <c r="F85" s="19" t="s">
        <v>592</v>
      </c>
      <c r="G85" s="19" t="s">
        <v>465</v>
      </c>
      <c r="H85" s="19" t="s">
        <v>32</v>
      </c>
      <c r="I85">
        <v>3437549</v>
      </c>
      <c r="J85">
        <v>41978</v>
      </c>
      <c r="K85" s="1"/>
    </row>
    <row r="86" spans="1:11">
      <c r="A86" s="17" t="s">
        <v>501</v>
      </c>
      <c r="B86" s="19" t="s">
        <v>111</v>
      </c>
      <c r="C86" s="19" t="s">
        <v>593</v>
      </c>
      <c r="D86" s="19" t="s">
        <v>594</v>
      </c>
      <c r="E86" s="20" t="s">
        <v>32</v>
      </c>
      <c r="F86" s="19" t="s">
        <v>593</v>
      </c>
      <c r="G86" s="19" t="s">
        <v>595</v>
      </c>
      <c r="H86" s="19" t="s">
        <v>32</v>
      </c>
      <c r="I86">
        <v>0</v>
      </c>
      <c r="J86">
        <v>1</v>
      </c>
      <c r="K86" s="1"/>
    </row>
    <row r="87" spans="1:11">
      <c r="A87" s="17" t="s">
        <v>501</v>
      </c>
      <c r="B87" s="19" t="s">
        <v>111</v>
      </c>
      <c r="C87" s="19" t="s">
        <v>596</v>
      </c>
      <c r="D87" s="19" t="s">
        <v>597</v>
      </c>
      <c r="E87" s="20" t="s">
        <v>32</v>
      </c>
      <c r="F87" s="19" t="s">
        <v>596</v>
      </c>
      <c r="G87" s="19" t="s">
        <v>598</v>
      </c>
      <c r="H87" s="19" t="s">
        <v>32</v>
      </c>
      <c r="I87">
        <v>257205</v>
      </c>
      <c r="J87">
        <v>4623</v>
      </c>
      <c r="K87" s="1"/>
    </row>
    <row r="88" spans="1:11">
      <c r="A88" s="17" t="s">
        <v>501</v>
      </c>
      <c r="B88" s="19" t="s">
        <v>111</v>
      </c>
      <c r="C88" s="19" t="s">
        <v>599</v>
      </c>
      <c r="D88" s="19" t="s">
        <v>600</v>
      </c>
      <c r="E88" s="20" t="s">
        <v>32</v>
      </c>
      <c r="F88" s="19" t="s">
        <v>599</v>
      </c>
      <c r="G88" s="19" t="s">
        <v>601</v>
      </c>
      <c r="H88" s="19" t="s">
        <v>32</v>
      </c>
      <c r="I88">
        <v>420587</v>
      </c>
      <c r="J88">
        <v>6862</v>
      </c>
      <c r="K88" s="1"/>
    </row>
    <row r="89" spans="1:11">
      <c r="A89" s="17" t="s">
        <v>501</v>
      </c>
      <c r="B89" s="19" t="s">
        <v>111</v>
      </c>
      <c r="C89" s="19" t="s">
        <v>602</v>
      </c>
      <c r="D89" s="19" t="s">
        <v>466</v>
      </c>
      <c r="E89" s="20" t="s">
        <v>32</v>
      </c>
      <c r="F89" s="19" t="s">
        <v>602</v>
      </c>
      <c r="G89" s="19" t="s">
        <v>467</v>
      </c>
      <c r="H89" s="19" t="s">
        <v>32</v>
      </c>
      <c r="I89">
        <v>359355</v>
      </c>
      <c r="J89">
        <v>4675</v>
      </c>
      <c r="K89" s="1"/>
    </row>
    <row r="90" spans="1:11">
      <c r="A90" s="17" t="s">
        <v>501</v>
      </c>
      <c r="B90" s="19" t="s">
        <v>111</v>
      </c>
      <c r="C90" s="19" t="s">
        <v>603</v>
      </c>
      <c r="D90" s="19" t="s">
        <v>211</v>
      </c>
      <c r="E90" s="20" t="s">
        <v>32</v>
      </c>
      <c r="F90" s="19" t="s">
        <v>603</v>
      </c>
      <c r="G90" s="19" t="s">
        <v>212</v>
      </c>
      <c r="H90" s="19" t="s">
        <v>32</v>
      </c>
      <c r="I90">
        <v>0</v>
      </c>
      <c r="J90">
        <v>9613</v>
      </c>
      <c r="K90" s="1"/>
    </row>
    <row r="91" spans="1:11">
      <c r="A91" s="17" t="s">
        <v>501</v>
      </c>
      <c r="B91" s="19" t="s">
        <v>111</v>
      </c>
      <c r="C91" s="19" t="s">
        <v>604</v>
      </c>
      <c r="D91" s="19" t="s">
        <v>470</v>
      </c>
      <c r="E91" s="20" t="s">
        <v>32</v>
      </c>
      <c r="F91" s="19" t="s">
        <v>604</v>
      </c>
      <c r="G91" s="19" t="s">
        <v>471</v>
      </c>
      <c r="H91" s="19" t="s">
        <v>32</v>
      </c>
      <c r="I91">
        <v>0</v>
      </c>
      <c r="J91">
        <v>3364</v>
      </c>
      <c r="K91" s="1"/>
    </row>
    <row r="92" spans="1:11">
      <c r="A92" s="17" t="s">
        <v>501</v>
      </c>
      <c r="B92" s="19" t="s">
        <v>111</v>
      </c>
      <c r="C92" s="19" t="s">
        <v>605</v>
      </c>
      <c r="D92" s="19" t="s">
        <v>468</v>
      </c>
      <c r="E92" s="20" t="s">
        <v>32</v>
      </c>
      <c r="F92" s="19" t="s">
        <v>605</v>
      </c>
      <c r="G92" s="19" t="s">
        <v>469</v>
      </c>
      <c r="H92" s="19" t="s">
        <v>32</v>
      </c>
      <c r="I92">
        <v>0</v>
      </c>
      <c r="J92">
        <v>3679</v>
      </c>
      <c r="K92" s="1"/>
    </row>
    <row r="93" spans="1:11">
      <c r="A93" s="17" t="s">
        <v>501</v>
      </c>
      <c r="B93" s="19" t="s">
        <v>111</v>
      </c>
      <c r="C93" s="19" t="s">
        <v>606</v>
      </c>
      <c r="D93" s="19" t="s">
        <v>607</v>
      </c>
      <c r="E93" s="20" t="s">
        <v>84</v>
      </c>
      <c r="F93" s="19" t="s">
        <v>606</v>
      </c>
      <c r="G93" s="19" t="s">
        <v>608</v>
      </c>
      <c r="H93" s="19" t="s">
        <v>84</v>
      </c>
      <c r="I93">
        <v>3413445</v>
      </c>
      <c r="J93">
        <v>28981</v>
      </c>
      <c r="K93" s="1"/>
    </row>
    <row r="94" spans="1:11">
      <c r="A94" s="17" t="s">
        <v>501</v>
      </c>
      <c r="B94" s="19" t="s">
        <v>609</v>
      </c>
      <c r="C94" s="19" t="s">
        <v>610</v>
      </c>
      <c r="D94" s="19" t="s">
        <v>611</v>
      </c>
      <c r="E94" s="20" t="s">
        <v>32</v>
      </c>
      <c r="F94" s="19" t="s">
        <v>610</v>
      </c>
      <c r="G94" s="19" t="s">
        <v>612</v>
      </c>
      <c r="H94" s="19" t="s">
        <v>32</v>
      </c>
      <c r="I94">
        <v>0</v>
      </c>
      <c r="J94">
        <v>1</v>
      </c>
      <c r="K94" s="1"/>
    </row>
    <row r="95" spans="1:11">
      <c r="A95" s="17" t="s">
        <v>501</v>
      </c>
      <c r="B95" s="19" t="s">
        <v>472</v>
      </c>
      <c r="C95" s="19" t="s">
        <v>613</v>
      </c>
      <c r="D95" s="19" t="s">
        <v>473</v>
      </c>
      <c r="E95" s="20" t="s">
        <v>32</v>
      </c>
      <c r="F95" s="19" t="s">
        <v>613</v>
      </c>
      <c r="G95" s="19" t="s">
        <v>474</v>
      </c>
      <c r="H95" s="19" t="s">
        <v>32</v>
      </c>
      <c r="I95">
        <v>753776</v>
      </c>
      <c r="J95">
        <v>1743</v>
      </c>
      <c r="K95" s="1"/>
    </row>
    <row r="96" spans="1:11">
      <c r="A96" s="17" t="s">
        <v>501</v>
      </c>
      <c r="B96" s="19" t="s">
        <v>472</v>
      </c>
      <c r="C96" s="19" t="s">
        <v>614</v>
      </c>
      <c r="D96" s="19" t="s">
        <v>477</v>
      </c>
      <c r="E96" s="20" t="s">
        <v>32</v>
      </c>
      <c r="F96" s="19" t="s">
        <v>614</v>
      </c>
      <c r="G96" s="19" t="s">
        <v>478</v>
      </c>
      <c r="H96" s="19" t="s">
        <v>32</v>
      </c>
      <c r="I96">
        <v>208697</v>
      </c>
      <c r="J96">
        <v>609</v>
      </c>
      <c r="K96" s="1"/>
    </row>
    <row r="97" spans="1:11">
      <c r="A97" s="17" t="s">
        <v>501</v>
      </c>
      <c r="B97" s="19" t="s">
        <v>472</v>
      </c>
      <c r="C97" s="19" t="s">
        <v>615</v>
      </c>
      <c r="D97" s="19" t="s">
        <v>483</v>
      </c>
      <c r="E97" s="20" t="s">
        <v>32</v>
      </c>
      <c r="F97" s="19" t="s">
        <v>615</v>
      </c>
      <c r="G97" s="19" t="s">
        <v>484</v>
      </c>
      <c r="H97" s="19" t="s">
        <v>32</v>
      </c>
      <c r="I97">
        <v>593316</v>
      </c>
      <c r="J97">
        <v>1424</v>
      </c>
      <c r="K97" s="1"/>
    </row>
    <row r="98" spans="1:11">
      <c r="A98" s="17" t="s">
        <v>501</v>
      </c>
      <c r="B98" s="19" t="s">
        <v>472</v>
      </c>
      <c r="C98" s="19" t="s">
        <v>616</v>
      </c>
      <c r="D98" s="19" t="s">
        <v>489</v>
      </c>
      <c r="E98" s="20" t="s">
        <v>32</v>
      </c>
      <c r="F98" s="19" t="s">
        <v>616</v>
      </c>
      <c r="G98" s="19" t="s">
        <v>490</v>
      </c>
      <c r="H98" s="19" t="s">
        <v>32</v>
      </c>
      <c r="I98">
        <v>568543</v>
      </c>
      <c r="J98">
        <v>1611</v>
      </c>
      <c r="K98" s="1"/>
    </row>
    <row r="99" spans="1:11">
      <c r="A99" s="17" t="s">
        <v>501</v>
      </c>
      <c r="B99" s="19" t="s">
        <v>472</v>
      </c>
      <c r="C99" s="19" t="s">
        <v>617</v>
      </c>
      <c r="D99" s="19" t="s">
        <v>475</v>
      </c>
      <c r="E99" s="20" t="s">
        <v>32</v>
      </c>
      <c r="F99" s="19" t="s">
        <v>617</v>
      </c>
      <c r="G99" s="19" t="s">
        <v>476</v>
      </c>
      <c r="H99" s="19" t="s">
        <v>32</v>
      </c>
      <c r="I99">
        <v>343601</v>
      </c>
      <c r="J99">
        <v>692</v>
      </c>
      <c r="K99" s="1"/>
    </row>
    <row r="100" spans="1:11">
      <c r="A100" s="17" t="s">
        <v>501</v>
      </c>
      <c r="B100" s="19" t="s">
        <v>472</v>
      </c>
      <c r="C100" s="19" t="s">
        <v>618</v>
      </c>
      <c r="D100" s="19" t="s">
        <v>479</v>
      </c>
      <c r="E100" s="20" t="s">
        <v>32</v>
      </c>
      <c r="F100" s="19" t="s">
        <v>618</v>
      </c>
      <c r="G100" s="19" t="s">
        <v>480</v>
      </c>
      <c r="H100" s="19" t="s">
        <v>32</v>
      </c>
      <c r="I100">
        <v>389500</v>
      </c>
      <c r="J100">
        <v>854</v>
      </c>
      <c r="K100" s="1"/>
    </row>
    <row r="101" spans="1:11">
      <c r="A101" s="17" t="s">
        <v>501</v>
      </c>
      <c r="B101" s="19" t="s">
        <v>472</v>
      </c>
      <c r="C101" s="19" t="s">
        <v>619</v>
      </c>
      <c r="D101" s="19" t="s">
        <v>485</v>
      </c>
      <c r="E101" s="20" t="s">
        <v>32</v>
      </c>
      <c r="F101" s="19" t="s">
        <v>619</v>
      </c>
      <c r="G101" s="19" t="s">
        <v>486</v>
      </c>
      <c r="H101" s="19" t="s">
        <v>32</v>
      </c>
      <c r="I101">
        <v>575202</v>
      </c>
      <c r="J101">
        <v>1186</v>
      </c>
      <c r="K101" s="1"/>
    </row>
    <row r="102" spans="1:11">
      <c r="A102" s="17" t="s">
        <v>501</v>
      </c>
      <c r="B102" s="19" t="s">
        <v>472</v>
      </c>
      <c r="C102" s="19" t="s">
        <v>620</v>
      </c>
      <c r="D102" s="19" t="s">
        <v>491</v>
      </c>
      <c r="E102" s="20" t="s">
        <v>32</v>
      </c>
      <c r="F102" s="19" t="s">
        <v>620</v>
      </c>
      <c r="G102" s="19" t="s">
        <v>492</v>
      </c>
      <c r="H102" s="19" t="s">
        <v>32</v>
      </c>
      <c r="I102">
        <v>372092</v>
      </c>
      <c r="J102">
        <v>688</v>
      </c>
      <c r="K102" s="1"/>
    </row>
    <row r="103" spans="1:11">
      <c r="A103" s="17" t="s">
        <v>501</v>
      </c>
      <c r="B103" s="19" t="s">
        <v>472</v>
      </c>
      <c r="C103" s="19" t="s">
        <v>621</v>
      </c>
      <c r="D103" s="19" t="s">
        <v>481</v>
      </c>
      <c r="E103" s="20" t="s">
        <v>32</v>
      </c>
      <c r="F103" s="19" t="s">
        <v>621</v>
      </c>
      <c r="G103" s="19" t="s">
        <v>482</v>
      </c>
      <c r="H103" s="19" t="s">
        <v>32</v>
      </c>
      <c r="I103">
        <v>396969</v>
      </c>
      <c r="J103">
        <v>1391</v>
      </c>
      <c r="K103" s="1"/>
    </row>
    <row r="104" spans="1:11">
      <c r="A104" s="17" t="s">
        <v>501</v>
      </c>
      <c r="B104" s="19" t="s">
        <v>472</v>
      </c>
      <c r="C104" s="19" t="s">
        <v>622</v>
      </c>
      <c r="D104" s="19" t="s">
        <v>487</v>
      </c>
      <c r="E104" s="20" t="s">
        <v>32</v>
      </c>
      <c r="F104" s="19" t="s">
        <v>622</v>
      </c>
      <c r="G104" s="19" t="s">
        <v>488</v>
      </c>
      <c r="H104" s="19" t="s">
        <v>32</v>
      </c>
      <c r="I104">
        <v>706467</v>
      </c>
      <c r="J104">
        <v>2428</v>
      </c>
      <c r="K104" s="1"/>
    </row>
    <row r="105" spans="1:11">
      <c r="A105" s="17" t="s">
        <v>501</v>
      </c>
      <c r="B105" s="19" t="s">
        <v>472</v>
      </c>
      <c r="C105" s="19" t="s">
        <v>623</v>
      </c>
      <c r="D105" s="19" t="s">
        <v>493</v>
      </c>
      <c r="E105" s="20" t="s">
        <v>32</v>
      </c>
      <c r="F105" s="19" t="s">
        <v>623</v>
      </c>
      <c r="G105" s="19" t="s">
        <v>494</v>
      </c>
      <c r="H105" s="19" t="s">
        <v>32</v>
      </c>
      <c r="I105">
        <v>890431</v>
      </c>
      <c r="J105">
        <v>2937</v>
      </c>
      <c r="K105" s="1"/>
    </row>
    <row r="106" spans="1:11">
      <c r="A106" s="17" t="s">
        <v>624</v>
      </c>
      <c r="B106" s="19" t="s">
        <v>228</v>
      </c>
      <c r="C106" s="19" t="s">
        <v>625</v>
      </c>
      <c r="D106" s="19" t="s">
        <v>229</v>
      </c>
      <c r="E106" s="20" t="s">
        <v>32</v>
      </c>
      <c r="F106" s="19" t="s">
        <v>625</v>
      </c>
      <c r="G106" s="19" t="s">
        <v>230</v>
      </c>
      <c r="H106" s="19" t="s">
        <v>32</v>
      </c>
      <c r="I106">
        <v>0</v>
      </c>
      <c r="J106">
        <v>17</v>
      </c>
      <c r="K106" s="1"/>
    </row>
    <row r="107" spans="1:11">
      <c r="A107" s="17" t="s">
        <v>624</v>
      </c>
      <c r="B107" s="19" t="s">
        <v>50</v>
      </c>
      <c r="C107" s="19" t="s">
        <v>626</v>
      </c>
      <c r="D107" s="19" t="s">
        <v>75</v>
      </c>
      <c r="E107" s="20" t="s">
        <v>32</v>
      </c>
      <c r="F107" s="19" t="s">
        <v>626</v>
      </c>
      <c r="G107" s="19" t="s">
        <v>76</v>
      </c>
      <c r="H107" s="19" t="s">
        <v>32</v>
      </c>
      <c r="I107">
        <v>0</v>
      </c>
      <c r="J107">
        <v>2</v>
      </c>
      <c r="K107" s="1"/>
    </row>
    <row r="108" spans="1:11">
      <c r="A108" s="17" t="s">
        <v>624</v>
      </c>
      <c r="B108" s="19" t="s">
        <v>50</v>
      </c>
      <c r="C108" s="19" t="s">
        <v>627</v>
      </c>
      <c r="D108" s="19" t="s">
        <v>57</v>
      </c>
      <c r="E108" s="20" t="s">
        <v>32</v>
      </c>
      <c r="F108" s="19" t="s">
        <v>627</v>
      </c>
      <c r="G108" s="19" t="s">
        <v>58</v>
      </c>
      <c r="H108" s="19" t="s">
        <v>32</v>
      </c>
      <c r="I108">
        <v>0</v>
      </c>
      <c r="J108">
        <v>15</v>
      </c>
      <c r="K108" s="1"/>
    </row>
    <row r="109" spans="1:11">
      <c r="A109" s="17" t="s">
        <v>624</v>
      </c>
      <c r="B109" s="19" t="s">
        <v>50</v>
      </c>
      <c r="C109" s="19" t="s">
        <v>628</v>
      </c>
      <c r="D109" s="19" t="s">
        <v>77</v>
      </c>
      <c r="E109" s="20" t="s">
        <v>32</v>
      </c>
      <c r="F109" s="19" t="s">
        <v>628</v>
      </c>
      <c r="G109" s="19" t="s">
        <v>78</v>
      </c>
      <c r="H109" s="19" t="s">
        <v>32</v>
      </c>
      <c r="I109">
        <v>0</v>
      </c>
      <c r="J109">
        <v>2</v>
      </c>
      <c r="K109" s="1"/>
    </row>
    <row r="110" spans="1:11">
      <c r="A110" s="17" t="s">
        <v>624</v>
      </c>
      <c r="B110" s="19" t="s">
        <v>50</v>
      </c>
      <c r="C110" s="19" t="s">
        <v>629</v>
      </c>
      <c r="D110" s="19" t="s">
        <v>85</v>
      </c>
      <c r="E110" s="20" t="s">
        <v>32</v>
      </c>
      <c r="F110" s="19" t="s">
        <v>629</v>
      </c>
      <c r="G110" s="19" t="s">
        <v>86</v>
      </c>
      <c r="H110" s="19" t="s">
        <v>32</v>
      </c>
      <c r="I110">
        <v>0</v>
      </c>
      <c r="J110">
        <v>1</v>
      </c>
      <c r="K110" s="1"/>
    </row>
    <row r="111" spans="1:11">
      <c r="A111" s="17" t="s">
        <v>624</v>
      </c>
      <c r="B111" s="19" t="s">
        <v>50</v>
      </c>
      <c r="C111" s="19" t="s">
        <v>630</v>
      </c>
      <c r="D111" s="19" t="s">
        <v>59</v>
      </c>
      <c r="E111" s="20" t="s">
        <v>32</v>
      </c>
      <c r="F111" s="19" t="s">
        <v>630</v>
      </c>
      <c r="G111" s="19" t="s">
        <v>60</v>
      </c>
      <c r="H111" s="19" t="s">
        <v>32</v>
      </c>
      <c r="I111">
        <v>0</v>
      </c>
      <c r="J111">
        <v>8</v>
      </c>
      <c r="K111" s="1"/>
    </row>
    <row r="112" spans="1:11">
      <c r="A112" s="17" t="s">
        <v>624</v>
      </c>
      <c r="B112" s="19" t="s">
        <v>50</v>
      </c>
      <c r="C112" s="19" t="s">
        <v>631</v>
      </c>
      <c r="D112" s="19" t="s">
        <v>632</v>
      </c>
      <c r="E112" s="20" t="s">
        <v>32</v>
      </c>
      <c r="F112" s="19" t="s">
        <v>631</v>
      </c>
      <c r="G112" s="19" t="s">
        <v>633</v>
      </c>
      <c r="H112" s="19" t="s">
        <v>32</v>
      </c>
      <c r="I112">
        <v>0</v>
      </c>
      <c r="J112">
        <v>4960</v>
      </c>
      <c r="K112" s="1"/>
    </row>
    <row r="113" spans="1:11">
      <c r="A113" s="17" t="s">
        <v>624</v>
      </c>
      <c r="B113" s="19" t="s">
        <v>50</v>
      </c>
      <c r="C113" s="19" t="s">
        <v>634</v>
      </c>
      <c r="D113" s="19" t="s">
        <v>635</v>
      </c>
      <c r="E113" s="20" t="s">
        <v>32</v>
      </c>
      <c r="F113" s="19" t="s">
        <v>634</v>
      </c>
      <c r="G113" s="19" t="s">
        <v>636</v>
      </c>
      <c r="H113" s="19" t="s">
        <v>32</v>
      </c>
      <c r="I113">
        <v>0</v>
      </c>
      <c r="J113">
        <v>396</v>
      </c>
      <c r="K113" s="1"/>
    </row>
    <row r="114" spans="1:11">
      <c r="A114" s="17" t="s">
        <v>624</v>
      </c>
      <c r="B114" s="19" t="s">
        <v>50</v>
      </c>
      <c r="C114" s="19" t="s">
        <v>637</v>
      </c>
      <c r="D114" s="19" t="s">
        <v>638</v>
      </c>
      <c r="E114" s="20" t="s">
        <v>32</v>
      </c>
      <c r="F114" s="19" t="s">
        <v>637</v>
      </c>
      <c r="G114" s="19" t="s">
        <v>639</v>
      </c>
      <c r="H114" s="19" t="s">
        <v>32</v>
      </c>
      <c r="I114">
        <v>0</v>
      </c>
      <c r="J114">
        <v>443</v>
      </c>
      <c r="K114" s="1"/>
    </row>
    <row r="115" spans="1:11">
      <c r="A115" s="17" t="s">
        <v>624</v>
      </c>
      <c r="B115" s="19" t="s">
        <v>50</v>
      </c>
      <c r="C115" s="19" t="s">
        <v>640</v>
      </c>
      <c r="D115" s="19" t="s">
        <v>641</v>
      </c>
      <c r="E115" s="20" t="s">
        <v>32</v>
      </c>
      <c r="F115" s="19" t="s">
        <v>640</v>
      </c>
      <c r="G115" s="19" t="s">
        <v>642</v>
      </c>
      <c r="H115" s="19" t="s">
        <v>32</v>
      </c>
      <c r="I115">
        <v>0</v>
      </c>
      <c r="J115">
        <v>1140</v>
      </c>
      <c r="K115" s="1"/>
    </row>
    <row r="116" spans="1:11">
      <c r="A116" s="17" t="s">
        <v>624</v>
      </c>
      <c r="B116" s="19" t="s">
        <v>50</v>
      </c>
      <c r="C116" s="19" t="s">
        <v>643</v>
      </c>
      <c r="D116" s="19" t="s">
        <v>644</v>
      </c>
      <c r="E116" s="20" t="s">
        <v>32</v>
      </c>
      <c r="F116" s="19" t="s">
        <v>643</v>
      </c>
      <c r="G116" s="19" t="s">
        <v>645</v>
      </c>
      <c r="H116" s="19" t="s">
        <v>32</v>
      </c>
      <c r="I116">
        <v>0</v>
      </c>
      <c r="J116">
        <v>1332</v>
      </c>
      <c r="K116" s="1"/>
    </row>
    <row r="117" spans="1:11">
      <c r="A117" s="17" t="s">
        <v>624</v>
      </c>
      <c r="B117" s="19" t="s">
        <v>50</v>
      </c>
      <c r="C117" s="19" t="s">
        <v>646</v>
      </c>
      <c r="D117" s="19" t="s">
        <v>647</v>
      </c>
      <c r="E117" s="20" t="s">
        <v>32</v>
      </c>
      <c r="F117" s="19" t="s">
        <v>646</v>
      </c>
      <c r="G117" s="19" t="s">
        <v>648</v>
      </c>
      <c r="H117" s="19" t="s">
        <v>32</v>
      </c>
      <c r="I117">
        <v>0</v>
      </c>
      <c r="J117">
        <v>3463</v>
      </c>
      <c r="K117" s="1"/>
    </row>
    <row r="118" spans="1:11">
      <c r="A118" s="17" t="s">
        <v>624</v>
      </c>
      <c r="B118" s="19" t="s">
        <v>83</v>
      </c>
      <c r="C118" s="19" t="s">
        <v>649</v>
      </c>
      <c r="D118" s="19" t="s">
        <v>650</v>
      </c>
      <c r="E118" s="20" t="s">
        <v>32</v>
      </c>
      <c r="F118" s="19" t="s">
        <v>649</v>
      </c>
      <c r="G118" s="19" t="s">
        <v>651</v>
      </c>
      <c r="H118" s="19" t="s">
        <v>32</v>
      </c>
      <c r="I118">
        <v>8556808</v>
      </c>
      <c r="J118">
        <v>62593</v>
      </c>
      <c r="K118" s="1"/>
    </row>
    <row r="119" spans="1:11">
      <c r="A119" s="17" t="s">
        <v>624</v>
      </c>
      <c r="B119" s="19" t="s">
        <v>83</v>
      </c>
      <c r="C119" s="19" t="s">
        <v>652</v>
      </c>
      <c r="D119" s="19" t="s">
        <v>653</v>
      </c>
      <c r="E119" s="20" t="s">
        <v>32</v>
      </c>
      <c r="F119" s="19" t="s">
        <v>652</v>
      </c>
      <c r="G119" s="19" t="s">
        <v>654</v>
      </c>
      <c r="H119" s="19" t="s">
        <v>32</v>
      </c>
      <c r="I119">
        <v>232896</v>
      </c>
      <c r="J119">
        <v>2810</v>
      </c>
      <c r="K119" s="1"/>
    </row>
    <row r="120" spans="1:11">
      <c r="A120" s="17" t="s">
        <v>624</v>
      </c>
      <c r="B120" s="19" t="s">
        <v>83</v>
      </c>
      <c r="C120" s="19" t="s">
        <v>655</v>
      </c>
      <c r="D120" s="19" t="s">
        <v>656</v>
      </c>
      <c r="E120" s="20" t="s">
        <v>32</v>
      </c>
      <c r="F120" s="19" t="s">
        <v>655</v>
      </c>
      <c r="G120" s="19" t="s">
        <v>657</v>
      </c>
      <c r="H120" s="19" t="s">
        <v>32</v>
      </c>
      <c r="I120">
        <v>0</v>
      </c>
      <c r="J120">
        <v>1</v>
      </c>
      <c r="K120" s="1"/>
    </row>
    <row r="121" spans="1:11">
      <c r="A121" s="17" t="s">
        <v>624</v>
      </c>
      <c r="B121" s="19" t="s">
        <v>83</v>
      </c>
      <c r="C121" s="19" t="s">
        <v>658</v>
      </c>
      <c r="D121" s="19" t="s">
        <v>659</v>
      </c>
      <c r="E121" s="20" t="s">
        <v>32</v>
      </c>
      <c r="F121" s="19" t="s">
        <v>658</v>
      </c>
      <c r="G121" s="19" t="s">
        <v>660</v>
      </c>
      <c r="H121" s="19" t="s">
        <v>32</v>
      </c>
      <c r="I121">
        <v>5377859</v>
      </c>
      <c r="J121">
        <v>14732</v>
      </c>
      <c r="K121" s="1"/>
    </row>
    <row r="122" spans="1:11">
      <c r="A122" s="17" t="s">
        <v>624</v>
      </c>
      <c r="B122" s="19" t="s">
        <v>83</v>
      </c>
      <c r="C122" s="19" t="s">
        <v>661</v>
      </c>
      <c r="D122" s="19" t="s">
        <v>662</v>
      </c>
      <c r="E122" s="20" t="s">
        <v>32</v>
      </c>
      <c r="F122" s="19" t="s">
        <v>661</v>
      </c>
      <c r="G122" s="19" t="s">
        <v>663</v>
      </c>
      <c r="H122" s="19" t="s">
        <v>32</v>
      </c>
      <c r="I122">
        <v>2425957</v>
      </c>
      <c r="J122">
        <v>38798</v>
      </c>
      <c r="K122" s="1"/>
    </row>
    <row r="123" spans="1:11">
      <c r="A123" s="17" t="s">
        <v>624</v>
      </c>
      <c r="B123" s="19" t="s">
        <v>83</v>
      </c>
      <c r="C123" s="19" t="s">
        <v>664</v>
      </c>
      <c r="D123" s="19" t="s">
        <v>665</v>
      </c>
      <c r="E123" s="20" t="s">
        <v>32</v>
      </c>
      <c r="F123" s="19" t="s">
        <v>664</v>
      </c>
      <c r="G123" s="19" t="s">
        <v>666</v>
      </c>
      <c r="H123" s="19" t="s">
        <v>32</v>
      </c>
      <c r="I123">
        <v>10277338</v>
      </c>
      <c r="J123">
        <v>135858</v>
      </c>
      <c r="K123" s="1"/>
    </row>
    <row r="124" spans="1:11">
      <c r="A124" s="17" t="s">
        <v>624</v>
      </c>
      <c r="B124" s="19" t="s">
        <v>83</v>
      </c>
      <c r="C124" s="19" t="s">
        <v>667</v>
      </c>
      <c r="D124" s="19" t="s">
        <v>668</v>
      </c>
      <c r="E124" s="20" t="s">
        <v>32</v>
      </c>
      <c r="F124" s="19" t="s">
        <v>667</v>
      </c>
      <c r="G124" s="19" t="s">
        <v>669</v>
      </c>
      <c r="H124" s="19" t="s">
        <v>32</v>
      </c>
      <c r="I124">
        <v>0</v>
      </c>
      <c r="J124">
        <v>1</v>
      </c>
      <c r="K124" s="1"/>
    </row>
    <row r="125" spans="1:11">
      <c r="A125" s="17" t="s">
        <v>624</v>
      </c>
      <c r="B125" s="19" t="s">
        <v>83</v>
      </c>
      <c r="C125" s="19" t="s">
        <v>670</v>
      </c>
      <c r="D125" s="19" t="s">
        <v>671</v>
      </c>
      <c r="E125" s="20" t="s">
        <v>32</v>
      </c>
      <c r="F125" s="19" t="s">
        <v>670</v>
      </c>
      <c r="G125" s="19" t="s">
        <v>672</v>
      </c>
      <c r="H125" s="19" t="s">
        <v>32</v>
      </c>
      <c r="I125">
        <v>523437</v>
      </c>
      <c r="J125">
        <v>6319</v>
      </c>
      <c r="K125" s="1"/>
    </row>
    <row r="126" spans="1:11">
      <c r="A126" s="17" t="s">
        <v>624</v>
      </c>
      <c r="B126" s="19" t="s">
        <v>83</v>
      </c>
      <c r="C126" s="19" t="s">
        <v>673</v>
      </c>
      <c r="D126" s="19" t="s">
        <v>674</v>
      </c>
      <c r="E126" s="20" t="s">
        <v>32</v>
      </c>
      <c r="F126" s="19" t="s">
        <v>673</v>
      </c>
      <c r="G126" s="19" t="s">
        <v>675</v>
      </c>
      <c r="H126" s="19" t="s">
        <v>32</v>
      </c>
      <c r="I126">
        <v>60638</v>
      </c>
      <c r="J126">
        <v>656</v>
      </c>
      <c r="K126" s="1"/>
    </row>
    <row r="127" spans="1:11">
      <c r="A127" s="17" t="s">
        <v>624</v>
      </c>
      <c r="B127" s="19" t="s">
        <v>83</v>
      </c>
      <c r="C127" s="19" t="s">
        <v>676</v>
      </c>
      <c r="D127" s="19" t="s">
        <v>677</v>
      </c>
      <c r="E127" s="20" t="s">
        <v>32</v>
      </c>
      <c r="F127" s="19" t="s">
        <v>676</v>
      </c>
      <c r="G127" s="19" t="s">
        <v>678</v>
      </c>
      <c r="H127" s="19" t="s">
        <v>32</v>
      </c>
      <c r="I127">
        <v>164954</v>
      </c>
      <c r="J127">
        <v>1952</v>
      </c>
      <c r="K127" s="1"/>
    </row>
    <row r="128" spans="1:11">
      <c r="A128" s="17" t="s">
        <v>624</v>
      </c>
      <c r="B128" s="19" t="s">
        <v>83</v>
      </c>
      <c r="C128" s="19" t="s">
        <v>679</v>
      </c>
      <c r="D128" s="19" t="s">
        <v>680</v>
      </c>
      <c r="E128" s="20" t="s">
        <v>32</v>
      </c>
      <c r="F128" s="19" t="s">
        <v>679</v>
      </c>
      <c r="G128" s="19" t="s">
        <v>681</v>
      </c>
      <c r="H128" s="19" t="s">
        <v>32</v>
      </c>
      <c r="I128">
        <v>9937668</v>
      </c>
      <c r="J128">
        <v>58735</v>
      </c>
      <c r="K128" s="1"/>
    </row>
    <row r="129" spans="1:11">
      <c r="A129" s="17" t="s">
        <v>624</v>
      </c>
      <c r="B129" s="19" t="s">
        <v>83</v>
      </c>
      <c r="C129" s="19" t="s">
        <v>682</v>
      </c>
      <c r="D129" s="19" t="s">
        <v>683</v>
      </c>
      <c r="E129" s="20" t="s">
        <v>32</v>
      </c>
      <c r="F129" s="19" t="s">
        <v>682</v>
      </c>
      <c r="G129" s="19" t="s">
        <v>684</v>
      </c>
      <c r="H129" s="19" t="s">
        <v>32</v>
      </c>
      <c r="I129">
        <v>0</v>
      </c>
      <c r="J129">
        <v>1</v>
      </c>
      <c r="K129" s="1"/>
    </row>
    <row r="130" spans="1:11">
      <c r="A130" s="17" t="s">
        <v>624</v>
      </c>
      <c r="B130" s="19" t="s">
        <v>83</v>
      </c>
      <c r="C130" s="19" t="s">
        <v>682</v>
      </c>
      <c r="D130" s="19" t="s">
        <v>685</v>
      </c>
      <c r="E130" s="20" t="s">
        <v>32</v>
      </c>
      <c r="F130" s="19" t="s">
        <v>682</v>
      </c>
      <c r="G130" s="19" t="s">
        <v>686</v>
      </c>
      <c r="H130" s="19" t="s">
        <v>32</v>
      </c>
      <c r="I130">
        <v>0</v>
      </c>
      <c r="J130">
        <v>1</v>
      </c>
      <c r="K130" s="1"/>
    </row>
    <row r="131" spans="1:11">
      <c r="A131" s="17" t="s">
        <v>624</v>
      </c>
      <c r="B131" s="19" t="s">
        <v>83</v>
      </c>
      <c r="C131" s="19" t="s">
        <v>682</v>
      </c>
      <c r="D131" s="19" t="s">
        <v>687</v>
      </c>
      <c r="E131" s="20" t="s">
        <v>32</v>
      </c>
      <c r="F131" s="19" t="s">
        <v>682</v>
      </c>
      <c r="G131" s="19" t="s">
        <v>688</v>
      </c>
      <c r="H131" s="19" t="s">
        <v>32</v>
      </c>
      <c r="I131">
        <v>0</v>
      </c>
      <c r="J131">
        <v>1</v>
      </c>
      <c r="K131" s="1"/>
    </row>
    <row r="132" spans="1:11">
      <c r="A132" s="17" t="s">
        <v>624</v>
      </c>
      <c r="B132" s="19" t="s">
        <v>83</v>
      </c>
      <c r="C132" s="19" t="s">
        <v>689</v>
      </c>
      <c r="D132" s="19" t="s">
        <v>690</v>
      </c>
      <c r="E132" s="20" t="s">
        <v>32</v>
      </c>
      <c r="F132" s="19" t="s">
        <v>682</v>
      </c>
      <c r="G132" s="19" t="s">
        <v>691</v>
      </c>
      <c r="H132" s="19" t="s">
        <v>32</v>
      </c>
      <c r="I132">
        <v>0</v>
      </c>
      <c r="J132">
        <v>1</v>
      </c>
      <c r="K132" s="1"/>
    </row>
    <row r="133" spans="1:11">
      <c r="A133" s="17" t="s">
        <v>624</v>
      </c>
      <c r="B133" s="19" t="s">
        <v>49</v>
      </c>
      <c r="C133" s="19" t="s">
        <v>670</v>
      </c>
      <c r="D133" s="19" t="s">
        <v>231</v>
      </c>
      <c r="E133" s="20" t="s">
        <v>32</v>
      </c>
      <c r="F133" s="19" t="s">
        <v>670</v>
      </c>
      <c r="G133" s="19" t="s">
        <v>232</v>
      </c>
      <c r="H133" s="19" t="s">
        <v>32</v>
      </c>
      <c r="I133">
        <v>3</v>
      </c>
      <c r="J133">
        <v>0</v>
      </c>
      <c r="K133" s="1"/>
    </row>
    <row r="134" spans="1:11">
      <c r="A134" s="17" t="s">
        <v>624</v>
      </c>
      <c r="B134" s="19" t="s">
        <v>49</v>
      </c>
      <c r="C134" s="19" t="s">
        <v>692</v>
      </c>
      <c r="D134" s="19" t="s">
        <v>233</v>
      </c>
      <c r="E134" s="20" t="s">
        <v>32</v>
      </c>
      <c r="F134" s="19" t="s">
        <v>692</v>
      </c>
      <c r="G134" s="19" t="s">
        <v>234</v>
      </c>
      <c r="H134" s="19" t="s">
        <v>32</v>
      </c>
      <c r="I134">
        <v>40</v>
      </c>
      <c r="J134">
        <v>61</v>
      </c>
      <c r="K134" s="1"/>
    </row>
    <row r="135" spans="1:11">
      <c r="A135" s="17" t="s">
        <v>624</v>
      </c>
      <c r="B135" s="19" t="s">
        <v>49</v>
      </c>
      <c r="C135" s="19" t="s">
        <v>693</v>
      </c>
      <c r="D135" s="19" t="s">
        <v>235</v>
      </c>
      <c r="E135" s="20" t="s">
        <v>32</v>
      </c>
      <c r="F135" s="19" t="s">
        <v>693</v>
      </c>
      <c r="G135" s="19" t="s">
        <v>236</v>
      </c>
      <c r="H135" s="19" t="s">
        <v>32</v>
      </c>
      <c r="I135">
        <v>0</v>
      </c>
      <c r="J135">
        <v>1</v>
      </c>
      <c r="K135" s="1"/>
    </row>
    <row r="136" spans="1:11">
      <c r="A136" s="17" t="s">
        <v>624</v>
      </c>
      <c r="B136" s="19" t="s">
        <v>49</v>
      </c>
      <c r="C136" s="19" t="s">
        <v>694</v>
      </c>
      <c r="D136" s="19" t="s">
        <v>237</v>
      </c>
      <c r="E136" s="20" t="s">
        <v>32</v>
      </c>
      <c r="F136" s="19" t="s">
        <v>694</v>
      </c>
      <c r="G136" s="19" t="s">
        <v>238</v>
      </c>
      <c r="H136" s="19" t="s">
        <v>32</v>
      </c>
      <c r="I136">
        <v>57</v>
      </c>
      <c r="J136">
        <v>61</v>
      </c>
      <c r="K136" s="1"/>
    </row>
    <row r="137" spans="1:11">
      <c r="A137" s="17" t="s">
        <v>624</v>
      </c>
      <c r="B137" s="19" t="s">
        <v>49</v>
      </c>
      <c r="C137" s="19" t="s">
        <v>695</v>
      </c>
      <c r="D137" s="19" t="s">
        <v>696</v>
      </c>
      <c r="E137" s="20" t="s">
        <v>12</v>
      </c>
      <c r="F137" s="19" t="s">
        <v>695</v>
      </c>
      <c r="G137" s="19" t="s">
        <v>697</v>
      </c>
      <c r="H137" s="19" t="s">
        <v>31</v>
      </c>
      <c r="I137">
        <v>31365</v>
      </c>
      <c r="J137">
        <v>8</v>
      </c>
      <c r="K137" s="1"/>
    </row>
    <row r="138" spans="1:11">
      <c r="A138" s="17" t="s">
        <v>624</v>
      </c>
      <c r="B138" s="19" t="s">
        <v>49</v>
      </c>
      <c r="C138" s="19" t="s">
        <v>698</v>
      </c>
      <c r="D138" s="19" t="s">
        <v>699</v>
      </c>
      <c r="E138" s="20" t="s">
        <v>12</v>
      </c>
      <c r="F138" s="19" t="s">
        <v>698</v>
      </c>
      <c r="G138" s="19" t="s">
        <v>700</v>
      </c>
      <c r="H138" s="19" t="s">
        <v>31</v>
      </c>
      <c r="I138">
        <v>95745</v>
      </c>
      <c r="J138">
        <v>6</v>
      </c>
      <c r="K138" s="1"/>
    </row>
    <row r="139" spans="1:11">
      <c r="A139" s="17" t="s">
        <v>624</v>
      </c>
      <c r="B139" s="19" t="s">
        <v>49</v>
      </c>
      <c r="C139" s="19" t="s">
        <v>701</v>
      </c>
      <c r="D139" s="19" t="s">
        <v>702</v>
      </c>
      <c r="E139" s="20" t="s">
        <v>12</v>
      </c>
      <c r="F139" s="19" t="s">
        <v>701</v>
      </c>
      <c r="G139" s="19" t="s">
        <v>703</v>
      </c>
      <c r="H139" s="19" t="s">
        <v>31</v>
      </c>
      <c r="I139">
        <v>1209858</v>
      </c>
      <c r="J139">
        <v>1200</v>
      </c>
      <c r="K139" s="1"/>
    </row>
    <row r="140" spans="1:11">
      <c r="A140" s="17" t="s">
        <v>624</v>
      </c>
      <c r="B140" s="19" t="s">
        <v>49</v>
      </c>
      <c r="C140" s="19" t="s">
        <v>704</v>
      </c>
      <c r="D140" s="19" t="s">
        <v>705</v>
      </c>
      <c r="E140" s="20" t="s">
        <v>12</v>
      </c>
      <c r="F140" s="19" t="s">
        <v>704</v>
      </c>
      <c r="G140" s="19" t="s">
        <v>706</v>
      </c>
      <c r="H140" s="19" t="s">
        <v>31</v>
      </c>
      <c r="I140">
        <v>3651380</v>
      </c>
      <c r="J140">
        <v>5467</v>
      </c>
      <c r="K140" s="1"/>
    </row>
    <row r="141" spans="1:11">
      <c r="A141" s="17" t="s">
        <v>624</v>
      </c>
      <c r="B141" s="19" t="s">
        <v>49</v>
      </c>
      <c r="C141" s="19" t="s">
        <v>707</v>
      </c>
      <c r="D141" s="19" t="s">
        <v>708</v>
      </c>
      <c r="E141" s="20" t="s">
        <v>12</v>
      </c>
      <c r="F141" s="19" t="s">
        <v>707</v>
      </c>
      <c r="G141" s="19" t="s">
        <v>709</v>
      </c>
      <c r="H141" s="19" t="s">
        <v>31</v>
      </c>
      <c r="I141">
        <v>377314</v>
      </c>
      <c r="J141">
        <v>867</v>
      </c>
      <c r="K141" s="1"/>
    </row>
    <row r="142" spans="1:11">
      <c r="A142" s="17" t="s">
        <v>624</v>
      </c>
      <c r="B142" s="19" t="s">
        <v>49</v>
      </c>
      <c r="C142" s="19" t="s">
        <v>710</v>
      </c>
      <c r="D142" s="19" t="s">
        <v>711</v>
      </c>
      <c r="E142" s="20" t="s">
        <v>12</v>
      </c>
      <c r="F142" s="19" t="s">
        <v>710</v>
      </c>
      <c r="G142" s="19" t="s">
        <v>712</v>
      </c>
      <c r="H142" s="19" t="s">
        <v>31</v>
      </c>
      <c r="I142">
        <v>1235647</v>
      </c>
      <c r="J142">
        <v>1849</v>
      </c>
      <c r="K142" s="1"/>
    </row>
    <row r="143" spans="1:11">
      <c r="A143" s="17" t="s">
        <v>624</v>
      </c>
      <c r="B143" s="19" t="s">
        <v>49</v>
      </c>
      <c r="C143" s="19" t="s">
        <v>713</v>
      </c>
      <c r="D143" s="19" t="s">
        <v>714</v>
      </c>
      <c r="E143" s="20" t="s">
        <v>12</v>
      </c>
      <c r="F143" s="19" t="s">
        <v>713</v>
      </c>
      <c r="G143" s="19" t="s">
        <v>715</v>
      </c>
      <c r="H143" s="19" t="s">
        <v>31</v>
      </c>
      <c r="I143">
        <v>52872</v>
      </c>
      <c r="J143">
        <v>84</v>
      </c>
      <c r="K143" s="1"/>
    </row>
    <row r="144" spans="1:11">
      <c r="A144" s="17" t="s">
        <v>624</v>
      </c>
      <c r="B144" s="19" t="s">
        <v>49</v>
      </c>
      <c r="C144" s="19" t="s">
        <v>716</v>
      </c>
      <c r="D144" s="19" t="s">
        <v>717</v>
      </c>
      <c r="E144" s="20" t="s">
        <v>12</v>
      </c>
      <c r="F144" s="19" t="s">
        <v>716</v>
      </c>
      <c r="G144" s="19" t="s">
        <v>718</v>
      </c>
      <c r="H144" s="19" t="s">
        <v>31</v>
      </c>
      <c r="I144">
        <v>436867</v>
      </c>
      <c r="J144">
        <v>734</v>
      </c>
      <c r="K144" s="1"/>
    </row>
    <row r="145" spans="1:11">
      <c r="A145" s="17" t="s">
        <v>624</v>
      </c>
      <c r="B145" s="19" t="s">
        <v>49</v>
      </c>
      <c r="C145" s="19" t="s">
        <v>719</v>
      </c>
      <c r="D145" s="19" t="s">
        <v>720</v>
      </c>
      <c r="E145" s="20" t="s">
        <v>12</v>
      </c>
      <c r="F145" s="19" t="s">
        <v>719</v>
      </c>
      <c r="G145" s="19" t="s">
        <v>721</v>
      </c>
      <c r="H145" s="19" t="s">
        <v>31</v>
      </c>
      <c r="I145">
        <v>108193</v>
      </c>
      <c r="J145">
        <v>27</v>
      </c>
      <c r="K145" s="1"/>
    </row>
    <row r="146" spans="1:11">
      <c r="A146" s="17" t="s">
        <v>624</v>
      </c>
      <c r="B146" s="19" t="s">
        <v>49</v>
      </c>
      <c r="C146" s="19" t="s">
        <v>722</v>
      </c>
      <c r="D146" s="19" t="s">
        <v>723</v>
      </c>
      <c r="E146" s="20" t="s">
        <v>12</v>
      </c>
      <c r="F146" s="19" t="s">
        <v>722</v>
      </c>
      <c r="G146" s="19" t="s">
        <v>724</v>
      </c>
      <c r="H146" s="19" t="s">
        <v>31</v>
      </c>
      <c r="I146">
        <v>274995</v>
      </c>
      <c r="J146">
        <v>114</v>
      </c>
      <c r="K146" s="1"/>
    </row>
    <row r="147" spans="1:11">
      <c r="A147" s="17" t="s">
        <v>624</v>
      </c>
      <c r="B147" s="19" t="s">
        <v>49</v>
      </c>
      <c r="C147" s="19" t="s">
        <v>725</v>
      </c>
      <c r="D147" s="19" t="s">
        <v>726</v>
      </c>
      <c r="E147" s="20" t="s">
        <v>12</v>
      </c>
      <c r="F147" s="19" t="s">
        <v>725</v>
      </c>
      <c r="G147" s="19" t="s">
        <v>727</v>
      </c>
      <c r="H147" s="19" t="s">
        <v>31</v>
      </c>
      <c r="I147">
        <v>1</v>
      </c>
      <c r="J147">
        <v>1</v>
      </c>
      <c r="K147" s="1"/>
    </row>
    <row r="148" spans="1:11">
      <c r="A148" s="17" t="s">
        <v>624</v>
      </c>
      <c r="B148" s="19" t="s">
        <v>49</v>
      </c>
      <c r="C148" s="19" t="s">
        <v>728</v>
      </c>
      <c r="D148" s="19" t="s">
        <v>729</v>
      </c>
      <c r="E148" s="20" t="s">
        <v>12</v>
      </c>
      <c r="F148" s="19" t="s">
        <v>728</v>
      </c>
      <c r="G148" s="19" t="s">
        <v>730</v>
      </c>
      <c r="H148" s="19" t="s">
        <v>31</v>
      </c>
      <c r="I148">
        <v>1</v>
      </c>
      <c r="J148">
        <v>1</v>
      </c>
      <c r="K148" s="1"/>
    </row>
    <row r="149" spans="1:11">
      <c r="A149" s="17" t="s">
        <v>624</v>
      </c>
      <c r="B149" s="19" t="s">
        <v>49</v>
      </c>
      <c r="C149" s="19" t="s">
        <v>731</v>
      </c>
      <c r="D149" s="19" t="s">
        <v>114</v>
      </c>
      <c r="E149" s="20" t="s">
        <v>12</v>
      </c>
      <c r="F149" s="19" t="s">
        <v>731</v>
      </c>
      <c r="G149" s="19" t="s">
        <v>116</v>
      </c>
      <c r="H149" s="19" t="s">
        <v>31</v>
      </c>
      <c r="I149">
        <v>0</v>
      </c>
      <c r="J149">
        <v>2</v>
      </c>
      <c r="K149" s="1"/>
    </row>
    <row r="150" spans="1:11">
      <c r="A150" s="17" t="s">
        <v>624</v>
      </c>
      <c r="B150" s="19" t="s">
        <v>49</v>
      </c>
      <c r="C150" s="19" t="s">
        <v>732</v>
      </c>
      <c r="D150" s="19" t="s">
        <v>117</v>
      </c>
      <c r="E150" s="20" t="s">
        <v>12</v>
      </c>
      <c r="F150" s="19" t="s">
        <v>732</v>
      </c>
      <c r="G150" s="19" t="s">
        <v>118</v>
      </c>
      <c r="H150" s="19" t="s">
        <v>31</v>
      </c>
      <c r="I150">
        <v>0</v>
      </c>
      <c r="J150">
        <v>26</v>
      </c>
      <c r="K150" s="1"/>
    </row>
    <row r="151" spans="1:11">
      <c r="A151" s="17" t="s">
        <v>624</v>
      </c>
      <c r="B151" s="19" t="s">
        <v>49</v>
      </c>
      <c r="C151" s="19" t="s">
        <v>733</v>
      </c>
      <c r="D151" s="19" t="s">
        <v>119</v>
      </c>
      <c r="E151" s="20" t="s">
        <v>12</v>
      </c>
      <c r="F151" s="19" t="s">
        <v>733</v>
      </c>
      <c r="G151" s="19" t="s">
        <v>121</v>
      </c>
      <c r="H151" s="19" t="s">
        <v>31</v>
      </c>
      <c r="I151">
        <v>0</v>
      </c>
      <c r="J151">
        <v>1</v>
      </c>
      <c r="K151" s="1"/>
    </row>
    <row r="152" spans="1:11">
      <c r="A152" s="17" t="s">
        <v>624</v>
      </c>
      <c r="B152" s="19" t="s">
        <v>49</v>
      </c>
      <c r="C152" s="19" t="s">
        <v>733</v>
      </c>
      <c r="D152" s="19" t="s">
        <v>119</v>
      </c>
      <c r="E152" s="20" t="s">
        <v>12</v>
      </c>
      <c r="F152" s="19" t="s">
        <v>733</v>
      </c>
      <c r="G152" s="19" t="s">
        <v>120</v>
      </c>
      <c r="H152" s="19" t="s">
        <v>31</v>
      </c>
      <c r="I152">
        <v>0</v>
      </c>
      <c r="J152">
        <v>2</v>
      </c>
      <c r="K152" s="1"/>
    </row>
    <row r="153" spans="1:11">
      <c r="A153" s="17" t="s">
        <v>624</v>
      </c>
      <c r="B153" s="19" t="s">
        <v>49</v>
      </c>
      <c r="C153" s="19" t="s">
        <v>734</v>
      </c>
      <c r="D153" s="19" t="s">
        <v>735</v>
      </c>
      <c r="E153" s="20" t="s">
        <v>12</v>
      </c>
      <c r="F153" s="19" t="s">
        <v>734</v>
      </c>
      <c r="G153" s="19" t="s">
        <v>736</v>
      </c>
      <c r="H153" s="19" t="s">
        <v>31</v>
      </c>
      <c r="I153">
        <v>1</v>
      </c>
      <c r="J153">
        <v>1</v>
      </c>
      <c r="K153" s="1"/>
    </row>
    <row r="154" spans="1:11">
      <c r="A154" s="17" t="s">
        <v>624</v>
      </c>
      <c r="B154" s="19" t="s">
        <v>49</v>
      </c>
      <c r="C154" s="19" t="s">
        <v>737</v>
      </c>
      <c r="D154" s="19" t="s">
        <v>738</v>
      </c>
      <c r="E154" s="20" t="s">
        <v>12</v>
      </c>
      <c r="F154" s="19" t="s">
        <v>737</v>
      </c>
      <c r="G154" s="19" t="s">
        <v>739</v>
      </c>
      <c r="H154" s="19" t="s">
        <v>31</v>
      </c>
      <c r="I154">
        <v>1</v>
      </c>
      <c r="J154">
        <v>1</v>
      </c>
      <c r="K154" s="1"/>
    </row>
    <row r="155" spans="1:11">
      <c r="A155" s="17" t="s">
        <v>624</v>
      </c>
      <c r="B155" s="19" t="s">
        <v>49</v>
      </c>
      <c r="C155" s="19" t="s">
        <v>740</v>
      </c>
      <c r="D155" s="19" t="s">
        <v>123</v>
      </c>
      <c r="E155" s="20" t="s">
        <v>32</v>
      </c>
      <c r="F155" s="19" t="s">
        <v>740</v>
      </c>
      <c r="G155" s="19" t="s">
        <v>124</v>
      </c>
      <c r="H155" s="19" t="s">
        <v>32</v>
      </c>
      <c r="I155">
        <v>0</v>
      </c>
      <c r="J155">
        <v>19</v>
      </c>
      <c r="K155" s="1"/>
    </row>
    <row r="156" spans="1:11">
      <c r="A156" s="17" t="s">
        <v>624</v>
      </c>
      <c r="B156" s="19" t="s">
        <v>49</v>
      </c>
      <c r="C156" s="19" t="s">
        <v>741</v>
      </c>
      <c r="D156" s="19" t="s">
        <v>125</v>
      </c>
      <c r="E156" s="20" t="s">
        <v>32</v>
      </c>
      <c r="F156" s="19" t="s">
        <v>741</v>
      </c>
      <c r="G156" s="19" t="s">
        <v>126</v>
      </c>
      <c r="H156" s="19" t="s">
        <v>32</v>
      </c>
      <c r="I156">
        <v>0</v>
      </c>
      <c r="J156">
        <v>2</v>
      </c>
      <c r="K156" s="1"/>
    </row>
    <row r="157" spans="1:11">
      <c r="A157" s="17" t="s">
        <v>624</v>
      </c>
      <c r="B157" s="19" t="s">
        <v>52</v>
      </c>
      <c r="C157" s="19" t="s">
        <v>742</v>
      </c>
      <c r="D157" s="19" t="s">
        <v>743</v>
      </c>
      <c r="E157" s="20" t="s">
        <v>32</v>
      </c>
      <c r="F157" s="19" t="s">
        <v>742</v>
      </c>
      <c r="G157" s="19" t="s">
        <v>744</v>
      </c>
      <c r="H157" s="19" t="s">
        <v>32</v>
      </c>
      <c r="I157">
        <v>2</v>
      </c>
      <c r="J157">
        <v>0</v>
      </c>
      <c r="K157" s="1"/>
    </row>
    <row r="158" spans="1:11">
      <c r="A158" s="17" t="s">
        <v>624</v>
      </c>
      <c r="B158" s="19" t="s">
        <v>52</v>
      </c>
      <c r="C158" s="19" t="s">
        <v>745</v>
      </c>
      <c r="D158" s="19" t="s">
        <v>61</v>
      </c>
      <c r="E158" s="20" t="s">
        <v>32</v>
      </c>
      <c r="F158" s="19" t="s">
        <v>745</v>
      </c>
      <c r="G158" s="19" t="s">
        <v>62</v>
      </c>
      <c r="H158" s="19" t="s">
        <v>32</v>
      </c>
      <c r="I158">
        <v>0</v>
      </c>
      <c r="J158">
        <v>8</v>
      </c>
      <c r="K158" s="1"/>
    </row>
    <row r="159" spans="1:11">
      <c r="A159" s="17" t="s">
        <v>624</v>
      </c>
      <c r="B159" s="19" t="s">
        <v>52</v>
      </c>
      <c r="C159" s="19" t="s">
        <v>746</v>
      </c>
      <c r="D159" s="19" t="s">
        <v>87</v>
      </c>
      <c r="E159" s="20" t="s">
        <v>32</v>
      </c>
      <c r="F159" s="19" t="s">
        <v>746</v>
      </c>
      <c r="G159" s="19" t="s">
        <v>88</v>
      </c>
      <c r="H159" s="19" t="s">
        <v>32</v>
      </c>
      <c r="I159">
        <v>18</v>
      </c>
      <c r="J159">
        <v>0</v>
      </c>
      <c r="K159" s="1"/>
    </row>
    <row r="160" spans="1:11">
      <c r="A160" s="17" t="s">
        <v>624</v>
      </c>
      <c r="B160" s="19" t="s">
        <v>52</v>
      </c>
      <c r="C160" s="19" t="s">
        <v>747</v>
      </c>
      <c r="D160" s="19" t="s">
        <v>748</v>
      </c>
      <c r="E160" s="20" t="s">
        <v>32</v>
      </c>
      <c r="F160" s="19" t="s">
        <v>747</v>
      </c>
      <c r="G160" s="19" t="s">
        <v>749</v>
      </c>
      <c r="H160" s="19" t="s">
        <v>32</v>
      </c>
      <c r="I160">
        <v>0</v>
      </c>
      <c r="J160">
        <v>1</v>
      </c>
      <c r="K160" s="1"/>
    </row>
    <row r="161" spans="1:11">
      <c r="A161" s="17" t="s">
        <v>624</v>
      </c>
      <c r="B161" s="19" t="s">
        <v>52</v>
      </c>
      <c r="C161" s="19" t="s">
        <v>750</v>
      </c>
      <c r="D161" s="19" t="s">
        <v>239</v>
      </c>
      <c r="E161" s="20" t="s">
        <v>84</v>
      </c>
      <c r="F161" s="19" t="s">
        <v>750</v>
      </c>
      <c r="G161" s="19" t="s">
        <v>240</v>
      </c>
      <c r="H161" s="19" t="s">
        <v>84</v>
      </c>
      <c r="I161">
        <v>49</v>
      </c>
      <c r="J161">
        <v>3</v>
      </c>
      <c r="K161" s="1"/>
    </row>
    <row r="162" spans="1:11">
      <c r="A162" s="17" t="s">
        <v>624</v>
      </c>
      <c r="B162" s="19" t="s">
        <v>52</v>
      </c>
      <c r="C162" s="19" t="s">
        <v>751</v>
      </c>
      <c r="D162" s="19" t="s">
        <v>241</v>
      </c>
      <c r="E162" s="20" t="s">
        <v>84</v>
      </c>
      <c r="F162" s="19" t="s">
        <v>751</v>
      </c>
      <c r="G162" s="19" t="s">
        <v>242</v>
      </c>
      <c r="H162" s="19" t="s">
        <v>84</v>
      </c>
      <c r="I162">
        <v>27</v>
      </c>
      <c r="J162">
        <v>0</v>
      </c>
      <c r="K162" s="1"/>
    </row>
    <row r="163" spans="1:11">
      <c r="A163" s="17" t="s">
        <v>624</v>
      </c>
      <c r="B163" s="19" t="s">
        <v>52</v>
      </c>
      <c r="C163" s="19" t="s">
        <v>752</v>
      </c>
      <c r="D163" s="19" t="s">
        <v>127</v>
      </c>
      <c r="E163" s="20" t="s">
        <v>32</v>
      </c>
      <c r="F163" s="19" t="s">
        <v>752</v>
      </c>
      <c r="G163" s="19" t="s">
        <v>128</v>
      </c>
      <c r="H163" s="19" t="s">
        <v>32</v>
      </c>
      <c r="I163">
        <v>0</v>
      </c>
      <c r="J163">
        <v>1</v>
      </c>
      <c r="K163" s="1"/>
    </row>
    <row r="164" spans="1:11">
      <c r="A164" s="17" t="s">
        <v>624</v>
      </c>
      <c r="B164" s="19" t="s">
        <v>63</v>
      </c>
      <c r="C164" s="19" t="s">
        <v>753</v>
      </c>
      <c r="D164" s="19" t="s">
        <v>64</v>
      </c>
      <c r="E164" s="20" t="s">
        <v>32</v>
      </c>
      <c r="F164" s="19" t="s">
        <v>753</v>
      </c>
      <c r="G164" s="19" t="s">
        <v>65</v>
      </c>
      <c r="H164" s="19" t="s">
        <v>32</v>
      </c>
      <c r="I164">
        <v>0</v>
      </c>
      <c r="J164">
        <v>38247</v>
      </c>
      <c r="K164" s="1"/>
    </row>
    <row r="165" spans="1:11">
      <c r="A165" s="17" t="s">
        <v>624</v>
      </c>
      <c r="B165" s="19" t="s">
        <v>111</v>
      </c>
      <c r="C165" s="19" t="s">
        <v>754</v>
      </c>
      <c r="D165" s="19" t="s">
        <v>755</v>
      </c>
      <c r="E165" s="20" t="s">
        <v>84</v>
      </c>
      <c r="F165" s="19" t="s">
        <v>754</v>
      </c>
      <c r="G165" s="19" t="s">
        <v>756</v>
      </c>
      <c r="H165" s="19" t="s">
        <v>84</v>
      </c>
      <c r="I165">
        <v>6577578</v>
      </c>
      <c r="J165">
        <v>93266</v>
      </c>
      <c r="K165" s="1"/>
    </row>
    <row r="166" spans="1:11">
      <c r="A166" s="17" t="s">
        <v>624</v>
      </c>
      <c r="B166" s="19" t="s">
        <v>111</v>
      </c>
      <c r="C166" s="19" t="s">
        <v>757</v>
      </c>
      <c r="D166" s="19" t="s">
        <v>758</v>
      </c>
      <c r="E166" s="20" t="s">
        <v>84</v>
      </c>
      <c r="F166" s="19" t="s">
        <v>757</v>
      </c>
      <c r="G166" s="19" t="s">
        <v>759</v>
      </c>
      <c r="H166" s="19" t="s">
        <v>84</v>
      </c>
      <c r="I166">
        <v>3622429</v>
      </c>
      <c r="J166">
        <v>22119</v>
      </c>
      <c r="K166" s="1"/>
    </row>
    <row r="167" spans="1:11">
      <c r="A167" s="17" t="s">
        <v>624</v>
      </c>
      <c r="B167" s="19" t="s">
        <v>111</v>
      </c>
      <c r="C167" s="19" t="s">
        <v>760</v>
      </c>
      <c r="D167" s="19" t="s">
        <v>761</v>
      </c>
      <c r="E167" s="20" t="s">
        <v>84</v>
      </c>
      <c r="F167" s="19" t="s">
        <v>760</v>
      </c>
      <c r="G167" s="19" t="s">
        <v>762</v>
      </c>
      <c r="H167" s="19" t="s">
        <v>84</v>
      </c>
      <c r="I167">
        <v>3178279</v>
      </c>
      <c r="J167">
        <v>21115</v>
      </c>
      <c r="K167" s="1"/>
    </row>
    <row r="168" spans="1:11">
      <c r="A168" s="17" t="s">
        <v>624</v>
      </c>
      <c r="B168" s="19" t="s">
        <v>111</v>
      </c>
      <c r="C168" s="19" t="s">
        <v>763</v>
      </c>
      <c r="D168" s="19" t="s">
        <v>764</v>
      </c>
      <c r="E168" s="20" t="s">
        <v>84</v>
      </c>
      <c r="F168" s="19" t="s">
        <v>763</v>
      </c>
      <c r="G168" s="19" t="s">
        <v>765</v>
      </c>
      <c r="H168" s="19" t="s">
        <v>84</v>
      </c>
      <c r="I168">
        <v>5762527</v>
      </c>
      <c r="J168">
        <v>33221</v>
      </c>
      <c r="K168" s="1"/>
    </row>
    <row r="169" spans="1:11">
      <c r="A169" s="17" t="s">
        <v>624</v>
      </c>
      <c r="B169" s="19" t="s">
        <v>111</v>
      </c>
      <c r="C169" s="19" t="s">
        <v>766</v>
      </c>
      <c r="D169" s="19" t="s">
        <v>767</v>
      </c>
      <c r="E169" s="20" t="s">
        <v>84</v>
      </c>
      <c r="F169" s="19" t="s">
        <v>766</v>
      </c>
      <c r="G169" s="19" t="s">
        <v>768</v>
      </c>
      <c r="H169" s="19" t="s">
        <v>84</v>
      </c>
      <c r="I169">
        <v>5692152</v>
      </c>
      <c r="J169">
        <v>247376</v>
      </c>
      <c r="K169" s="1"/>
    </row>
    <row r="170" spans="1:11">
      <c r="A170" s="17" t="s">
        <v>624</v>
      </c>
      <c r="B170" s="19" t="s">
        <v>243</v>
      </c>
      <c r="C170" s="19" t="s">
        <v>769</v>
      </c>
      <c r="D170" s="19" t="s">
        <v>244</v>
      </c>
      <c r="E170" s="20" t="s">
        <v>84</v>
      </c>
      <c r="F170" s="19" t="s">
        <v>769</v>
      </c>
      <c r="G170" s="19" t="s">
        <v>245</v>
      </c>
      <c r="H170" s="19" t="s">
        <v>84</v>
      </c>
      <c r="I170">
        <v>149</v>
      </c>
      <c r="J170">
        <v>0</v>
      </c>
      <c r="K170" s="1"/>
    </row>
    <row r="171" spans="1:11">
      <c r="A171" s="17" t="s">
        <v>624</v>
      </c>
      <c r="B171" s="19" t="s">
        <v>243</v>
      </c>
      <c r="C171" s="19" t="s">
        <v>770</v>
      </c>
      <c r="D171" s="19" t="s">
        <v>246</v>
      </c>
      <c r="E171" s="20" t="s">
        <v>84</v>
      </c>
      <c r="F171" s="19" t="s">
        <v>770</v>
      </c>
      <c r="G171" s="19" t="s">
        <v>247</v>
      </c>
      <c r="H171" s="19" t="s">
        <v>84</v>
      </c>
      <c r="I171">
        <v>121</v>
      </c>
      <c r="J171">
        <v>1</v>
      </c>
      <c r="K171" s="1"/>
    </row>
    <row r="172" spans="1:11">
      <c r="A172" s="17" t="s">
        <v>771</v>
      </c>
      <c r="B172" s="19" t="s">
        <v>50</v>
      </c>
      <c r="C172" s="19" t="s">
        <v>772</v>
      </c>
      <c r="D172" s="19" t="s">
        <v>773</v>
      </c>
      <c r="E172" s="20" t="s">
        <v>32</v>
      </c>
      <c r="F172" s="19" t="s">
        <v>772</v>
      </c>
      <c r="G172" s="19" t="s">
        <v>774</v>
      </c>
      <c r="H172" s="19" t="s">
        <v>32</v>
      </c>
      <c r="I172">
        <v>0</v>
      </c>
      <c r="J172">
        <v>24</v>
      </c>
      <c r="K172" s="1"/>
    </row>
    <row r="173" spans="1:11">
      <c r="A173" s="17" t="s">
        <v>771</v>
      </c>
      <c r="B173" s="19" t="s">
        <v>50</v>
      </c>
      <c r="C173" s="19" t="s">
        <v>772</v>
      </c>
      <c r="D173" s="19" t="s">
        <v>775</v>
      </c>
      <c r="E173" s="20" t="s">
        <v>32</v>
      </c>
      <c r="F173" s="19" t="s">
        <v>772</v>
      </c>
      <c r="G173" s="19" t="s">
        <v>776</v>
      </c>
      <c r="H173" s="19" t="s">
        <v>32</v>
      </c>
      <c r="I173">
        <v>0</v>
      </c>
      <c r="J173">
        <v>2</v>
      </c>
      <c r="K173" s="1"/>
    </row>
    <row r="174" spans="1:11">
      <c r="A174" s="17" t="s">
        <v>771</v>
      </c>
      <c r="B174" s="19" t="s">
        <v>50</v>
      </c>
      <c r="C174" s="19" t="s">
        <v>777</v>
      </c>
      <c r="D174" s="19" t="s">
        <v>778</v>
      </c>
      <c r="E174" s="20" t="s">
        <v>32</v>
      </c>
      <c r="F174" s="19" t="s">
        <v>777</v>
      </c>
      <c r="G174" s="19" t="s">
        <v>779</v>
      </c>
      <c r="H174" s="19" t="s">
        <v>32</v>
      </c>
      <c r="I174">
        <v>0</v>
      </c>
      <c r="J174">
        <v>33</v>
      </c>
      <c r="K174" s="1"/>
    </row>
    <row r="175" spans="1:11">
      <c r="A175" s="17" t="s">
        <v>771</v>
      </c>
      <c r="B175" s="19" t="s">
        <v>50</v>
      </c>
      <c r="C175" s="19" t="s">
        <v>777</v>
      </c>
      <c r="D175" s="19" t="s">
        <v>780</v>
      </c>
      <c r="E175" s="20" t="s">
        <v>32</v>
      </c>
      <c r="F175" s="19" t="s">
        <v>777</v>
      </c>
      <c r="G175" s="19" t="s">
        <v>781</v>
      </c>
      <c r="H175" s="19" t="s">
        <v>32</v>
      </c>
      <c r="I175">
        <v>0</v>
      </c>
      <c r="J175">
        <v>1</v>
      </c>
      <c r="K175" s="1"/>
    </row>
    <row r="176" spans="1:11">
      <c r="A176" s="17" t="s">
        <v>771</v>
      </c>
      <c r="B176" s="19" t="s">
        <v>50</v>
      </c>
      <c r="C176" s="19" t="s">
        <v>782</v>
      </c>
      <c r="D176" s="19" t="s">
        <v>783</v>
      </c>
      <c r="E176" s="20" t="s">
        <v>32</v>
      </c>
      <c r="F176" s="19" t="s">
        <v>782</v>
      </c>
      <c r="G176" s="19" t="s">
        <v>784</v>
      </c>
      <c r="H176" s="19" t="s">
        <v>32</v>
      </c>
      <c r="I176">
        <v>0</v>
      </c>
      <c r="J176">
        <v>32</v>
      </c>
      <c r="K176" s="1"/>
    </row>
    <row r="177" spans="1:11">
      <c r="A177" s="17" t="s">
        <v>771</v>
      </c>
      <c r="B177" s="19" t="s">
        <v>50</v>
      </c>
      <c r="C177" s="19" t="s">
        <v>782</v>
      </c>
      <c r="D177" s="19" t="s">
        <v>785</v>
      </c>
      <c r="E177" s="20" t="s">
        <v>32</v>
      </c>
      <c r="F177" s="19" t="s">
        <v>782</v>
      </c>
      <c r="G177" s="19" t="s">
        <v>786</v>
      </c>
      <c r="H177" s="19" t="s">
        <v>32</v>
      </c>
      <c r="I177">
        <v>0</v>
      </c>
      <c r="J177">
        <v>1</v>
      </c>
      <c r="K177" s="1"/>
    </row>
    <row r="178" spans="1:11">
      <c r="A178" s="17" t="s">
        <v>771</v>
      </c>
      <c r="B178" s="19" t="s">
        <v>50</v>
      </c>
      <c r="C178" s="19" t="s">
        <v>782</v>
      </c>
      <c r="D178" s="19" t="s">
        <v>787</v>
      </c>
      <c r="E178" s="20" t="s">
        <v>32</v>
      </c>
      <c r="F178" s="19" t="s">
        <v>782</v>
      </c>
      <c r="G178" s="19" t="s">
        <v>788</v>
      </c>
      <c r="H178" s="19" t="s">
        <v>32</v>
      </c>
      <c r="I178">
        <v>0</v>
      </c>
      <c r="J178">
        <v>2</v>
      </c>
      <c r="K178" s="1"/>
    </row>
    <row r="179" spans="1:11">
      <c r="A179" s="17" t="s">
        <v>771</v>
      </c>
      <c r="B179" s="19" t="s">
        <v>50</v>
      </c>
      <c r="C179" s="19" t="s">
        <v>789</v>
      </c>
      <c r="D179" s="19" t="s">
        <v>790</v>
      </c>
      <c r="E179" s="20" t="s">
        <v>32</v>
      </c>
      <c r="F179" s="19" t="s">
        <v>789</v>
      </c>
      <c r="G179" s="19" t="s">
        <v>791</v>
      </c>
      <c r="H179" s="19" t="s">
        <v>32</v>
      </c>
      <c r="I179">
        <v>0</v>
      </c>
      <c r="J179">
        <v>1</v>
      </c>
      <c r="K179" s="1"/>
    </row>
    <row r="180" spans="1:11">
      <c r="A180" s="17" t="s">
        <v>771</v>
      </c>
      <c r="B180" s="19" t="s">
        <v>50</v>
      </c>
      <c r="C180" s="19" t="s">
        <v>789</v>
      </c>
      <c r="D180" s="19" t="s">
        <v>792</v>
      </c>
      <c r="E180" s="20" t="s">
        <v>32</v>
      </c>
      <c r="F180" s="19" t="s">
        <v>789</v>
      </c>
      <c r="G180" s="19" t="s">
        <v>793</v>
      </c>
      <c r="H180" s="19" t="s">
        <v>32</v>
      </c>
      <c r="I180">
        <v>0</v>
      </c>
      <c r="J180">
        <v>1</v>
      </c>
      <c r="K180" s="1"/>
    </row>
    <row r="181" spans="1:11">
      <c r="A181" s="17" t="s">
        <v>771</v>
      </c>
      <c r="B181" s="19" t="s">
        <v>50</v>
      </c>
      <c r="C181" s="19" t="s">
        <v>789</v>
      </c>
      <c r="D181" s="19" t="s">
        <v>794</v>
      </c>
      <c r="E181" s="20" t="s">
        <v>32</v>
      </c>
      <c r="F181" s="19" t="s">
        <v>789</v>
      </c>
      <c r="G181" s="19" t="s">
        <v>795</v>
      </c>
      <c r="H181" s="19" t="s">
        <v>32</v>
      </c>
      <c r="I181">
        <v>0</v>
      </c>
      <c r="J181">
        <v>1</v>
      </c>
      <c r="K181" s="1"/>
    </row>
    <row r="182" spans="1:11">
      <c r="A182" s="17" t="s">
        <v>771</v>
      </c>
      <c r="B182" s="19" t="s">
        <v>50</v>
      </c>
      <c r="C182" s="19" t="s">
        <v>796</v>
      </c>
      <c r="D182" s="19" t="s">
        <v>797</v>
      </c>
      <c r="E182" s="20" t="s">
        <v>32</v>
      </c>
      <c r="F182" s="19" t="s">
        <v>796</v>
      </c>
      <c r="G182" s="19" t="s">
        <v>798</v>
      </c>
      <c r="H182" s="19" t="s">
        <v>32</v>
      </c>
      <c r="I182">
        <v>0</v>
      </c>
      <c r="J182">
        <v>1</v>
      </c>
      <c r="K182" s="1"/>
    </row>
    <row r="183" spans="1:11">
      <c r="A183" s="17" t="s">
        <v>771</v>
      </c>
      <c r="B183" s="19" t="s">
        <v>50</v>
      </c>
      <c r="C183" s="19" t="s">
        <v>796</v>
      </c>
      <c r="D183" s="19" t="s">
        <v>799</v>
      </c>
      <c r="E183" s="20" t="s">
        <v>32</v>
      </c>
      <c r="F183" s="19" t="s">
        <v>796</v>
      </c>
      <c r="G183" s="19" t="s">
        <v>800</v>
      </c>
      <c r="H183" s="19" t="s">
        <v>32</v>
      </c>
      <c r="I183">
        <v>0</v>
      </c>
      <c r="J183">
        <v>2</v>
      </c>
      <c r="K183" s="1"/>
    </row>
    <row r="184" spans="1:11">
      <c r="A184" s="17" t="s">
        <v>771</v>
      </c>
      <c r="B184" s="19" t="s">
        <v>50</v>
      </c>
      <c r="C184" s="19" t="s">
        <v>801</v>
      </c>
      <c r="D184" s="19" t="s">
        <v>802</v>
      </c>
      <c r="E184" s="20" t="s">
        <v>32</v>
      </c>
      <c r="F184" s="19" t="s">
        <v>801</v>
      </c>
      <c r="G184" s="19" t="s">
        <v>803</v>
      </c>
      <c r="H184" s="19" t="s">
        <v>32</v>
      </c>
      <c r="I184">
        <v>0</v>
      </c>
      <c r="J184">
        <v>1</v>
      </c>
      <c r="K184" s="1"/>
    </row>
    <row r="185" spans="1:11">
      <c r="A185" s="17" t="s">
        <v>771</v>
      </c>
      <c r="B185" s="19" t="s">
        <v>50</v>
      </c>
      <c r="C185" s="19" t="s">
        <v>801</v>
      </c>
      <c r="D185" s="19" t="s">
        <v>804</v>
      </c>
      <c r="E185" s="20" t="s">
        <v>32</v>
      </c>
      <c r="F185" s="19" t="s">
        <v>801</v>
      </c>
      <c r="G185" s="19" t="s">
        <v>805</v>
      </c>
      <c r="H185" s="19" t="s">
        <v>32</v>
      </c>
      <c r="I185">
        <v>0</v>
      </c>
      <c r="J185">
        <v>1</v>
      </c>
      <c r="K185" s="1"/>
    </row>
    <row r="186" spans="1:11">
      <c r="A186" s="17" t="s">
        <v>771</v>
      </c>
      <c r="B186" s="19" t="s">
        <v>50</v>
      </c>
      <c r="C186" s="19" t="s">
        <v>806</v>
      </c>
      <c r="D186" s="19" t="s">
        <v>807</v>
      </c>
      <c r="E186" s="20" t="s">
        <v>32</v>
      </c>
      <c r="F186" s="19" t="s">
        <v>806</v>
      </c>
      <c r="G186" s="19" t="s">
        <v>808</v>
      </c>
      <c r="H186" s="19" t="s">
        <v>32</v>
      </c>
      <c r="I186">
        <v>0</v>
      </c>
      <c r="J186">
        <v>272</v>
      </c>
      <c r="K186" s="1"/>
    </row>
    <row r="187" spans="1:11">
      <c r="A187" s="17" t="s">
        <v>771</v>
      </c>
      <c r="B187" s="19" t="s">
        <v>50</v>
      </c>
      <c r="C187" s="19" t="s">
        <v>806</v>
      </c>
      <c r="D187" s="19" t="s">
        <v>809</v>
      </c>
      <c r="E187" s="20" t="s">
        <v>32</v>
      </c>
      <c r="F187" s="19" t="s">
        <v>806</v>
      </c>
      <c r="G187" s="19" t="s">
        <v>810</v>
      </c>
      <c r="H187" s="19" t="s">
        <v>32</v>
      </c>
      <c r="I187">
        <v>0</v>
      </c>
      <c r="J187">
        <v>1</v>
      </c>
      <c r="K187" s="1"/>
    </row>
    <row r="188" spans="1:11">
      <c r="A188" s="17" t="s">
        <v>771</v>
      </c>
      <c r="B188" s="19" t="s">
        <v>50</v>
      </c>
      <c r="C188" s="19" t="s">
        <v>806</v>
      </c>
      <c r="D188" s="19" t="s">
        <v>811</v>
      </c>
      <c r="E188" s="20" t="s">
        <v>32</v>
      </c>
      <c r="F188" s="19" t="s">
        <v>806</v>
      </c>
      <c r="G188" s="19" t="s">
        <v>812</v>
      </c>
      <c r="H188" s="19" t="s">
        <v>32</v>
      </c>
      <c r="I188">
        <v>0</v>
      </c>
      <c r="J188">
        <v>1</v>
      </c>
      <c r="K188" s="1"/>
    </row>
    <row r="189" spans="1:11">
      <c r="A189" s="17" t="s">
        <v>771</v>
      </c>
      <c r="B189" s="19" t="s">
        <v>50</v>
      </c>
      <c r="C189" s="19" t="s">
        <v>806</v>
      </c>
      <c r="D189" s="19" t="s">
        <v>813</v>
      </c>
      <c r="E189" s="20" t="s">
        <v>32</v>
      </c>
      <c r="F189" s="19" t="s">
        <v>806</v>
      </c>
      <c r="G189" s="19" t="s">
        <v>814</v>
      </c>
      <c r="H189" s="19" t="s">
        <v>32</v>
      </c>
      <c r="I189">
        <v>0</v>
      </c>
      <c r="J189">
        <v>1</v>
      </c>
      <c r="K189" s="1"/>
    </row>
    <row r="190" spans="1:11">
      <c r="A190" s="17" t="s">
        <v>771</v>
      </c>
      <c r="B190" s="19" t="s">
        <v>50</v>
      </c>
      <c r="C190" s="19" t="s">
        <v>815</v>
      </c>
      <c r="D190" s="19" t="s">
        <v>816</v>
      </c>
      <c r="E190" s="20" t="s">
        <v>32</v>
      </c>
      <c r="F190" s="19" t="s">
        <v>815</v>
      </c>
      <c r="G190" s="19" t="s">
        <v>817</v>
      </c>
      <c r="H190" s="19" t="s">
        <v>32</v>
      </c>
      <c r="I190">
        <v>0</v>
      </c>
      <c r="J190">
        <v>1</v>
      </c>
      <c r="K190" s="1"/>
    </row>
    <row r="191" spans="1:11">
      <c r="A191" s="17" t="s">
        <v>771</v>
      </c>
      <c r="B191" s="19" t="s">
        <v>50</v>
      </c>
      <c r="C191" s="19" t="s">
        <v>818</v>
      </c>
      <c r="D191" s="19" t="s">
        <v>819</v>
      </c>
      <c r="E191" s="20" t="s">
        <v>32</v>
      </c>
      <c r="F191" s="19" t="s">
        <v>818</v>
      </c>
      <c r="G191" s="19" t="s">
        <v>820</v>
      </c>
      <c r="H191" s="19" t="s">
        <v>32</v>
      </c>
      <c r="I191">
        <v>0</v>
      </c>
      <c r="J191">
        <v>1</v>
      </c>
      <c r="K191" s="1"/>
    </row>
    <row r="192" spans="1:11">
      <c r="A192" s="17" t="s">
        <v>771</v>
      </c>
      <c r="B192" s="19" t="s">
        <v>50</v>
      </c>
      <c r="C192" s="19" t="s">
        <v>818</v>
      </c>
      <c r="D192" s="19" t="s">
        <v>821</v>
      </c>
      <c r="E192" s="20" t="s">
        <v>32</v>
      </c>
      <c r="F192" s="19" t="s">
        <v>818</v>
      </c>
      <c r="G192" s="19" t="s">
        <v>822</v>
      </c>
      <c r="H192" s="19" t="s">
        <v>32</v>
      </c>
      <c r="I192">
        <v>0</v>
      </c>
      <c r="J192">
        <v>1</v>
      </c>
      <c r="K192" s="1"/>
    </row>
    <row r="193" spans="1:11">
      <c r="A193" s="17" t="s">
        <v>771</v>
      </c>
      <c r="B193" s="19" t="s">
        <v>50</v>
      </c>
      <c r="C193" s="19" t="s">
        <v>818</v>
      </c>
      <c r="D193" s="19" t="s">
        <v>823</v>
      </c>
      <c r="E193" s="20" t="s">
        <v>32</v>
      </c>
      <c r="F193" s="19" t="s">
        <v>818</v>
      </c>
      <c r="G193" s="19" t="s">
        <v>824</v>
      </c>
      <c r="H193" s="19" t="s">
        <v>32</v>
      </c>
      <c r="I193">
        <v>0</v>
      </c>
      <c r="J193">
        <v>1</v>
      </c>
      <c r="K193" s="1"/>
    </row>
    <row r="194" spans="1:11">
      <c r="A194" s="17" t="s">
        <v>771</v>
      </c>
      <c r="B194" s="19" t="s">
        <v>50</v>
      </c>
      <c r="C194" s="19" t="s">
        <v>818</v>
      </c>
      <c r="D194" s="19" t="s">
        <v>825</v>
      </c>
      <c r="E194" s="20" t="s">
        <v>32</v>
      </c>
      <c r="F194" s="19" t="s">
        <v>818</v>
      </c>
      <c r="G194" s="19" t="s">
        <v>826</v>
      </c>
      <c r="H194" s="19" t="s">
        <v>32</v>
      </c>
      <c r="I194">
        <v>0</v>
      </c>
      <c r="J194">
        <v>2</v>
      </c>
      <c r="K194" s="1"/>
    </row>
    <row r="195" spans="1:11">
      <c r="A195" s="17" t="s">
        <v>771</v>
      </c>
      <c r="B195" s="19" t="s">
        <v>50</v>
      </c>
      <c r="C195" s="19" t="s">
        <v>827</v>
      </c>
      <c r="D195" s="19" t="s">
        <v>828</v>
      </c>
      <c r="E195" s="20" t="s">
        <v>32</v>
      </c>
      <c r="F195" s="19" t="s">
        <v>827</v>
      </c>
      <c r="G195" s="19" t="s">
        <v>829</v>
      </c>
      <c r="H195" s="19" t="s">
        <v>32</v>
      </c>
      <c r="I195">
        <v>0</v>
      </c>
      <c r="J195">
        <v>1</v>
      </c>
      <c r="K195" s="1"/>
    </row>
    <row r="196" spans="1:11">
      <c r="A196" s="17" t="s">
        <v>771</v>
      </c>
      <c r="B196" s="19" t="s">
        <v>50</v>
      </c>
      <c r="C196" s="19" t="s">
        <v>830</v>
      </c>
      <c r="D196" s="19" t="s">
        <v>831</v>
      </c>
      <c r="E196" s="20" t="s">
        <v>32</v>
      </c>
      <c r="F196" s="19" t="s">
        <v>830</v>
      </c>
      <c r="G196" s="19" t="s">
        <v>832</v>
      </c>
      <c r="H196" s="19" t="s">
        <v>32</v>
      </c>
      <c r="I196">
        <v>0</v>
      </c>
      <c r="J196">
        <v>122</v>
      </c>
      <c r="K196" s="1"/>
    </row>
    <row r="197" spans="1:11">
      <c r="A197" s="17" t="s">
        <v>771</v>
      </c>
      <c r="B197" s="19" t="s">
        <v>50</v>
      </c>
      <c r="C197" s="19" t="s">
        <v>830</v>
      </c>
      <c r="D197" s="19" t="s">
        <v>833</v>
      </c>
      <c r="E197" s="20" t="s">
        <v>32</v>
      </c>
      <c r="F197" s="19" t="s">
        <v>830</v>
      </c>
      <c r="G197" s="19" t="s">
        <v>834</v>
      </c>
      <c r="H197" s="19" t="s">
        <v>32</v>
      </c>
      <c r="I197">
        <v>0</v>
      </c>
      <c r="J197">
        <v>2</v>
      </c>
      <c r="K197" s="1"/>
    </row>
    <row r="198" spans="1:11">
      <c r="A198" s="17" t="s">
        <v>771</v>
      </c>
      <c r="B198" s="19" t="s">
        <v>50</v>
      </c>
      <c r="C198" s="19" t="s">
        <v>830</v>
      </c>
      <c r="D198" s="19" t="s">
        <v>835</v>
      </c>
      <c r="E198" s="20" t="s">
        <v>32</v>
      </c>
      <c r="F198" s="19" t="s">
        <v>830</v>
      </c>
      <c r="G198" s="19" t="s">
        <v>836</v>
      </c>
      <c r="H198" s="19" t="s">
        <v>32</v>
      </c>
      <c r="I198">
        <v>0</v>
      </c>
      <c r="J198">
        <v>1</v>
      </c>
      <c r="K198" s="1"/>
    </row>
    <row r="199" spans="1:11">
      <c r="A199" s="17" t="s">
        <v>771</v>
      </c>
      <c r="B199" s="19" t="s">
        <v>50</v>
      </c>
      <c r="C199" s="19" t="s">
        <v>837</v>
      </c>
      <c r="D199" s="19" t="s">
        <v>838</v>
      </c>
      <c r="E199" s="20" t="s">
        <v>32</v>
      </c>
      <c r="F199" s="19" t="s">
        <v>837</v>
      </c>
      <c r="G199" s="19" t="s">
        <v>839</v>
      </c>
      <c r="H199" s="19" t="s">
        <v>32</v>
      </c>
      <c r="I199">
        <v>0</v>
      </c>
      <c r="J199">
        <v>112</v>
      </c>
      <c r="K199" s="1"/>
    </row>
    <row r="200" spans="1:11">
      <c r="A200" s="17" t="s">
        <v>771</v>
      </c>
      <c r="B200" s="19" t="s">
        <v>50</v>
      </c>
      <c r="C200" s="19" t="s">
        <v>837</v>
      </c>
      <c r="D200" s="19" t="s">
        <v>840</v>
      </c>
      <c r="E200" s="20" t="s">
        <v>32</v>
      </c>
      <c r="F200" s="19" t="s">
        <v>837</v>
      </c>
      <c r="G200" s="19" t="s">
        <v>841</v>
      </c>
      <c r="H200" s="19" t="s">
        <v>32</v>
      </c>
      <c r="I200">
        <v>0</v>
      </c>
      <c r="J200">
        <v>2</v>
      </c>
      <c r="K200" s="1"/>
    </row>
    <row r="201" spans="1:11">
      <c r="A201" s="17" t="s">
        <v>771</v>
      </c>
      <c r="B201" s="19" t="s">
        <v>50</v>
      </c>
      <c r="C201" s="19" t="s">
        <v>837</v>
      </c>
      <c r="D201" s="19" t="s">
        <v>842</v>
      </c>
      <c r="E201" s="20" t="s">
        <v>32</v>
      </c>
      <c r="F201" s="19" t="s">
        <v>837</v>
      </c>
      <c r="G201" s="19" t="s">
        <v>843</v>
      </c>
      <c r="H201" s="19" t="s">
        <v>32</v>
      </c>
      <c r="I201">
        <v>0</v>
      </c>
      <c r="J201">
        <v>1</v>
      </c>
      <c r="K201" s="1"/>
    </row>
    <row r="202" spans="1:11">
      <c r="A202" s="17" t="s">
        <v>771</v>
      </c>
      <c r="B202" s="19" t="s">
        <v>50</v>
      </c>
      <c r="C202" s="19" t="s">
        <v>844</v>
      </c>
      <c r="D202" s="19" t="s">
        <v>845</v>
      </c>
      <c r="E202" s="20" t="s">
        <v>32</v>
      </c>
      <c r="F202" s="19" t="s">
        <v>844</v>
      </c>
      <c r="G202" s="19" t="s">
        <v>846</v>
      </c>
      <c r="H202" s="19" t="s">
        <v>32</v>
      </c>
      <c r="I202">
        <v>0</v>
      </c>
      <c r="J202">
        <v>2</v>
      </c>
      <c r="K202" s="1"/>
    </row>
    <row r="203" spans="1:11">
      <c r="A203" s="17" t="s">
        <v>771</v>
      </c>
      <c r="B203" s="19" t="s">
        <v>50</v>
      </c>
      <c r="C203" s="19" t="s">
        <v>844</v>
      </c>
      <c r="D203" s="19" t="s">
        <v>847</v>
      </c>
      <c r="E203" s="20" t="s">
        <v>32</v>
      </c>
      <c r="F203" s="19" t="s">
        <v>844</v>
      </c>
      <c r="G203" s="19" t="s">
        <v>848</v>
      </c>
      <c r="H203" s="19" t="s">
        <v>32</v>
      </c>
      <c r="I203">
        <v>0</v>
      </c>
      <c r="J203">
        <v>1</v>
      </c>
      <c r="K203" s="1"/>
    </row>
    <row r="204" spans="1:11">
      <c r="A204" s="17" t="s">
        <v>771</v>
      </c>
      <c r="B204" s="19" t="s">
        <v>50</v>
      </c>
      <c r="C204" s="19" t="s">
        <v>849</v>
      </c>
      <c r="D204" s="19" t="s">
        <v>850</v>
      </c>
      <c r="E204" s="20" t="s">
        <v>32</v>
      </c>
      <c r="F204" s="19" t="s">
        <v>849</v>
      </c>
      <c r="G204" s="19" t="s">
        <v>851</v>
      </c>
      <c r="H204" s="19" t="s">
        <v>32</v>
      </c>
      <c r="I204">
        <v>0</v>
      </c>
      <c r="J204">
        <v>1</v>
      </c>
      <c r="K204" s="1"/>
    </row>
    <row r="205" spans="1:11">
      <c r="A205" s="17" t="s">
        <v>771</v>
      </c>
      <c r="B205" s="19" t="s">
        <v>50</v>
      </c>
      <c r="C205" s="19" t="s">
        <v>852</v>
      </c>
      <c r="D205" s="19" t="s">
        <v>853</v>
      </c>
      <c r="E205" s="20" t="s">
        <v>32</v>
      </c>
      <c r="F205" s="19" t="s">
        <v>852</v>
      </c>
      <c r="G205" s="19" t="s">
        <v>854</v>
      </c>
      <c r="H205" s="19" t="s">
        <v>32</v>
      </c>
      <c r="I205">
        <v>0</v>
      </c>
      <c r="J205">
        <v>39</v>
      </c>
      <c r="K205" s="1"/>
    </row>
    <row r="206" spans="1:11">
      <c r="A206" s="17" t="s">
        <v>771</v>
      </c>
      <c r="B206" s="19" t="s">
        <v>50</v>
      </c>
      <c r="C206" s="19" t="s">
        <v>852</v>
      </c>
      <c r="D206" s="19" t="s">
        <v>855</v>
      </c>
      <c r="E206" s="20" t="s">
        <v>32</v>
      </c>
      <c r="F206" s="19" t="s">
        <v>852</v>
      </c>
      <c r="G206" s="19" t="s">
        <v>856</v>
      </c>
      <c r="H206" s="19" t="s">
        <v>32</v>
      </c>
      <c r="I206">
        <v>0</v>
      </c>
      <c r="J206">
        <v>1</v>
      </c>
      <c r="K206" s="1"/>
    </row>
    <row r="207" spans="1:11">
      <c r="A207" s="17" t="s">
        <v>771</v>
      </c>
      <c r="B207" s="19" t="s">
        <v>50</v>
      </c>
      <c r="C207" s="19" t="s">
        <v>852</v>
      </c>
      <c r="D207" s="19" t="s">
        <v>857</v>
      </c>
      <c r="E207" s="20" t="s">
        <v>32</v>
      </c>
      <c r="F207" s="19" t="s">
        <v>852</v>
      </c>
      <c r="G207" s="19" t="s">
        <v>858</v>
      </c>
      <c r="H207" s="19" t="s">
        <v>32</v>
      </c>
      <c r="I207">
        <v>0</v>
      </c>
      <c r="J207">
        <v>1</v>
      </c>
      <c r="K207" s="1"/>
    </row>
    <row r="208" spans="1:11">
      <c r="A208" s="17" t="s">
        <v>771</v>
      </c>
      <c r="B208" s="19" t="s">
        <v>50</v>
      </c>
      <c r="C208" s="19" t="s">
        <v>859</v>
      </c>
      <c r="D208" s="19" t="s">
        <v>860</v>
      </c>
      <c r="E208" s="20" t="s">
        <v>32</v>
      </c>
      <c r="F208" s="19" t="s">
        <v>859</v>
      </c>
      <c r="G208" s="19" t="s">
        <v>861</v>
      </c>
      <c r="H208" s="19" t="s">
        <v>32</v>
      </c>
      <c r="I208">
        <v>0</v>
      </c>
      <c r="J208">
        <v>38</v>
      </c>
      <c r="K208" s="1"/>
    </row>
    <row r="209" spans="1:11">
      <c r="A209" s="17" t="s">
        <v>771</v>
      </c>
      <c r="B209" s="19" t="s">
        <v>50</v>
      </c>
      <c r="C209" s="19" t="s">
        <v>859</v>
      </c>
      <c r="D209" s="19" t="s">
        <v>862</v>
      </c>
      <c r="E209" s="20" t="s">
        <v>32</v>
      </c>
      <c r="F209" s="19" t="s">
        <v>859</v>
      </c>
      <c r="G209" s="19" t="s">
        <v>863</v>
      </c>
      <c r="H209" s="19" t="s">
        <v>32</v>
      </c>
      <c r="I209">
        <v>0</v>
      </c>
      <c r="J209">
        <v>1</v>
      </c>
      <c r="K209" s="1"/>
    </row>
    <row r="210" spans="1:11">
      <c r="A210" s="17" t="s">
        <v>771</v>
      </c>
      <c r="B210" s="19" t="s">
        <v>50</v>
      </c>
      <c r="C210" s="19" t="s">
        <v>859</v>
      </c>
      <c r="D210" s="19" t="s">
        <v>864</v>
      </c>
      <c r="E210" s="20" t="s">
        <v>32</v>
      </c>
      <c r="F210" s="19" t="s">
        <v>859</v>
      </c>
      <c r="G210" s="19" t="s">
        <v>865</v>
      </c>
      <c r="H210" s="19" t="s">
        <v>32</v>
      </c>
      <c r="I210">
        <v>0</v>
      </c>
      <c r="J210">
        <v>1</v>
      </c>
      <c r="K210" s="1"/>
    </row>
    <row r="211" spans="1:11">
      <c r="A211" s="17" t="s">
        <v>771</v>
      </c>
      <c r="B211" s="19" t="s">
        <v>50</v>
      </c>
      <c r="C211" s="19" t="s">
        <v>866</v>
      </c>
      <c r="D211" s="19" t="s">
        <v>867</v>
      </c>
      <c r="E211" s="20" t="s">
        <v>32</v>
      </c>
      <c r="F211" s="19" t="s">
        <v>866</v>
      </c>
      <c r="G211" s="19" t="s">
        <v>868</v>
      </c>
      <c r="H211" s="19" t="s">
        <v>32</v>
      </c>
      <c r="I211">
        <v>0</v>
      </c>
      <c r="J211">
        <v>37</v>
      </c>
      <c r="K211" s="1"/>
    </row>
    <row r="212" spans="1:11">
      <c r="A212" s="17" t="s">
        <v>771</v>
      </c>
      <c r="B212" s="19" t="s">
        <v>50</v>
      </c>
      <c r="C212" s="19" t="s">
        <v>869</v>
      </c>
      <c r="D212" s="19" t="s">
        <v>870</v>
      </c>
      <c r="E212" s="20" t="s">
        <v>32</v>
      </c>
      <c r="F212" s="19" t="s">
        <v>869</v>
      </c>
      <c r="G212" s="19" t="s">
        <v>871</v>
      </c>
      <c r="H212" s="19" t="s">
        <v>32</v>
      </c>
      <c r="I212">
        <v>0</v>
      </c>
      <c r="J212">
        <v>12</v>
      </c>
      <c r="K212" s="1"/>
    </row>
    <row r="213" spans="1:11">
      <c r="A213" s="17" t="s">
        <v>771</v>
      </c>
      <c r="B213" s="19" t="s">
        <v>50</v>
      </c>
      <c r="C213" s="19" t="s">
        <v>872</v>
      </c>
      <c r="D213" s="19" t="s">
        <v>873</v>
      </c>
      <c r="E213" s="20" t="s">
        <v>32</v>
      </c>
      <c r="F213" s="19" t="s">
        <v>872</v>
      </c>
      <c r="G213" s="19" t="s">
        <v>874</v>
      </c>
      <c r="H213" s="19" t="s">
        <v>32</v>
      </c>
      <c r="I213">
        <v>0</v>
      </c>
      <c r="J213">
        <v>85</v>
      </c>
      <c r="K213" s="1"/>
    </row>
    <row r="214" spans="1:11">
      <c r="A214" s="17" t="s">
        <v>771</v>
      </c>
      <c r="B214" s="19" t="s">
        <v>50</v>
      </c>
      <c r="C214" s="19" t="s">
        <v>872</v>
      </c>
      <c r="D214" s="19" t="s">
        <v>875</v>
      </c>
      <c r="E214" s="20" t="s">
        <v>32</v>
      </c>
      <c r="F214" s="19" t="s">
        <v>872</v>
      </c>
      <c r="G214" s="19" t="s">
        <v>876</v>
      </c>
      <c r="H214" s="19" t="s">
        <v>32</v>
      </c>
      <c r="I214">
        <v>0</v>
      </c>
      <c r="J214">
        <v>2</v>
      </c>
      <c r="K214" s="1"/>
    </row>
    <row r="215" spans="1:11">
      <c r="A215" s="17" t="s">
        <v>771</v>
      </c>
      <c r="B215" s="19" t="s">
        <v>50</v>
      </c>
      <c r="C215" s="19" t="s">
        <v>872</v>
      </c>
      <c r="D215" s="19" t="s">
        <v>877</v>
      </c>
      <c r="E215" s="20" t="s">
        <v>32</v>
      </c>
      <c r="F215" s="19" t="s">
        <v>872</v>
      </c>
      <c r="G215" s="19" t="s">
        <v>878</v>
      </c>
      <c r="H215" s="19" t="s">
        <v>32</v>
      </c>
      <c r="I215">
        <v>0</v>
      </c>
      <c r="J215">
        <v>2</v>
      </c>
      <c r="K215" s="1"/>
    </row>
    <row r="216" spans="1:11">
      <c r="A216" s="17" t="s">
        <v>771</v>
      </c>
      <c r="B216" s="19" t="s">
        <v>50</v>
      </c>
      <c r="C216" s="19" t="s">
        <v>879</v>
      </c>
      <c r="D216" s="19" t="s">
        <v>880</v>
      </c>
      <c r="E216" s="20" t="s">
        <v>32</v>
      </c>
      <c r="F216" s="19" t="s">
        <v>879</v>
      </c>
      <c r="G216" s="19" t="s">
        <v>881</v>
      </c>
      <c r="H216" s="19" t="s">
        <v>32</v>
      </c>
      <c r="I216">
        <v>0</v>
      </c>
      <c r="J216">
        <v>40</v>
      </c>
      <c r="K216" s="1"/>
    </row>
    <row r="217" spans="1:11">
      <c r="A217" s="17" t="s">
        <v>771</v>
      </c>
      <c r="B217" s="19" t="s">
        <v>50</v>
      </c>
      <c r="C217" s="19" t="s">
        <v>879</v>
      </c>
      <c r="D217" s="19" t="s">
        <v>882</v>
      </c>
      <c r="E217" s="20" t="s">
        <v>32</v>
      </c>
      <c r="F217" s="19" t="s">
        <v>879</v>
      </c>
      <c r="G217" s="19" t="s">
        <v>883</v>
      </c>
      <c r="H217" s="19" t="s">
        <v>32</v>
      </c>
      <c r="I217">
        <v>0</v>
      </c>
      <c r="J217">
        <v>1</v>
      </c>
      <c r="K217" s="1"/>
    </row>
    <row r="218" spans="1:11">
      <c r="A218" s="17" t="s">
        <v>771</v>
      </c>
      <c r="B218" s="19" t="s">
        <v>50</v>
      </c>
      <c r="C218" s="19" t="s">
        <v>879</v>
      </c>
      <c r="D218" s="19" t="s">
        <v>884</v>
      </c>
      <c r="E218" s="20" t="s">
        <v>32</v>
      </c>
      <c r="F218" s="19" t="s">
        <v>879</v>
      </c>
      <c r="G218" s="19" t="s">
        <v>885</v>
      </c>
      <c r="H218" s="19" t="s">
        <v>32</v>
      </c>
      <c r="I218">
        <v>0</v>
      </c>
      <c r="J218">
        <v>1</v>
      </c>
      <c r="K218" s="1"/>
    </row>
    <row r="219" spans="1:11">
      <c r="A219" s="17" t="s">
        <v>771</v>
      </c>
      <c r="B219" s="19" t="s">
        <v>50</v>
      </c>
      <c r="C219" s="19" t="s">
        <v>886</v>
      </c>
      <c r="D219" s="19" t="s">
        <v>887</v>
      </c>
      <c r="E219" s="20" t="s">
        <v>32</v>
      </c>
      <c r="F219" s="19" t="s">
        <v>886</v>
      </c>
      <c r="G219" s="19" t="s">
        <v>888</v>
      </c>
      <c r="H219" s="19" t="s">
        <v>32</v>
      </c>
      <c r="I219">
        <v>0</v>
      </c>
      <c r="J219">
        <v>47</v>
      </c>
      <c r="K219" s="1"/>
    </row>
    <row r="220" spans="1:11">
      <c r="A220" s="17" t="s">
        <v>771</v>
      </c>
      <c r="B220" s="19" t="s">
        <v>50</v>
      </c>
      <c r="C220" s="19" t="s">
        <v>886</v>
      </c>
      <c r="D220" s="19" t="s">
        <v>889</v>
      </c>
      <c r="E220" s="20" t="s">
        <v>32</v>
      </c>
      <c r="F220" s="19" t="s">
        <v>886</v>
      </c>
      <c r="G220" s="19" t="s">
        <v>890</v>
      </c>
      <c r="H220" s="19" t="s">
        <v>32</v>
      </c>
      <c r="I220">
        <v>0</v>
      </c>
      <c r="J220">
        <v>1</v>
      </c>
      <c r="K220" s="1"/>
    </row>
    <row r="221" spans="1:11">
      <c r="A221" s="17" t="s">
        <v>771</v>
      </c>
      <c r="B221" s="19" t="s">
        <v>50</v>
      </c>
      <c r="C221" s="19" t="s">
        <v>891</v>
      </c>
      <c r="D221" s="19" t="s">
        <v>892</v>
      </c>
      <c r="E221" s="20" t="s">
        <v>32</v>
      </c>
      <c r="F221" s="19" t="s">
        <v>891</v>
      </c>
      <c r="G221" s="19" t="s">
        <v>893</v>
      </c>
      <c r="H221" s="19" t="s">
        <v>32</v>
      </c>
      <c r="I221">
        <v>0</v>
      </c>
      <c r="J221">
        <v>61</v>
      </c>
      <c r="K221" s="1"/>
    </row>
    <row r="222" spans="1:11">
      <c r="A222" s="17" t="s">
        <v>771</v>
      </c>
      <c r="B222" s="19" t="s">
        <v>50</v>
      </c>
      <c r="C222" s="19" t="s">
        <v>891</v>
      </c>
      <c r="D222" s="19" t="s">
        <v>894</v>
      </c>
      <c r="E222" s="20" t="s">
        <v>32</v>
      </c>
      <c r="F222" s="19" t="s">
        <v>891</v>
      </c>
      <c r="G222" s="19" t="s">
        <v>895</v>
      </c>
      <c r="H222" s="19" t="s">
        <v>32</v>
      </c>
      <c r="I222">
        <v>0</v>
      </c>
      <c r="J222">
        <v>1</v>
      </c>
      <c r="K222" s="1"/>
    </row>
    <row r="223" spans="1:11">
      <c r="A223" s="17" t="s">
        <v>771</v>
      </c>
      <c r="B223" s="19" t="s">
        <v>50</v>
      </c>
      <c r="C223" s="19" t="s">
        <v>896</v>
      </c>
      <c r="D223" s="19" t="s">
        <v>897</v>
      </c>
      <c r="E223" s="20" t="s">
        <v>32</v>
      </c>
      <c r="F223" s="19" t="s">
        <v>896</v>
      </c>
      <c r="G223" s="19" t="s">
        <v>898</v>
      </c>
      <c r="H223" s="19" t="s">
        <v>32</v>
      </c>
      <c r="I223">
        <v>0</v>
      </c>
      <c r="J223">
        <v>84</v>
      </c>
      <c r="K223" s="1"/>
    </row>
    <row r="224" spans="1:11">
      <c r="A224" s="17" t="s">
        <v>771</v>
      </c>
      <c r="B224" s="19" t="s">
        <v>50</v>
      </c>
      <c r="C224" s="19" t="s">
        <v>896</v>
      </c>
      <c r="D224" s="19" t="s">
        <v>899</v>
      </c>
      <c r="E224" s="20" t="s">
        <v>32</v>
      </c>
      <c r="F224" s="19" t="s">
        <v>896</v>
      </c>
      <c r="G224" s="19" t="s">
        <v>900</v>
      </c>
      <c r="H224" s="19" t="s">
        <v>32</v>
      </c>
      <c r="I224">
        <v>0</v>
      </c>
      <c r="J224">
        <v>1</v>
      </c>
      <c r="K224" s="1"/>
    </row>
    <row r="225" spans="1:11">
      <c r="A225" s="17" t="s">
        <v>771</v>
      </c>
      <c r="B225" s="19" t="s">
        <v>50</v>
      </c>
      <c r="C225" s="19" t="s">
        <v>896</v>
      </c>
      <c r="D225" s="19" t="s">
        <v>901</v>
      </c>
      <c r="E225" s="20" t="s">
        <v>32</v>
      </c>
      <c r="F225" s="19" t="s">
        <v>896</v>
      </c>
      <c r="G225" s="19" t="s">
        <v>902</v>
      </c>
      <c r="H225" s="19" t="s">
        <v>32</v>
      </c>
      <c r="I225">
        <v>0</v>
      </c>
      <c r="J225">
        <v>1</v>
      </c>
      <c r="K225" s="1"/>
    </row>
    <row r="226" spans="1:11">
      <c r="A226" s="17" t="s">
        <v>771</v>
      </c>
      <c r="B226" s="19" t="s">
        <v>50</v>
      </c>
      <c r="C226" s="19" t="s">
        <v>903</v>
      </c>
      <c r="D226" s="19" t="s">
        <v>904</v>
      </c>
      <c r="E226" s="20" t="s">
        <v>32</v>
      </c>
      <c r="F226" s="19" t="s">
        <v>903</v>
      </c>
      <c r="G226" s="19" t="s">
        <v>905</v>
      </c>
      <c r="H226" s="19" t="s">
        <v>32</v>
      </c>
      <c r="I226">
        <v>0</v>
      </c>
      <c r="J226">
        <v>16</v>
      </c>
      <c r="K226" s="1"/>
    </row>
    <row r="227" spans="1:11">
      <c r="A227" s="17" t="s">
        <v>771</v>
      </c>
      <c r="B227" s="19" t="s">
        <v>50</v>
      </c>
      <c r="C227" s="19" t="s">
        <v>903</v>
      </c>
      <c r="D227" s="19" t="s">
        <v>906</v>
      </c>
      <c r="E227" s="20" t="s">
        <v>32</v>
      </c>
      <c r="F227" s="19" t="s">
        <v>903</v>
      </c>
      <c r="G227" s="19" t="s">
        <v>907</v>
      </c>
      <c r="H227" s="19" t="s">
        <v>32</v>
      </c>
      <c r="I227">
        <v>0</v>
      </c>
      <c r="J227">
        <v>1</v>
      </c>
      <c r="K227" s="1"/>
    </row>
    <row r="228" spans="1:11">
      <c r="A228" s="17" t="s">
        <v>771</v>
      </c>
      <c r="B228" s="19" t="s">
        <v>50</v>
      </c>
      <c r="C228" s="19" t="s">
        <v>903</v>
      </c>
      <c r="D228" s="19" t="s">
        <v>908</v>
      </c>
      <c r="E228" s="20" t="s">
        <v>32</v>
      </c>
      <c r="F228" s="19" t="s">
        <v>903</v>
      </c>
      <c r="G228" s="19" t="s">
        <v>909</v>
      </c>
      <c r="H228" s="19" t="s">
        <v>32</v>
      </c>
      <c r="I228">
        <v>0</v>
      </c>
      <c r="J228">
        <v>1</v>
      </c>
      <c r="K228" s="1"/>
    </row>
    <row r="229" spans="1:11">
      <c r="A229" s="17" t="s">
        <v>771</v>
      </c>
      <c r="B229" s="19" t="s">
        <v>50</v>
      </c>
      <c r="C229" s="19" t="s">
        <v>910</v>
      </c>
      <c r="D229" s="19" t="s">
        <v>911</v>
      </c>
      <c r="E229" s="20" t="s">
        <v>32</v>
      </c>
      <c r="F229" s="19" t="s">
        <v>910</v>
      </c>
      <c r="G229" s="19" t="s">
        <v>912</v>
      </c>
      <c r="H229" s="19" t="s">
        <v>32</v>
      </c>
      <c r="I229">
        <v>0</v>
      </c>
      <c r="J229">
        <v>2</v>
      </c>
      <c r="K229" s="1"/>
    </row>
    <row r="230" spans="1:11">
      <c r="A230" s="17" t="s">
        <v>771</v>
      </c>
      <c r="B230" s="19" t="s">
        <v>50</v>
      </c>
      <c r="C230" s="19" t="s">
        <v>913</v>
      </c>
      <c r="D230" s="19" t="s">
        <v>914</v>
      </c>
      <c r="E230" s="20" t="s">
        <v>32</v>
      </c>
      <c r="F230" s="19" t="s">
        <v>913</v>
      </c>
      <c r="G230" s="19" t="s">
        <v>915</v>
      </c>
      <c r="H230" s="19" t="s">
        <v>32</v>
      </c>
      <c r="I230">
        <v>0</v>
      </c>
      <c r="J230">
        <v>49</v>
      </c>
      <c r="K230" s="1"/>
    </row>
    <row r="231" spans="1:11">
      <c r="A231" s="17" t="s">
        <v>771</v>
      </c>
      <c r="B231" s="19" t="s">
        <v>50</v>
      </c>
      <c r="C231" s="19" t="s">
        <v>916</v>
      </c>
      <c r="D231" s="19" t="s">
        <v>917</v>
      </c>
      <c r="E231" s="20" t="s">
        <v>32</v>
      </c>
      <c r="F231" s="19" t="s">
        <v>916</v>
      </c>
      <c r="G231" s="19" t="s">
        <v>918</v>
      </c>
      <c r="H231" s="19" t="s">
        <v>32</v>
      </c>
      <c r="I231">
        <v>0</v>
      </c>
      <c r="J231">
        <v>2</v>
      </c>
      <c r="K231" s="1"/>
    </row>
    <row r="232" spans="1:11">
      <c r="A232" s="17" t="s">
        <v>771</v>
      </c>
      <c r="B232" s="19" t="s">
        <v>50</v>
      </c>
      <c r="C232" s="19" t="s">
        <v>916</v>
      </c>
      <c r="D232" s="19" t="s">
        <v>919</v>
      </c>
      <c r="E232" s="20" t="s">
        <v>32</v>
      </c>
      <c r="F232" s="19" t="s">
        <v>916</v>
      </c>
      <c r="G232" s="19" t="s">
        <v>920</v>
      </c>
      <c r="H232" s="19" t="s">
        <v>32</v>
      </c>
      <c r="I232">
        <v>0</v>
      </c>
      <c r="J232">
        <v>1</v>
      </c>
      <c r="K232" s="1"/>
    </row>
    <row r="233" spans="1:11">
      <c r="A233" s="17" t="s">
        <v>771</v>
      </c>
      <c r="B233" s="19" t="s">
        <v>50</v>
      </c>
      <c r="C233" s="19" t="s">
        <v>921</v>
      </c>
      <c r="D233" s="19" t="s">
        <v>922</v>
      </c>
      <c r="E233" s="20" t="s">
        <v>32</v>
      </c>
      <c r="F233" s="19" t="s">
        <v>921</v>
      </c>
      <c r="G233" s="19" t="s">
        <v>923</v>
      </c>
      <c r="H233" s="19" t="s">
        <v>32</v>
      </c>
      <c r="I233">
        <v>0</v>
      </c>
      <c r="J233">
        <v>56</v>
      </c>
      <c r="K233" s="1"/>
    </row>
    <row r="234" spans="1:11">
      <c r="A234" s="17" t="s">
        <v>771</v>
      </c>
      <c r="B234" s="19" t="s">
        <v>50</v>
      </c>
      <c r="C234" s="19" t="s">
        <v>921</v>
      </c>
      <c r="D234" s="19" t="s">
        <v>924</v>
      </c>
      <c r="E234" s="20" t="s">
        <v>32</v>
      </c>
      <c r="F234" s="19" t="s">
        <v>921</v>
      </c>
      <c r="G234" s="19" t="s">
        <v>925</v>
      </c>
      <c r="H234" s="19" t="s">
        <v>32</v>
      </c>
      <c r="I234">
        <v>0</v>
      </c>
      <c r="J234">
        <v>1</v>
      </c>
      <c r="K234" s="1"/>
    </row>
    <row r="235" spans="1:11">
      <c r="A235" s="17" t="s">
        <v>771</v>
      </c>
      <c r="B235" s="19" t="s">
        <v>50</v>
      </c>
      <c r="C235" s="19" t="s">
        <v>926</v>
      </c>
      <c r="D235" s="19" t="s">
        <v>927</v>
      </c>
      <c r="E235" s="20" t="s">
        <v>32</v>
      </c>
      <c r="F235" s="19" t="s">
        <v>926</v>
      </c>
      <c r="G235" s="19" t="s">
        <v>928</v>
      </c>
      <c r="H235" s="19" t="s">
        <v>32</v>
      </c>
      <c r="I235">
        <v>0</v>
      </c>
      <c r="J235">
        <v>1</v>
      </c>
      <c r="K235" s="1"/>
    </row>
    <row r="236" spans="1:11">
      <c r="A236" s="17" t="s">
        <v>771</v>
      </c>
      <c r="B236" s="19" t="s">
        <v>50</v>
      </c>
      <c r="C236" s="19" t="s">
        <v>926</v>
      </c>
      <c r="D236" s="19" t="s">
        <v>929</v>
      </c>
      <c r="E236" s="20" t="s">
        <v>32</v>
      </c>
      <c r="F236" s="19" t="s">
        <v>926</v>
      </c>
      <c r="G236" s="19" t="s">
        <v>930</v>
      </c>
      <c r="H236" s="19" t="s">
        <v>32</v>
      </c>
      <c r="I236">
        <v>0</v>
      </c>
      <c r="J236">
        <v>3</v>
      </c>
      <c r="K236" s="1"/>
    </row>
    <row r="237" spans="1:11">
      <c r="A237" s="17" t="s">
        <v>771</v>
      </c>
      <c r="B237" s="19" t="s">
        <v>50</v>
      </c>
      <c r="C237" s="19" t="s">
        <v>926</v>
      </c>
      <c r="D237" s="19" t="s">
        <v>931</v>
      </c>
      <c r="E237" s="20" t="s">
        <v>32</v>
      </c>
      <c r="F237" s="19" t="s">
        <v>926</v>
      </c>
      <c r="G237" s="19" t="s">
        <v>932</v>
      </c>
      <c r="H237" s="19" t="s">
        <v>32</v>
      </c>
      <c r="I237">
        <v>0</v>
      </c>
      <c r="J237">
        <v>2</v>
      </c>
      <c r="K237" s="1"/>
    </row>
    <row r="238" spans="1:11">
      <c r="A238" s="17" t="s">
        <v>771</v>
      </c>
      <c r="B238" s="19" t="s">
        <v>50</v>
      </c>
      <c r="C238" s="19" t="s">
        <v>926</v>
      </c>
      <c r="D238" s="19" t="s">
        <v>933</v>
      </c>
      <c r="E238" s="20" t="s">
        <v>32</v>
      </c>
      <c r="F238" s="19" t="s">
        <v>926</v>
      </c>
      <c r="G238" s="19" t="s">
        <v>934</v>
      </c>
      <c r="H238" s="19" t="s">
        <v>32</v>
      </c>
      <c r="I238">
        <v>0</v>
      </c>
      <c r="J238">
        <v>2</v>
      </c>
      <c r="K238" s="1"/>
    </row>
    <row r="239" spans="1:11">
      <c r="A239" s="17" t="s">
        <v>771</v>
      </c>
      <c r="B239" s="19" t="s">
        <v>50</v>
      </c>
      <c r="C239" s="19" t="s">
        <v>935</v>
      </c>
      <c r="D239" s="19" t="s">
        <v>936</v>
      </c>
      <c r="E239" s="20" t="s">
        <v>32</v>
      </c>
      <c r="F239" s="19" t="s">
        <v>935</v>
      </c>
      <c r="G239" s="19" t="s">
        <v>937</v>
      </c>
      <c r="H239" s="19" t="s">
        <v>32</v>
      </c>
      <c r="I239">
        <v>0</v>
      </c>
      <c r="J239">
        <v>134</v>
      </c>
      <c r="K239" s="1"/>
    </row>
    <row r="240" spans="1:11">
      <c r="A240" s="17" t="s">
        <v>771</v>
      </c>
      <c r="B240" s="19" t="s">
        <v>50</v>
      </c>
      <c r="C240" s="19" t="s">
        <v>938</v>
      </c>
      <c r="D240" s="19" t="s">
        <v>939</v>
      </c>
      <c r="E240" s="20" t="s">
        <v>32</v>
      </c>
      <c r="F240" s="19" t="s">
        <v>938</v>
      </c>
      <c r="G240" s="19" t="s">
        <v>940</v>
      </c>
      <c r="H240" s="19" t="s">
        <v>32</v>
      </c>
      <c r="I240">
        <v>0</v>
      </c>
      <c r="J240">
        <v>1</v>
      </c>
      <c r="K240" s="1"/>
    </row>
    <row r="241" spans="1:11">
      <c r="A241" s="17" t="s">
        <v>771</v>
      </c>
      <c r="B241" s="19" t="s">
        <v>50</v>
      </c>
      <c r="C241" s="19" t="s">
        <v>938</v>
      </c>
      <c r="D241" s="19" t="s">
        <v>941</v>
      </c>
      <c r="E241" s="20" t="s">
        <v>32</v>
      </c>
      <c r="F241" s="19" t="s">
        <v>938</v>
      </c>
      <c r="G241" s="19" t="s">
        <v>942</v>
      </c>
      <c r="H241" s="19" t="s">
        <v>32</v>
      </c>
      <c r="I241">
        <v>0</v>
      </c>
      <c r="J241">
        <v>1</v>
      </c>
      <c r="K241" s="1"/>
    </row>
    <row r="242" spans="1:11">
      <c r="A242" s="17" t="s">
        <v>771</v>
      </c>
      <c r="B242" s="19" t="s">
        <v>50</v>
      </c>
      <c r="C242" s="19" t="s">
        <v>938</v>
      </c>
      <c r="D242" s="19" t="s">
        <v>943</v>
      </c>
      <c r="E242" s="20" t="s">
        <v>32</v>
      </c>
      <c r="F242" s="19" t="s">
        <v>938</v>
      </c>
      <c r="G242" s="19" t="s">
        <v>944</v>
      </c>
      <c r="H242" s="19" t="s">
        <v>32</v>
      </c>
      <c r="I242">
        <v>0</v>
      </c>
      <c r="J242">
        <v>1</v>
      </c>
      <c r="K242" s="1"/>
    </row>
    <row r="243" spans="1:11">
      <c r="A243" s="17" t="s">
        <v>771</v>
      </c>
      <c r="B243" s="19" t="s">
        <v>50</v>
      </c>
      <c r="C243" s="19" t="s">
        <v>945</v>
      </c>
      <c r="D243" s="19" t="s">
        <v>946</v>
      </c>
      <c r="E243" s="20" t="s">
        <v>32</v>
      </c>
      <c r="F243" s="19" t="s">
        <v>945</v>
      </c>
      <c r="G243" s="19" t="s">
        <v>947</v>
      </c>
      <c r="H243" s="19" t="s">
        <v>32</v>
      </c>
      <c r="I243">
        <v>0</v>
      </c>
      <c r="J243">
        <v>1</v>
      </c>
      <c r="K243" s="1"/>
    </row>
    <row r="244" spans="1:11">
      <c r="A244" s="17" t="s">
        <v>771</v>
      </c>
      <c r="B244" s="19" t="s">
        <v>50</v>
      </c>
      <c r="C244" s="19" t="s">
        <v>948</v>
      </c>
      <c r="D244" s="19" t="s">
        <v>949</v>
      </c>
      <c r="E244" s="20" t="s">
        <v>32</v>
      </c>
      <c r="F244" s="19" t="s">
        <v>948</v>
      </c>
      <c r="G244" s="19" t="s">
        <v>950</v>
      </c>
      <c r="H244" s="19" t="s">
        <v>32</v>
      </c>
      <c r="I244">
        <v>0</v>
      </c>
      <c r="J244">
        <v>2</v>
      </c>
      <c r="K244" s="1"/>
    </row>
    <row r="245" spans="1:11">
      <c r="A245" s="17" t="s">
        <v>771</v>
      </c>
      <c r="B245" s="19" t="s">
        <v>50</v>
      </c>
      <c r="C245" s="19" t="s">
        <v>951</v>
      </c>
      <c r="D245" s="19" t="s">
        <v>952</v>
      </c>
      <c r="E245" s="20" t="s">
        <v>32</v>
      </c>
      <c r="F245" s="19" t="s">
        <v>951</v>
      </c>
      <c r="G245" s="19" t="s">
        <v>953</v>
      </c>
      <c r="H245" s="19" t="s">
        <v>32</v>
      </c>
      <c r="I245">
        <v>0</v>
      </c>
      <c r="J245">
        <v>119</v>
      </c>
      <c r="K245" s="1"/>
    </row>
    <row r="246" spans="1:11">
      <c r="A246" s="17" t="s">
        <v>771</v>
      </c>
      <c r="B246" s="19" t="s">
        <v>50</v>
      </c>
      <c r="C246" s="19" t="s">
        <v>951</v>
      </c>
      <c r="D246" s="19" t="s">
        <v>954</v>
      </c>
      <c r="E246" s="20" t="s">
        <v>32</v>
      </c>
      <c r="F246" s="19" t="s">
        <v>951</v>
      </c>
      <c r="G246" s="19" t="s">
        <v>955</v>
      </c>
      <c r="H246" s="19" t="s">
        <v>32</v>
      </c>
      <c r="I246">
        <v>0</v>
      </c>
      <c r="J246">
        <v>1</v>
      </c>
      <c r="K246" s="1"/>
    </row>
    <row r="247" spans="1:11">
      <c r="A247" s="17" t="s">
        <v>771</v>
      </c>
      <c r="B247" s="19" t="s">
        <v>50</v>
      </c>
      <c r="C247" s="19" t="s">
        <v>956</v>
      </c>
      <c r="D247" s="19" t="s">
        <v>957</v>
      </c>
      <c r="E247" s="20" t="s">
        <v>32</v>
      </c>
      <c r="F247" s="19" t="s">
        <v>956</v>
      </c>
      <c r="G247" s="19" t="s">
        <v>958</v>
      </c>
      <c r="H247" s="19" t="s">
        <v>32</v>
      </c>
      <c r="I247">
        <v>0</v>
      </c>
      <c r="J247">
        <v>379</v>
      </c>
      <c r="K247" s="1"/>
    </row>
    <row r="248" spans="1:11">
      <c r="A248" s="17" t="s">
        <v>771</v>
      </c>
      <c r="B248" s="19" t="s">
        <v>50</v>
      </c>
      <c r="C248" s="19" t="s">
        <v>956</v>
      </c>
      <c r="D248" s="19" t="s">
        <v>959</v>
      </c>
      <c r="E248" s="20" t="s">
        <v>32</v>
      </c>
      <c r="F248" s="19" t="s">
        <v>956</v>
      </c>
      <c r="G248" s="19" t="s">
        <v>960</v>
      </c>
      <c r="H248" s="19" t="s">
        <v>32</v>
      </c>
      <c r="I248">
        <v>0</v>
      </c>
      <c r="J248">
        <v>2</v>
      </c>
      <c r="K248" s="1"/>
    </row>
    <row r="249" spans="1:11">
      <c r="A249" s="17" t="s">
        <v>771</v>
      </c>
      <c r="B249" s="19" t="s">
        <v>50</v>
      </c>
      <c r="C249" s="19" t="s">
        <v>961</v>
      </c>
      <c r="D249" s="19" t="s">
        <v>962</v>
      </c>
      <c r="E249" s="20" t="s">
        <v>32</v>
      </c>
      <c r="F249" s="19" t="s">
        <v>961</v>
      </c>
      <c r="G249" s="19" t="s">
        <v>963</v>
      </c>
      <c r="H249" s="19" t="s">
        <v>32</v>
      </c>
      <c r="I249">
        <v>0</v>
      </c>
      <c r="J249">
        <v>1</v>
      </c>
      <c r="K249" s="1"/>
    </row>
    <row r="250" spans="1:11">
      <c r="A250" s="17" t="s">
        <v>771</v>
      </c>
      <c r="B250" s="19" t="s">
        <v>50</v>
      </c>
      <c r="C250" s="19" t="s">
        <v>964</v>
      </c>
      <c r="D250" s="19" t="s">
        <v>965</v>
      </c>
      <c r="E250" s="20" t="s">
        <v>32</v>
      </c>
      <c r="F250" s="19" t="s">
        <v>964</v>
      </c>
      <c r="G250" s="19" t="s">
        <v>966</v>
      </c>
      <c r="H250" s="19" t="s">
        <v>32</v>
      </c>
      <c r="I250">
        <v>0</v>
      </c>
      <c r="J250">
        <v>1</v>
      </c>
      <c r="K250" s="1"/>
    </row>
    <row r="251" spans="1:11">
      <c r="A251" s="17" t="s">
        <v>771</v>
      </c>
      <c r="B251" s="19" t="s">
        <v>50</v>
      </c>
      <c r="C251" s="19" t="s">
        <v>967</v>
      </c>
      <c r="D251" s="19" t="s">
        <v>968</v>
      </c>
      <c r="E251" s="20" t="s">
        <v>32</v>
      </c>
      <c r="F251" s="19" t="s">
        <v>967</v>
      </c>
      <c r="G251" s="19" t="s">
        <v>969</v>
      </c>
      <c r="H251" s="19" t="s">
        <v>32</v>
      </c>
      <c r="I251">
        <v>0</v>
      </c>
      <c r="J251">
        <v>43</v>
      </c>
      <c r="K251" s="1"/>
    </row>
    <row r="252" spans="1:11">
      <c r="A252" s="17" t="s">
        <v>771</v>
      </c>
      <c r="B252" s="19" t="s">
        <v>50</v>
      </c>
      <c r="C252" s="19" t="s">
        <v>967</v>
      </c>
      <c r="D252" s="19" t="s">
        <v>970</v>
      </c>
      <c r="E252" s="20" t="s">
        <v>32</v>
      </c>
      <c r="F252" s="19" t="s">
        <v>967</v>
      </c>
      <c r="G252" s="19" t="s">
        <v>971</v>
      </c>
      <c r="H252" s="19" t="s">
        <v>32</v>
      </c>
      <c r="I252">
        <v>0</v>
      </c>
      <c r="J252">
        <v>1</v>
      </c>
      <c r="K252" s="1"/>
    </row>
    <row r="253" spans="1:11">
      <c r="A253" s="17" t="s">
        <v>771</v>
      </c>
      <c r="B253" s="19" t="s">
        <v>50</v>
      </c>
      <c r="C253" s="19" t="s">
        <v>972</v>
      </c>
      <c r="D253" s="19" t="s">
        <v>973</v>
      </c>
      <c r="E253" s="20" t="s">
        <v>32</v>
      </c>
      <c r="F253" s="19" t="s">
        <v>972</v>
      </c>
      <c r="G253" s="19" t="s">
        <v>974</v>
      </c>
      <c r="H253" s="19" t="s">
        <v>32</v>
      </c>
      <c r="I253">
        <v>0</v>
      </c>
      <c r="J253">
        <v>102</v>
      </c>
      <c r="K253" s="1"/>
    </row>
    <row r="254" spans="1:11">
      <c r="A254" s="17" t="s">
        <v>771</v>
      </c>
      <c r="B254" s="19" t="s">
        <v>50</v>
      </c>
      <c r="C254" s="19" t="s">
        <v>975</v>
      </c>
      <c r="D254" s="19" t="s">
        <v>976</v>
      </c>
      <c r="E254" s="20" t="s">
        <v>32</v>
      </c>
      <c r="F254" s="19" t="s">
        <v>975</v>
      </c>
      <c r="G254" s="19" t="s">
        <v>977</v>
      </c>
      <c r="H254" s="19" t="s">
        <v>32</v>
      </c>
      <c r="I254">
        <v>0</v>
      </c>
      <c r="J254">
        <v>55</v>
      </c>
      <c r="K254" s="1"/>
    </row>
    <row r="255" spans="1:11">
      <c r="A255" s="17" t="s">
        <v>771</v>
      </c>
      <c r="B255" s="19" t="s">
        <v>50</v>
      </c>
      <c r="C255" s="19" t="s">
        <v>978</v>
      </c>
      <c r="D255" s="19" t="s">
        <v>979</v>
      </c>
      <c r="E255" s="20" t="s">
        <v>32</v>
      </c>
      <c r="F255" s="19" t="s">
        <v>978</v>
      </c>
      <c r="G255" s="19" t="s">
        <v>980</v>
      </c>
      <c r="H255" s="19" t="s">
        <v>32</v>
      </c>
      <c r="I255">
        <v>0</v>
      </c>
      <c r="J255">
        <v>60</v>
      </c>
      <c r="K255" s="1"/>
    </row>
    <row r="256" spans="1:11">
      <c r="A256" s="17" t="s">
        <v>771</v>
      </c>
      <c r="B256" s="19" t="s">
        <v>50</v>
      </c>
      <c r="C256" s="19" t="s">
        <v>978</v>
      </c>
      <c r="D256" s="19" t="s">
        <v>981</v>
      </c>
      <c r="E256" s="20" t="s">
        <v>32</v>
      </c>
      <c r="F256" s="19" t="s">
        <v>978</v>
      </c>
      <c r="G256" s="19" t="s">
        <v>982</v>
      </c>
      <c r="H256" s="19" t="s">
        <v>32</v>
      </c>
      <c r="I256">
        <v>0</v>
      </c>
      <c r="J256">
        <v>1</v>
      </c>
      <c r="K256" s="1"/>
    </row>
    <row r="257" spans="1:11">
      <c r="A257" s="17" t="s">
        <v>771</v>
      </c>
      <c r="B257" s="19" t="s">
        <v>50</v>
      </c>
      <c r="C257" s="19" t="s">
        <v>978</v>
      </c>
      <c r="D257" s="19" t="s">
        <v>983</v>
      </c>
      <c r="E257" s="20" t="s">
        <v>32</v>
      </c>
      <c r="F257" s="19" t="s">
        <v>978</v>
      </c>
      <c r="G257" s="19" t="s">
        <v>984</v>
      </c>
      <c r="H257" s="19" t="s">
        <v>32</v>
      </c>
      <c r="I257">
        <v>0</v>
      </c>
      <c r="J257">
        <v>1</v>
      </c>
      <c r="K257" s="1"/>
    </row>
    <row r="258" spans="1:11">
      <c r="A258" s="17" t="s">
        <v>771</v>
      </c>
      <c r="B258" s="19" t="s">
        <v>50</v>
      </c>
      <c r="C258" s="19" t="s">
        <v>985</v>
      </c>
      <c r="D258" s="19" t="s">
        <v>986</v>
      </c>
      <c r="E258" s="20" t="s">
        <v>32</v>
      </c>
      <c r="F258" s="19" t="s">
        <v>985</v>
      </c>
      <c r="G258" s="19" t="s">
        <v>987</v>
      </c>
      <c r="H258" s="19" t="s">
        <v>32</v>
      </c>
      <c r="I258">
        <v>0</v>
      </c>
      <c r="J258">
        <v>45</v>
      </c>
      <c r="K258" s="1"/>
    </row>
    <row r="259" spans="1:11">
      <c r="A259" s="17" t="s">
        <v>771</v>
      </c>
      <c r="B259" s="19" t="s">
        <v>50</v>
      </c>
      <c r="C259" s="19" t="s">
        <v>985</v>
      </c>
      <c r="D259" s="19" t="s">
        <v>988</v>
      </c>
      <c r="E259" s="20" t="s">
        <v>32</v>
      </c>
      <c r="F259" s="19" t="s">
        <v>985</v>
      </c>
      <c r="G259" s="19" t="s">
        <v>989</v>
      </c>
      <c r="H259" s="19" t="s">
        <v>32</v>
      </c>
      <c r="I259">
        <v>0</v>
      </c>
      <c r="J259">
        <v>1</v>
      </c>
      <c r="K259" s="1"/>
    </row>
    <row r="260" spans="1:11">
      <c r="A260" s="17" t="s">
        <v>771</v>
      </c>
      <c r="B260" s="19" t="s">
        <v>50</v>
      </c>
      <c r="C260" s="19" t="s">
        <v>990</v>
      </c>
      <c r="D260" s="19" t="s">
        <v>991</v>
      </c>
      <c r="E260" s="20" t="s">
        <v>32</v>
      </c>
      <c r="F260" s="19" t="s">
        <v>990</v>
      </c>
      <c r="G260" s="19" t="s">
        <v>992</v>
      </c>
      <c r="H260" s="19" t="s">
        <v>32</v>
      </c>
      <c r="I260">
        <v>0</v>
      </c>
      <c r="J260">
        <v>20</v>
      </c>
      <c r="K260" s="1"/>
    </row>
    <row r="261" spans="1:11">
      <c r="A261" s="17" t="s">
        <v>771</v>
      </c>
      <c r="B261" s="19" t="s">
        <v>50</v>
      </c>
      <c r="C261" s="19" t="s">
        <v>990</v>
      </c>
      <c r="D261" s="19" t="s">
        <v>993</v>
      </c>
      <c r="E261" s="20" t="s">
        <v>32</v>
      </c>
      <c r="F261" s="19" t="s">
        <v>990</v>
      </c>
      <c r="G261" s="19" t="s">
        <v>994</v>
      </c>
      <c r="H261" s="19" t="s">
        <v>32</v>
      </c>
      <c r="I261">
        <v>0</v>
      </c>
      <c r="J261">
        <v>1</v>
      </c>
      <c r="K261" s="1"/>
    </row>
    <row r="262" spans="1:11">
      <c r="A262" s="17" t="s">
        <v>771</v>
      </c>
      <c r="B262" s="19" t="s">
        <v>50</v>
      </c>
      <c r="C262" s="19" t="s">
        <v>995</v>
      </c>
      <c r="D262" s="19" t="s">
        <v>996</v>
      </c>
      <c r="E262" s="20" t="s">
        <v>32</v>
      </c>
      <c r="F262" s="19" t="s">
        <v>995</v>
      </c>
      <c r="G262" s="19" t="s">
        <v>997</v>
      </c>
      <c r="H262" s="19" t="s">
        <v>32</v>
      </c>
      <c r="I262">
        <v>0</v>
      </c>
      <c r="J262">
        <v>1</v>
      </c>
      <c r="K262" s="1"/>
    </row>
    <row r="263" spans="1:11">
      <c r="A263" s="17" t="s">
        <v>771</v>
      </c>
      <c r="B263" s="19" t="s">
        <v>50</v>
      </c>
      <c r="C263" s="19" t="s">
        <v>998</v>
      </c>
      <c r="D263" s="19" t="s">
        <v>999</v>
      </c>
      <c r="E263" s="20" t="s">
        <v>32</v>
      </c>
      <c r="F263" s="19" t="s">
        <v>998</v>
      </c>
      <c r="G263" s="19" t="s">
        <v>1000</v>
      </c>
      <c r="H263" s="19" t="s">
        <v>32</v>
      </c>
      <c r="I263">
        <v>0</v>
      </c>
      <c r="J263">
        <v>1</v>
      </c>
      <c r="K263" s="1"/>
    </row>
    <row r="264" spans="1:11">
      <c r="A264" s="17" t="s">
        <v>771</v>
      </c>
      <c r="B264" s="19" t="s">
        <v>50</v>
      </c>
      <c r="C264" s="19" t="s">
        <v>1001</v>
      </c>
      <c r="D264" s="19" t="s">
        <v>1002</v>
      </c>
      <c r="E264" s="20" t="s">
        <v>32</v>
      </c>
      <c r="F264" s="19" t="s">
        <v>1001</v>
      </c>
      <c r="G264" s="19" t="s">
        <v>1003</v>
      </c>
      <c r="H264" s="19" t="s">
        <v>32</v>
      </c>
      <c r="I264">
        <v>0</v>
      </c>
      <c r="J264">
        <v>109</v>
      </c>
      <c r="K264" s="1"/>
    </row>
    <row r="265" spans="1:11">
      <c r="A265" s="17" t="s">
        <v>771</v>
      </c>
      <c r="B265" s="19" t="s">
        <v>50</v>
      </c>
      <c r="C265" s="19" t="s">
        <v>1001</v>
      </c>
      <c r="D265" s="19" t="s">
        <v>1004</v>
      </c>
      <c r="E265" s="20" t="s">
        <v>32</v>
      </c>
      <c r="F265" s="19" t="s">
        <v>1001</v>
      </c>
      <c r="G265" s="19" t="s">
        <v>1005</v>
      </c>
      <c r="H265" s="19" t="s">
        <v>32</v>
      </c>
      <c r="I265">
        <v>0</v>
      </c>
      <c r="J265">
        <v>1</v>
      </c>
      <c r="K265" s="1"/>
    </row>
    <row r="266" spans="1:11">
      <c r="A266" s="17" t="s">
        <v>771</v>
      </c>
      <c r="B266" s="19" t="s">
        <v>50</v>
      </c>
      <c r="C266" s="19" t="s">
        <v>1001</v>
      </c>
      <c r="D266" s="19" t="s">
        <v>1006</v>
      </c>
      <c r="E266" s="20" t="s">
        <v>32</v>
      </c>
      <c r="F266" s="19" t="s">
        <v>1001</v>
      </c>
      <c r="G266" s="19" t="s">
        <v>1007</v>
      </c>
      <c r="H266" s="19" t="s">
        <v>32</v>
      </c>
      <c r="I266">
        <v>0</v>
      </c>
      <c r="J266">
        <v>1</v>
      </c>
      <c r="K266" s="1"/>
    </row>
    <row r="267" spans="1:11">
      <c r="A267" s="17" t="s">
        <v>771</v>
      </c>
      <c r="B267" s="19" t="s">
        <v>50</v>
      </c>
      <c r="C267" s="19" t="s">
        <v>1008</v>
      </c>
      <c r="D267" s="19" t="s">
        <v>1009</v>
      </c>
      <c r="E267" s="20" t="s">
        <v>32</v>
      </c>
      <c r="F267" s="19" t="s">
        <v>1008</v>
      </c>
      <c r="G267" s="19" t="s">
        <v>1010</v>
      </c>
      <c r="H267" s="19" t="s">
        <v>32</v>
      </c>
      <c r="I267">
        <v>0</v>
      </c>
      <c r="J267">
        <v>1</v>
      </c>
      <c r="K267" s="1"/>
    </row>
    <row r="268" spans="1:11">
      <c r="A268" s="17" t="s">
        <v>771</v>
      </c>
      <c r="B268" s="19" t="s">
        <v>50</v>
      </c>
      <c r="C268" s="19" t="s">
        <v>1008</v>
      </c>
      <c r="D268" s="19" t="s">
        <v>1011</v>
      </c>
      <c r="E268" s="20" t="s">
        <v>32</v>
      </c>
      <c r="F268" s="19" t="s">
        <v>1008</v>
      </c>
      <c r="G268" s="19" t="s">
        <v>1012</v>
      </c>
      <c r="H268" s="19" t="s">
        <v>32</v>
      </c>
      <c r="I268">
        <v>0</v>
      </c>
      <c r="J268">
        <v>2</v>
      </c>
      <c r="K268" s="1"/>
    </row>
    <row r="269" spans="1:11">
      <c r="A269" s="17" t="s">
        <v>771</v>
      </c>
      <c r="B269" s="19" t="s">
        <v>50</v>
      </c>
      <c r="C269" s="19" t="s">
        <v>1008</v>
      </c>
      <c r="D269" s="19" t="s">
        <v>1013</v>
      </c>
      <c r="E269" s="20" t="s">
        <v>32</v>
      </c>
      <c r="F269" s="19" t="s">
        <v>1008</v>
      </c>
      <c r="G269" s="19" t="s">
        <v>1014</v>
      </c>
      <c r="H269" s="19" t="s">
        <v>32</v>
      </c>
      <c r="I269">
        <v>0</v>
      </c>
      <c r="J269">
        <v>2</v>
      </c>
      <c r="K269" s="1"/>
    </row>
    <row r="270" spans="1:11">
      <c r="A270" s="17" t="s">
        <v>771</v>
      </c>
      <c r="B270" s="19" t="s">
        <v>50</v>
      </c>
      <c r="C270" s="19" t="s">
        <v>1015</v>
      </c>
      <c r="D270" s="19" t="s">
        <v>1016</v>
      </c>
      <c r="E270" s="20" t="s">
        <v>32</v>
      </c>
      <c r="F270" s="19" t="s">
        <v>1015</v>
      </c>
      <c r="G270" s="19" t="s">
        <v>1017</v>
      </c>
      <c r="H270" s="19" t="s">
        <v>32</v>
      </c>
      <c r="I270">
        <v>0</v>
      </c>
      <c r="J270">
        <v>1</v>
      </c>
      <c r="K270" s="1"/>
    </row>
    <row r="271" spans="1:11">
      <c r="A271" s="17" t="s">
        <v>771</v>
      </c>
      <c r="B271" s="19" t="s">
        <v>50</v>
      </c>
      <c r="C271" s="19" t="s">
        <v>1018</v>
      </c>
      <c r="D271" s="19" t="s">
        <v>1019</v>
      </c>
      <c r="E271" s="20" t="s">
        <v>32</v>
      </c>
      <c r="F271" s="19" t="s">
        <v>1018</v>
      </c>
      <c r="G271" s="19" t="s">
        <v>1020</v>
      </c>
      <c r="H271" s="19" t="s">
        <v>32</v>
      </c>
      <c r="I271">
        <v>0</v>
      </c>
      <c r="J271">
        <v>1</v>
      </c>
      <c r="K271" s="1"/>
    </row>
    <row r="272" spans="1:11">
      <c r="A272" s="17" t="s">
        <v>771</v>
      </c>
      <c r="B272" s="19" t="s">
        <v>50</v>
      </c>
      <c r="C272" s="19" t="s">
        <v>1021</v>
      </c>
      <c r="D272" s="19" t="s">
        <v>1022</v>
      </c>
      <c r="E272" s="20" t="s">
        <v>32</v>
      </c>
      <c r="F272" s="19" t="s">
        <v>1021</v>
      </c>
      <c r="G272" s="19" t="s">
        <v>1023</v>
      </c>
      <c r="H272" s="19" t="s">
        <v>32</v>
      </c>
      <c r="I272">
        <v>0</v>
      </c>
      <c r="J272">
        <v>1</v>
      </c>
      <c r="K272" s="1"/>
    </row>
    <row r="273" spans="1:11">
      <c r="A273" s="17" t="s">
        <v>771</v>
      </c>
      <c r="B273" s="19" t="s">
        <v>50</v>
      </c>
      <c r="C273" s="19" t="s">
        <v>1021</v>
      </c>
      <c r="D273" s="19" t="s">
        <v>1024</v>
      </c>
      <c r="E273" s="20" t="s">
        <v>32</v>
      </c>
      <c r="F273" s="19" t="s">
        <v>1021</v>
      </c>
      <c r="G273" s="19" t="s">
        <v>1025</v>
      </c>
      <c r="H273" s="19" t="s">
        <v>32</v>
      </c>
      <c r="I273">
        <v>0</v>
      </c>
      <c r="J273">
        <v>1</v>
      </c>
      <c r="K273" s="1"/>
    </row>
    <row r="274" spans="1:11">
      <c r="A274" s="17" t="s">
        <v>771</v>
      </c>
      <c r="B274" s="19" t="s">
        <v>50</v>
      </c>
      <c r="C274" s="19" t="s">
        <v>1021</v>
      </c>
      <c r="D274" s="19" t="s">
        <v>1026</v>
      </c>
      <c r="E274" s="20" t="s">
        <v>32</v>
      </c>
      <c r="F274" s="19" t="s">
        <v>1021</v>
      </c>
      <c r="G274" s="19" t="s">
        <v>1027</v>
      </c>
      <c r="H274" s="19" t="s">
        <v>32</v>
      </c>
      <c r="I274">
        <v>0</v>
      </c>
      <c r="J274">
        <v>2</v>
      </c>
      <c r="K274" s="1"/>
    </row>
    <row r="275" spans="1:11">
      <c r="A275" s="17" t="s">
        <v>771</v>
      </c>
      <c r="B275" s="19" t="s">
        <v>50</v>
      </c>
      <c r="C275" s="19" t="s">
        <v>1028</v>
      </c>
      <c r="D275" s="19" t="s">
        <v>1029</v>
      </c>
      <c r="E275" s="20" t="s">
        <v>32</v>
      </c>
      <c r="F275" s="19" t="s">
        <v>1028</v>
      </c>
      <c r="G275" s="19" t="s">
        <v>1030</v>
      </c>
      <c r="H275" s="19" t="s">
        <v>32</v>
      </c>
      <c r="I275">
        <v>0</v>
      </c>
      <c r="J275">
        <v>1</v>
      </c>
      <c r="K275" s="1"/>
    </row>
    <row r="276" spans="1:11">
      <c r="A276" s="17" t="s">
        <v>771</v>
      </c>
      <c r="B276" s="19" t="s">
        <v>50</v>
      </c>
      <c r="C276" s="19" t="s">
        <v>1031</v>
      </c>
      <c r="D276" s="19" t="s">
        <v>1032</v>
      </c>
      <c r="E276" s="20" t="s">
        <v>32</v>
      </c>
      <c r="F276" s="19" t="s">
        <v>1031</v>
      </c>
      <c r="G276" s="19" t="s">
        <v>1033</v>
      </c>
      <c r="H276" s="19" t="s">
        <v>32</v>
      </c>
      <c r="I276">
        <v>0</v>
      </c>
      <c r="J276">
        <v>1</v>
      </c>
      <c r="K276" s="1"/>
    </row>
    <row r="277" spans="1:11">
      <c r="A277" s="17" t="s">
        <v>771</v>
      </c>
      <c r="B277" s="19" t="s">
        <v>50</v>
      </c>
      <c r="C277" s="19" t="s">
        <v>1031</v>
      </c>
      <c r="D277" s="19" t="s">
        <v>1034</v>
      </c>
      <c r="E277" s="20" t="s">
        <v>32</v>
      </c>
      <c r="F277" s="19" t="s">
        <v>1031</v>
      </c>
      <c r="G277" s="19" t="s">
        <v>1035</v>
      </c>
      <c r="H277" s="19" t="s">
        <v>32</v>
      </c>
      <c r="I277">
        <v>0</v>
      </c>
      <c r="J277">
        <v>1</v>
      </c>
      <c r="K277" s="1"/>
    </row>
    <row r="278" spans="1:11">
      <c r="A278" s="17" t="s">
        <v>771</v>
      </c>
      <c r="B278" s="19" t="s">
        <v>50</v>
      </c>
      <c r="C278" s="19" t="s">
        <v>1036</v>
      </c>
      <c r="D278" s="19" t="s">
        <v>1037</v>
      </c>
      <c r="E278" s="20" t="s">
        <v>32</v>
      </c>
      <c r="F278" s="19" t="s">
        <v>1036</v>
      </c>
      <c r="G278" s="19" t="s">
        <v>1038</v>
      </c>
      <c r="H278" s="19" t="s">
        <v>32</v>
      </c>
      <c r="I278">
        <v>0</v>
      </c>
      <c r="J278">
        <v>292</v>
      </c>
      <c r="K278" s="1"/>
    </row>
    <row r="279" spans="1:11">
      <c r="A279" s="17" t="s">
        <v>771</v>
      </c>
      <c r="B279" s="19" t="s">
        <v>50</v>
      </c>
      <c r="C279" s="19" t="s">
        <v>1039</v>
      </c>
      <c r="D279" s="19" t="s">
        <v>1040</v>
      </c>
      <c r="E279" s="20" t="s">
        <v>32</v>
      </c>
      <c r="F279" s="19" t="s">
        <v>1039</v>
      </c>
      <c r="G279" s="19" t="s">
        <v>1041</v>
      </c>
      <c r="H279" s="19" t="s">
        <v>32</v>
      </c>
      <c r="I279">
        <v>0</v>
      </c>
      <c r="J279">
        <v>1</v>
      </c>
      <c r="K279" s="1"/>
    </row>
    <row r="280" spans="1:11">
      <c r="A280" s="17" t="s">
        <v>771</v>
      </c>
      <c r="B280" s="19" t="s">
        <v>50</v>
      </c>
      <c r="C280" s="19" t="s">
        <v>1042</v>
      </c>
      <c r="D280" s="19" t="s">
        <v>1043</v>
      </c>
      <c r="E280" s="20" t="s">
        <v>32</v>
      </c>
      <c r="F280" s="19" t="s">
        <v>1042</v>
      </c>
      <c r="G280" s="19" t="s">
        <v>1044</v>
      </c>
      <c r="H280" s="19" t="s">
        <v>32</v>
      </c>
      <c r="I280">
        <v>0</v>
      </c>
      <c r="J280">
        <v>2</v>
      </c>
      <c r="K280" s="1"/>
    </row>
    <row r="281" spans="1:11">
      <c r="A281" s="17" t="s">
        <v>771</v>
      </c>
      <c r="B281" s="19" t="s">
        <v>50</v>
      </c>
      <c r="C281" s="19" t="s">
        <v>1042</v>
      </c>
      <c r="D281" s="19" t="s">
        <v>1045</v>
      </c>
      <c r="E281" s="20" t="s">
        <v>32</v>
      </c>
      <c r="F281" s="19" t="s">
        <v>1042</v>
      </c>
      <c r="G281" s="19" t="s">
        <v>1046</v>
      </c>
      <c r="H281" s="19" t="s">
        <v>32</v>
      </c>
      <c r="I281">
        <v>0</v>
      </c>
      <c r="J281">
        <v>1</v>
      </c>
      <c r="K281" s="1"/>
    </row>
    <row r="282" spans="1:11">
      <c r="A282" s="17" t="s">
        <v>771</v>
      </c>
      <c r="B282" s="19" t="s">
        <v>50</v>
      </c>
      <c r="C282" s="19" t="s">
        <v>1047</v>
      </c>
      <c r="D282" s="19" t="s">
        <v>1048</v>
      </c>
      <c r="E282" s="20" t="s">
        <v>32</v>
      </c>
      <c r="F282" s="19" t="s">
        <v>1047</v>
      </c>
      <c r="G282" s="19" t="s">
        <v>1049</v>
      </c>
      <c r="H282" s="19" t="s">
        <v>32</v>
      </c>
      <c r="I282">
        <v>0</v>
      </c>
      <c r="J282">
        <v>41</v>
      </c>
      <c r="K282" s="1"/>
    </row>
    <row r="283" spans="1:11">
      <c r="A283" s="17" t="s">
        <v>771</v>
      </c>
      <c r="B283" s="19" t="s">
        <v>50</v>
      </c>
      <c r="C283" s="19" t="s">
        <v>1050</v>
      </c>
      <c r="D283" s="19" t="s">
        <v>1051</v>
      </c>
      <c r="E283" s="20" t="s">
        <v>32</v>
      </c>
      <c r="F283" s="19" t="s">
        <v>1050</v>
      </c>
      <c r="G283" s="19" t="s">
        <v>1052</v>
      </c>
      <c r="H283" s="19" t="s">
        <v>32</v>
      </c>
      <c r="I283">
        <v>0</v>
      </c>
      <c r="J283">
        <v>20</v>
      </c>
      <c r="K283" s="1"/>
    </row>
    <row r="284" spans="1:11">
      <c r="A284" s="17" t="s">
        <v>771</v>
      </c>
      <c r="B284" s="19" t="s">
        <v>50</v>
      </c>
      <c r="C284" s="19" t="s">
        <v>1050</v>
      </c>
      <c r="D284" s="19" t="s">
        <v>1053</v>
      </c>
      <c r="E284" s="20" t="s">
        <v>32</v>
      </c>
      <c r="F284" s="19" t="s">
        <v>1050</v>
      </c>
      <c r="G284" s="19" t="s">
        <v>1054</v>
      </c>
      <c r="H284" s="19" t="s">
        <v>32</v>
      </c>
      <c r="I284">
        <v>0</v>
      </c>
      <c r="J284">
        <v>1</v>
      </c>
      <c r="K284" s="1"/>
    </row>
    <row r="285" spans="1:11">
      <c r="A285" s="17" t="s">
        <v>771</v>
      </c>
      <c r="B285" s="19" t="s">
        <v>50</v>
      </c>
      <c r="C285" s="19" t="s">
        <v>1050</v>
      </c>
      <c r="D285" s="19" t="s">
        <v>1055</v>
      </c>
      <c r="E285" s="20" t="s">
        <v>32</v>
      </c>
      <c r="F285" s="19" t="s">
        <v>1050</v>
      </c>
      <c r="G285" s="19" t="s">
        <v>1056</v>
      </c>
      <c r="H285" s="19" t="s">
        <v>32</v>
      </c>
      <c r="I285">
        <v>0</v>
      </c>
      <c r="J285">
        <v>2</v>
      </c>
      <c r="K285" s="1"/>
    </row>
    <row r="286" spans="1:11">
      <c r="A286" s="17" t="s">
        <v>771</v>
      </c>
      <c r="B286" s="19" t="s">
        <v>50</v>
      </c>
      <c r="C286" s="19" t="s">
        <v>1057</v>
      </c>
      <c r="D286" s="19" t="s">
        <v>1058</v>
      </c>
      <c r="E286" s="20" t="s">
        <v>32</v>
      </c>
      <c r="F286" s="19" t="s">
        <v>1057</v>
      </c>
      <c r="G286" s="19" t="s">
        <v>1059</v>
      </c>
      <c r="H286" s="19" t="s">
        <v>32</v>
      </c>
      <c r="I286">
        <v>0</v>
      </c>
      <c r="J286">
        <v>170</v>
      </c>
      <c r="K286" s="1"/>
    </row>
    <row r="287" spans="1:11">
      <c r="A287" s="17" t="s">
        <v>771</v>
      </c>
      <c r="B287" s="19" t="s">
        <v>50</v>
      </c>
      <c r="C287" s="19" t="s">
        <v>1060</v>
      </c>
      <c r="D287" s="19" t="s">
        <v>1061</v>
      </c>
      <c r="E287" s="20" t="s">
        <v>32</v>
      </c>
      <c r="F287" s="19" t="s">
        <v>1060</v>
      </c>
      <c r="G287" s="19" t="s">
        <v>1062</v>
      </c>
      <c r="H287" s="19" t="s">
        <v>32</v>
      </c>
      <c r="I287">
        <v>0</v>
      </c>
      <c r="J287">
        <v>44</v>
      </c>
      <c r="K287" s="1"/>
    </row>
    <row r="288" spans="1:11">
      <c r="A288" s="17" t="s">
        <v>771</v>
      </c>
      <c r="B288" s="19" t="s">
        <v>50</v>
      </c>
      <c r="C288" s="19" t="s">
        <v>1060</v>
      </c>
      <c r="D288" s="19" t="s">
        <v>1063</v>
      </c>
      <c r="E288" s="20" t="s">
        <v>32</v>
      </c>
      <c r="F288" s="19" t="s">
        <v>1060</v>
      </c>
      <c r="G288" s="19" t="s">
        <v>1064</v>
      </c>
      <c r="H288" s="19" t="s">
        <v>32</v>
      </c>
      <c r="I288">
        <v>0</v>
      </c>
      <c r="J288">
        <v>1</v>
      </c>
      <c r="K288" s="1"/>
    </row>
    <row r="289" spans="1:11">
      <c r="A289" s="17" t="s">
        <v>771</v>
      </c>
      <c r="B289" s="19" t="s">
        <v>50</v>
      </c>
      <c r="C289" s="19" t="s">
        <v>1060</v>
      </c>
      <c r="D289" s="19" t="s">
        <v>1065</v>
      </c>
      <c r="E289" s="20" t="s">
        <v>32</v>
      </c>
      <c r="F289" s="19" t="s">
        <v>1060</v>
      </c>
      <c r="G289" s="19" t="s">
        <v>1066</v>
      </c>
      <c r="H289" s="19" t="s">
        <v>32</v>
      </c>
      <c r="I289">
        <v>0</v>
      </c>
      <c r="J289">
        <v>2</v>
      </c>
      <c r="K289" s="1"/>
    </row>
    <row r="290" spans="1:11">
      <c r="A290" s="17" t="s">
        <v>771</v>
      </c>
      <c r="B290" s="19" t="s">
        <v>50</v>
      </c>
      <c r="C290" s="19" t="s">
        <v>1067</v>
      </c>
      <c r="D290" s="19" t="s">
        <v>1068</v>
      </c>
      <c r="E290" s="20" t="s">
        <v>32</v>
      </c>
      <c r="F290" s="19" t="s">
        <v>1067</v>
      </c>
      <c r="G290" s="19" t="s">
        <v>1069</v>
      </c>
      <c r="H290" s="19" t="s">
        <v>32</v>
      </c>
      <c r="I290">
        <v>0</v>
      </c>
      <c r="J290">
        <v>81</v>
      </c>
      <c r="K290" s="1"/>
    </row>
    <row r="291" spans="1:11">
      <c r="A291" s="17" t="s">
        <v>771</v>
      </c>
      <c r="B291" s="19" t="s">
        <v>50</v>
      </c>
      <c r="C291" s="19" t="s">
        <v>1070</v>
      </c>
      <c r="D291" s="19" t="s">
        <v>213</v>
      </c>
      <c r="E291" s="20" t="s">
        <v>32</v>
      </c>
      <c r="F291" s="19" t="s">
        <v>1070</v>
      </c>
      <c r="G291" s="19" t="s">
        <v>214</v>
      </c>
      <c r="H291" s="19" t="s">
        <v>32</v>
      </c>
      <c r="I291">
        <v>0</v>
      </c>
      <c r="J291">
        <v>1</v>
      </c>
      <c r="K291" s="1"/>
    </row>
    <row r="292" spans="1:11">
      <c r="A292" s="17" t="s">
        <v>771</v>
      </c>
      <c r="B292" s="19" t="s">
        <v>50</v>
      </c>
      <c r="C292" s="19" t="s">
        <v>1071</v>
      </c>
      <c r="D292" s="19" t="s">
        <v>215</v>
      </c>
      <c r="E292" s="20" t="s">
        <v>32</v>
      </c>
      <c r="F292" s="19" t="s">
        <v>1071</v>
      </c>
      <c r="G292" s="19" t="s">
        <v>216</v>
      </c>
      <c r="H292" s="19" t="s">
        <v>32</v>
      </c>
      <c r="I292">
        <v>0</v>
      </c>
      <c r="J292">
        <v>2</v>
      </c>
      <c r="K292" s="1"/>
    </row>
    <row r="293" spans="1:11">
      <c r="A293" s="17" t="s">
        <v>771</v>
      </c>
      <c r="B293" s="19" t="s">
        <v>50</v>
      </c>
      <c r="C293" s="19" t="s">
        <v>1072</v>
      </c>
      <c r="D293" s="19" t="s">
        <v>112</v>
      </c>
      <c r="E293" s="20" t="s">
        <v>32</v>
      </c>
      <c r="F293" s="19" t="s">
        <v>1072</v>
      </c>
      <c r="G293" s="19" t="s">
        <v>113</v>
      </c>
      <c r="H293" s="19" t="s">
        <v>32</v>
      </c>
      <c r="I293">
        <v>0</v>
      </c>
      <c r="J293">
        <v>1</v>
      </c>
      <c r="K293" s="1"/>
    </row>
    <row r="294" spans="1:11">
      <c r="A294" s="17" t="s">
        <v>771</v>
      </c>
      <c r="B294" s="19" t="s">
        <v>50</v>
      </c>
      <c r="C294" s="19" t="s">
        <v>1073</v>
      </c>
      <c r="D294" s="19" t="s">
        <v>1074</v>
      </c>
      <c r="E294" s="20" t="s">
        <v>32</v>
      </c>
      <c r="F294" s="19" t="s">
        <v>1073</v>
      </c>
      <c r="G294" s="19" t="s">
        <v>1075</v>
      </c>
      <c r="H294" s="19" t="s">
        <v>32</v>
      </c>
      <c r="I294">
        <v>0</v>
      </c>
      <c r="J294">
        <v>15</v>
      </c>
      <c r="K294" s="1"/>
    </row>
    <row r="295" spans="1:11">
      <c r="A295" s="17" t="s">
        <v>771</v>
      </c>
      <c r="B295" s="19" t="s">
        <v>50</v>
      </c>
      <c r="C295" s="19" t="s">
        <v>1073</v>
      </c>
      <c r="D295" s="19" t="s">
        <v>1076</v>
      </c>
      <c r="E295" s="20" t="s">
        <v>32</v>
      </c>
      <c r="F295" s="19" t="s">
        <v>1073</v>
      </c>
      <c r="G295" s="19" t="s">
        <v>1077</v>
      </c>
      <c r="H295" s="19" t="s">
        <v>32</v>
      </c>
      <c r="I295">
        <v>0</v>
      </c>
      <c r="J295">
        <v>3</v>
      </c>
      <c r="K295" s="1"/>
    </row>
    <row r="296" spans="1:11">
      <c r="A296" s="17" t="s">
        <v>771</v>
      </c>
      <c r="B296" s="19" t="s">
        <v>50</v>
      </c>
      <c r="C296" s="19" t="s">
        <v>1078</v>
      </c>
      <c r="D296" s="19" t="s">
        <v>1079</v>
      </c>
      <c r="E296" s="20" t="s">
        <v>32</v>
      </c>
      <c r="F296" s="19" t="s">
        <v>1078</v>
      </c>
      <c r="G296" s="19" t="s">
        <v>1080</v>
      </c>
      <c r="H296" s="19" t="s">
        <v>32</v>
      </c>
      <c r="I296">
        <v>0</v>
      </c>
      <c r="J296">
        <v>36</v>
      </c>
      <c r="K296" s="1"/>
    </row>
    <row r="297" spans="1:11">
      <c r="A297" s="17" t="s">
        <v>771</v>
      </c>
      <c r="B297" s="19" t="s">
        <v>50</v>
      </c>
      <c r="C297" s="19" t="s">
        <v>1081</v>
      </c>
      <c r="D297" s="19" t="s">
        <v>1082</v>
      </c>
      <c r="E297" s="20" t="s">
        <v>32</v>
      </c>
      <c r="F297" s="19" t="s">
        <v>1081</v>
      </c>
      <c r="G297" s="19" t="s">
        <v>1083</v>
      </c>
      <c r="H297" s="19" t="s">
        <v>32</v>
      </c>
      <c r="I297">
        <v>0</v>
      </c>
      <c r="J297">
        <v>19</v>
      </c>
      <c r="K297" s="1"/>
    </row>
    <row r="298" spans="1:11">
      <c r="A298" s="17" t="s">
        <v>771</v>
      </c>
      <c r="B298" s="19" t="s">
        <v>50</v>
      </c>
      <c r="C298" s="19" t="s">
        <v>1081</v>
      </c>
      <c r="D298" s="19" t="s">
        <v>1084</v>
      </c>
      <c r="E298" s="20" t="s">
        <v>32</v>
      </c>
      <c r="F298" s="19" t="s">
        <v>1081</v>
      </c>
      <c r="G298" s="19" t="s">
        <v>1085</v>
      </c>
      <c r="H298" s="19" t="s">
        <v>32</v>
      </c>
      <c r="I298">
        <v>0</v>
      </c>
      <c r="J298">
        <v>1</v>
      </c>
      <c r="K298" s="1"/>
    </row>
    <row r="299" spans="1:11">
      <c r="A299" s="17" t="s">
        <v>771</v>
      </c>
      <c r="B299" s="19" t="s">
        <v>50</v>
      </c>
      <c r="C299" s="19" t="s">
        <v>1086</v>
      </c>
      <c r="D299" s="19" t="s">
        <v>1087</v>
      </c>
      <c r="E299" s="20" t="s">
        <v>32</v>
      </c>
      <c r="F299" s="19" t="s">
        <v>1086</v>
      </c>
      <c r="G299" s="19" t="s">
        <v>1088</v>
      </c>
      <c r="H299" s="19" t="s">
        <v>32</v>
      </c>
      <c r="I299">
        <v>0</v>
      </c>
      <c r="J299">
        <v>25</v>
      </c>
      <c r="K299" s="1"/>
    </row>
    <row r="300" spans="1:11">
      <c r="A300" s="17" t="s">
        <v>771</v>
      </c>
      <c r="B300" s="19" t="s">
        <v>50</v>
      </c>
      <c r="C300" s="19" t="s">
        <v>1086</v>
      </c>
      <c r="D300" s="19" t="s">
        <v>1089</v>
      </c>
      <c r="E300" s="20" t="s">
        <v>32</v>
      </c>
      <c r="F300" s="19" t="s">
        <v>1086</v>
      </c>
      <c r="G300" s="19" t="s">
        <v>1090</v>
      </c>
      <c r="H300" s="19" t="s">
        <v>32</v>
      </c>
      <c r="I300">
        <v>0</v>
      </c>
      <c r="J300">
        <v>2</v>
      </c>
      <c r="K300" s="1"/>
    </row>
    <row r="301" spans="1:11">
      <c r="A301" s="17" t="s">
        <v>771</v>
      </c>
      <c r="B301" s="19" t="s">
        <v>50</v>
      </c>
      <c r="C301" s="19" t="s">
        <v>1091</v>
      </c>
      <c r="D301" s="19" t="s">
        <v>1092</v>
      </c>
      <c r="E301" s="20" t="s">
        <v>32</v>
      </c>
      <c r="F301" s="19" t="s">
        <v>1091</v>
      </c>
      <c r="G301" s="19" t="s">
        <v>1093</v>
      </c>
      <c r="H301" s="19" t="s">
        <v>32</v>
      </c>
      <c r="I301">
        <v>0</v>
      </c>
      <c r="J301">
        <v>15</v>
      </c>
      <c r="K301" s="1"/>
    </row>
    <row r="302" spans="1:11">
      <c r="A302" s="17" t="s">
        <v>771</v>
      </c>
      <c r="B302" s="19" t="s">
        <v>50</v>
      </c>
      <c r="C302" s="19" t="s">
        <v>1094</v>
      </c>
      <c r="D302" s="19" t="s">
        <v>1095</v>
      </c>
      <c r="E302" s="20" t="s">
        <v>32</v>
      </c>
      <c r="F302" s="19" t="s">
        <v>1094</v>
      </c>
      <c r="G302" s="19" t="s">
        <v>1096</v>
      </c>
      <c r="H302" s="19" t="s">
        <v>32</v>
      </c>
      <c r="I302">
        <v>0</v>
      </c>
      <c r="J302">
        <v>16</v>
      </c>
      <c r="K302" s="1"/>
    </row>
    <row r="303" spans="1:11">
      <c r="A303" s="17" t="s">
        <v>771</v>
      </c>
      <c r="B303" s="19" t="s">
        <v>50</v>
      </c>
      <c r="C303" s="19" t="s">
        <v>1094</v>
      </c>
      <c r="D303" s="19" t="s">
        <v>1097</v>
      </c>
      <c r="E303" s="20" t="s">
        <v>32</v>
      </c>
      <c r="F303" s="19" t="s">
        <v>1094</v>
      </c>
      <c r="G303" s="19" t="s">
        <v>1098</v>
      </c>
      <c r="H303" s="19" t="s">
        <v>32</v>
      </c>
      <c r="I303">
        <v>0</v>
      </c>
      <c r="J303">
        <v>1</v>
      </c>
      <c r="K303" s="1"/>
    </row>
    <row r="304" spans="1:11">
      <c r="A304" s="17" t="s">
        <v>771</v>
      </c>
      <c r="B304" s="19" t="s">
        <v>50</v>
      </c>
      <c r="C304" s="19" t="s">
        <v>1099</v>
      </c>
      <c r="D304" s="19" t="s">
        <v>1100</v>
      </c>
      <c r="E304" s="20" t="s">
        <v>32</v>
      </c>
      <c r="F304" s="19" t="s">
        <v>1099</v>
      </c>
      <c r="G304" s="19" t="s">
        <v>1101</v>
      </c>
      <c r="H304" s="19" t="s">
        <v>32</v>
      </c>
      <c r="I304">
        <v>0</v>
      </c>
      <c r="J304">
        <v>157</v>
      </c>
      <c r="K304" s="1"/>
    </row>
    <row r="305" spans="1:11">
      <c r="A305" s="17" t="s">
        <v>771</v>
      </c>
      <c r="B305" s="19" t="s">
        <v>50</v>
      </c>
      <c r="C305" s="19" t="s">
        <v>1102</v>
      </c>
      <c r="D305" s="19" t="s">
        <v>1103</v>
      </c>
      <c r="E305" s="20" t="s">
        <v>32</v>
      </c>
      <c r="F305" s="19" t="s">
        <v>1102</v>
      </c>
      <c r="G305" s="19" t="s">
        <v>1104</v>
      </c>
      <c r="H305" s="19" t="s">
        <v>32</v>
      </c>
      <c r="I305">
        <v>0</v>
      </c>
      <c r="J305">
        <v>40</v>
      </c>
      <c r="K305" s="1"/>
    </row>
    <row r="306" spans="1:11">
      <c r="A306" s="17" t="s">
        <v>771</v>
      </c>
      <c r="B306" s="19" t="s">
        <v>50</v>
      </c>
      <c r="C306" s="19" t="s">
        <v>1102</v>
      </c>
      <c r="D306" s="19" t="s">
        <v>1105</v>
      </c>
      <c r="E306" s="20" t="s">
        <v>32</v>
      </c>
      <c r="F306" s="19" t="s">
        <v>1102</v>
      </c>
      <c r="G306" s="19" t="s">
        <v>1106</v>
      </c>
      <c r="H306" s="19" t="s">
        <v>32</v>
      </c>
      <c r="I306">
        <v>0</v>
      </c>
      <c r="J306">
        <v>1</v>
      </c>
      <c r="K306" s="1"/>
    </row>
    <row r="307" spans="1:11">
      <c r="A307" s="17" t="s">
        <v>771</v>
      </c>
      <c r="B307" s="19" t="s">
        <v>50</v>
      </c>
      <c r="C307" s="19" t="s">
        <v>1107</v>
      </c>
      <c r="D307" s="19" t="s">
        <v>1108</v>
      </c>
      <c r="E307" s="20" t="s">
        <v>32</v>
      </c>
      <c r="F307" s="19" t="s">
        <v>1107</v>
      </c>
      <c r="G307" s="19" t="s">
        <v>1109</v>
      </c>
      <c r="H307" s="19" t="s">
        <v>32</v>
      </c>
      <c r="I307">
        <v>0</v>
      </c>
      <c r="J307">
        <v>21</v>
      </c>
      <c r="K307" s="1"/>
    </row>
    <row r="308" spans="1:11">
      <c r="A308" s="17" t="s">
        <v>771</v>
      </c>
      <c r="B308" s="19" t="s">
        <v>50</v>
      </c>
      <c r="C308" s="19" t="s">
        <v>1107</v>
      </c>
      <c r="D308" s="19" t="s">
        <v>1110</v>
      </c>
      <c r="E308" s="20" t="s">
        <v>32</v>
      </c>
      <c r="F308" s="19" t="s">
        <v>1107</v>
      </c>
      <c r="G308" s="19" t="s">
        <v>1111</v>
      </c>
      <c r="H308" s="19" t="s">
        <v>32</v>
      </c>
      <c r="I308">
        <v>0</v>
      </c>
      <c r="J308">
        <v>1</v>
      </c>
      <c r="K308" s="1"/>
    </row>
    <row r="309" spans="1:11">
      <c r="A309" s="17" t="s">
        <v>771</v>
      </c>
      <c r="B309" s="19" t="s">
        <v>50</v>
      </c>
      <c r="C309" s="19" t="s">
        <v>1112</v>
      </c>
      <c r="D309" s="19" t="s">
        <v>1113</v>
      </c>
      <c r="E309" s="20" t="s">
        <v>32</v>
      </c>
      <c r="F309" s="19" t="s">
        <v>1112</v>
      </c>
      <c r="G309" s="19" t="s">
        <v>1114</v>
      </c>
      <c r="H309" s="19" t="s">
        <v>32</v>
      </c>
      <c r="I309">
        <v>0</v>
      </c>
      <c r="J309">
        <v>37</v>
      </c>
      <c r="K309" s="1"/>
    </row>
    <row r="310" spans="1:11">
      <c r="A310" s="17" t="s">
        <v>771</v>
      </c>
      <c r="B310" s="19" t="s">
        <v>50</v>
      </c>
      <c r="C310" s="19" t="s">
        <v>1115</v>
      </c>
      <c r="D310" s="19" t="s">
        <v>1116</v>
      </c>
      <c r="E310" s="20" t="s">
        <v>32</v>
      </c>
      <c r="F310" s="19" t="s">
        <v>1115</v>
      </c>
      <c r="G310" s="19" t="s">
        <v>1117</v>
      </c>
      <c r="H310" s="19" t="s">
        <v>32</v>
      </c>
      <c r="I310">
        <v>0</v>
      </c>
      <c r="J310">
        <v>38</v>
      </c>
      <c r="K310" s="1"/>
    </row>
    <row r="311" spans="1:11">
      <c r="A311" s="17" t="s">
        <v>771</v>
      </c>
      <c r="B311" s="19" t="s">
        <v>50</v>
      </c>
      <c r="C311" s="19" t="s">
        <v>1115</v>
      </c>
      <c r="D311" s="19" t="s">
        <v>1118</v>
      </c>
      <c r="E311" s="20" t="s">
        <v>32</v>
      </c>
      <c r="F311" s="19" t="s">
        <v>1115</v>
      </c>
      <c r="G311" s="19" t="s">
        <v>1119</v>
      </c>
      <c r="H311" s="19" t="s">
        <v>32</v>
      </c>
      <c r="I311">
        <v>0</v>
      </c>
      <c r="J311">
        <v>2</v>
      </c>
      <c r="K311" s="1"/>
    </row>
    <row r="312" spans="1:11">
      <c r="A312" s="17" t="s">
        <v>771</v>
      </c>
      <c r="B312" s="19" t="s">
        <v>50</v>
      </c>
      <c r="C312" s="19" t="s">
        <v>1120</v>
      </c>
      <c r="D312" s="19" t="s">
        <v>1121</v>
      </c>
      <c r="E312" s="20" t="s">
        <v>32</v>
      </c>
      <c r="F312" s="19" t="s">
        <v>1120</v>
      </c>
      <c r="G312" s="19" t="s">
        <v>1122</v>
      </c>
      <c r="H312" s="19" t="s">
        <v>32</v>
      </c>
      <c r="I312">
        <v>0</v>
      </c>
      <c r="J312">
        <v>21</v>
      </c>
      <c r="K312" s="1"/>
    </row>
    <row r="313" spans="1:11">
      <c r="A313" s="17" t="s">
        <v>771</v>
      </c>
      <c r="B313" s="19" t="s">
        <v>50</v>
      </c>
      <c r="C313" s="19" t="s">
        <v>1120</v>
      </c>
      <c r="D313" s="19" t="s">
        <v>1123</v>
      </c>
      <c r="E313" s="20" t="s">
        <v>32</v>
      </c>
      <c r="F313" s="19" t="s">
        <v>1120</v>
      </c>
      <c r="G313" s="19" t="s">
        <v>1124</v>
      </c>
      <c r="H313" s="19" t="s">
        <v>32</v>
      </c>
      <c r="I313">
        <v>0</v>
      </c>
      <c r="J313">
        <v>1</v>
      </c>
      <c r="K313" s="1"/>
    </row>
    <row r="314" spans="1:11">
      <c r="A314" s="17" t="s">
        <v>771</v>
      </c>
      <c r="B314" s="19" t="s">
        <v>50</v>
      </c>
      <c r="C314" s="19" t="s">
        <v>1120</v>
      </c>
      <c r="D314" s="19" t="s">
        <v>1125</v>
      </c>
      <c r="E314" s="20" t="s">
        <v>32</v>
      </c>
      <c r="F314" s="19" t="s">
        <v>1120</v>
      </c>
      <c r="G314" s="19" t="s">
        <v>1126</v>
      </c>
      <c r="H314" s="19" t="s">
        <v>32</v>
      </c>
      <c r="I314">
        <v>0</v>
      </c>
      <c r="J314">
        <v>1</v>
      </c>
      <c r="K314" s="1"/>
    </row>
    <row r="315" spans="1:11">
      <c r="A315" s="17" t="s">
        <v>771</v>
      </c>
      <c r="B315" s="19" t="s">
        <v>50</v>
      </c>
      <c r="C315" s="19" t="s">
        <v>1127</v>
      </c>
      <c r="D315" s="19" t="s">
        <v>1128</v>
      </c>
      <c r="E315" s="20" t="s">
        <v>32</v>
      </c>
      <c r="F315" s="19" t="s">
        <v>1120</v>
      </c>
      <c r="G315" s="19" t="s">
        <v>1129</v>
      </c>
      <c r="H315" s="19" t="s">
        <v>32</v>
      </c>
      <c r="I315">
        <v>0</v>
      </c>
      <c r="J315">
        <v>72</v>
      </c>
      <c r="K315" s="1"/>
    </row>
    <row r="316" spans="1:11">
      <c r="A316" s="17" t="s">
        <v>771</v>
      </c>
      <c r="B316" s="19" t="s">
        <v>50</v>
      </c>
      <c r="C316" s="19" t="s">
        <v>1127</v>
      </c>
      <c r="D316" s="19" t="s">
        <v>1130</v>
      </c>
      <c r="E316" s="20" t="s">
        <v>32</v>
      </c>
      <c r="F316" s="19" t="s">
        <v>1127</v>
      </c>
      <c r="G316" s="19" t="s">
        <v>1131</v>
      </c>
      <c r="H316" s="19" t="s">
        <v>32</v>
      </c>
      <c r="I316">
        <v>0</v>
      </c>
      <c r="J316">
        <v>2</v>
      </c>
      <c r="K316" s="1"/>
    </row>
    <row r="317" spans="1:11">
      <c r="A317" s="17" t="s">
        <v>771</v>
      </c>
      <c r="B317" s="19" t="s">
        <v>50</v>
      </c>
      <c r="C317" s="19" t="s">
        <v>1132</v>
      </c>
      <c r="D317" s="19" t="s">
        <v>1133</v>
      </c>
      <c r="E317" s="20" t="s">
        <v>32</v>
      </c>
      <c r="F317" s="19" t="s">
        <v>1132</v>
      </c>
      <c r="G317" s="19" t="s">
        <v>1134</v>
      </c>
      <c r="H317" s="19" t="s">
        <v>32</v>
      </c>
      <c r="I317">
        <v>0</v>
      </c>
      <c r="J317">
        <v>59</v>
      </c>
      <c r="K317" s="1"/>
    </row>
    <row r="318" spans="1:11">
      <c r="A318" s="17" t="s">
        <v>771</v>
      </c>
      <c r="B318" s="19" t="s">
        <v>50</v>
      </c>
      <c r="C318" s="19" t="s">
        <v>1132</v>
      </c>
      <c r="D318" s="19" t="s">
        <v>1135</v>
      </c>
      <c r="E318" s="20" t="s">
        <v>32</v>
      </c>
      <c r="F318" s="19" t="s">
        <v>1132</v>
      </c>
      <c r="G318" s="19" t="s">
        <v>1136</v>
      </c>
      <c r="H318" s="19" t="s">
        <v>32</v>
      </c>
      <c r="I318">
        <v>0</v>
      </c>
      <c r="J318">
        <v>1</v>
      </c>
      <c r="K318" s="1"/>
    </row>
    <row r="319" spans="1:11">
      <c r="A319" s="17" t="s">
        <v>771</v>
      </c>
      <c r="B319" s="19" t="s">
        <v>50</v>
      </c>
      <c r="C319" s="19" t="s">
        <v>1137</v>
      </c>
      <c r="D319" s="19" t="s">
        <v>1138</v>
      </c>
      <c r="E319" s="20" t="s">
        <v>32</v>
      </c>
      <c r="F319" s="19" t="s">
        <v>1137</v>
      </c>
      <c r="G319" s="19" t="s">
        <v>1139</v>
      </c>
      <c r="H319" s="19" t="s">
        <v>32</v>
      </c>
      <c r="I319">
        <v>0</v>
      </c>
      <c r="J319">
        <v>17</v>
      </c>
      <c r="K319" s="1"/>
    </row>
    <row r="320" spans="1:11">
      <c r="A320" s="17" t="s">
        <v>771</v>
      </c>
      <c r="B320" s="19" t="s">
        <v>50</v>
      </c>
      <c r="C320" s="19" t="s">
        <v>1137</v>
      </c>
      <c r="D320" s="19" t="s">
        <v>1140</v>
      </c>
      <c r="E320" s="20" t="s">
        <v>32</v>
      </c>
      <c r="F320" s="19" t="s">
        <v>1132</v>
      </c>
      <c r="G320" s="19" t="s">
        <v>1141</v>
      </c>
      <c r="H320" s="19" t="s">
        <v>32</v>
      </c>
      <c r="I320">
        <v>0</v>
      </c>
      <c r="J320">
        <v>49</v>
      </c>
      <c r="K320" s="1"/>
    </row>
    <row r="321" spans="1:11">
      <c r="A321" s="17" t="s">
        <v>771</v>
      </c>
      <c r="B321" s="19" t="s">
        <v>50</v>
      </c>
      <c r="C321" s="19" t="s">
        <v>1142</v>
      </c>
      <c r="D321" s="19" t="s">
        <v>1143</v>
      </c>
      <c r="E321" s="20" t="s">
        <v>32</v>
      </c>
      <c r="F321" s="19" t="s">
        <v>1142</v>
      </c>
      <c r="G321" s="19" t="s">
        <v>1144</v>
      </c>
      <c r="H321" s="19" t="s">
        <v>32</v>
      </c>
      <c r="I321">
        <v>0</v>
      </c>
      <c r="J321">
        <v>46</v>
      </c>
      <c r="K321" s="1"/>
    </row>
    <row r="322" spans="1:11">
      <c r="A322" s="17" t="s">
        <v>771</v>
      </c>
      <c r="B322" s="19" t="s">
        <v>50</v>
      </c>
      <c r="C322" s="19" t="s">
        <v>1145</v>
      </c>
      <c r="D322" s="19" t="s">
        <v>1146</v>
      </c>
      <c r="E322" s="20" t="s">
        <v>32</v>
      </c>
      <c r="F322" s="19" t="s">
        <v>1145</v>
      </c>
      <c r="G322" s="19" t="s">
        <v>1147</v>
      </c>
      <c r="H322" s="19" t="s">
        <v>32</v>
      </c>
      <c r="I322">
        <v>0</v>
      </c>
      <c r="J322">
        <v>1</v>
      </c>
      <c r="K322" s="1"/>
    </row>
    <row r="323" spans="1:11">
      <c r="A323" s="17" t="s">
        <v>771</v>
      </c>
      <c r="B323" s="19" t="s">
        <v>50</v>
      </c>
      <c r="C323" s="19" t="s">
        <v>1148</v>
      </c>
      <c r="D323" s="19" t="s">
        <v>1149</v>
      </c>
      <c r="E323" s="20" t="s">
        <v>32</v>
      </c>
      <c r="F323" s="19" t="s">
        <v>1148</v>
      </c>
      <c r="G323" s="19" t="s">
        <v>1150</v>
      </c>
      <c r="H323" s="19" t="s">
        <v>32</v>
      </c>
      <c r="I323">
        <v>0</v>
      </c>
      <c r="J323">
        <v>13</v>
      </c>
      <c r="K323" s="1"/>
    </row>
    <row r="324" spans="1:11">
      <c r="A324" s="17" t="s">
        <v>771</v>
      </c>
      <c r="B324" s="19" t="s">
        <v>50</v>
      </c>
      <c r="C324" s="19" t="s">
        <v>1151</v>
      </c>
      <c r="D324" s="19" t="s">
        <v>1152</v>
      </c>
      <c r="E324" s="20" t="s">
        <v>32</v>
      </c>
      <c r="F324" s="19" t="s">
        <v>1151</v>
      </c>
      <c r="G324" s="19" t="s">
        <v>1153</v>
      </c>
      <c r="H324" s="19" t="s">
        <v>32</v>
      </c>
      <c r="I324">
        <v>0</v>
      </c>
      <c r="J324">
        <v>17</v>
      </c>
      <c r="K324" s="1"/>
    </row>
    <row r="325" spans="1:11">
      <c r="A325" s="17" t="s">
        <v>771</v>
      </c>
      <c r="B325" s="19" t="s">
        <v>50</v>
      </c>
      <c r="C325" s="19" t="s">
        <v>1154</v>
      </c>
      <c r="D325" s="19" t="s">
        <v>1155</v>
      </c>
      <c r="E325" s="20" t="s">
        <v>32</v>
      </c>
      <c r="F325" s="19" t="s">
        <v>1154</v>
      </c>
      <c r="G325" s="19" t="s">
        <v>1156</v>
      </c>
      <c r="H325" s="19" t="s">
        <v>32</v>
      </c>
      <c r="I325">
        <v>0</v>
      </c>
      <c r="J325">
        <v>24</v>
      </c>
      <c r="K325" s="1"/>
    </row>
    <row r="326" spans="1:11">
      <c r="A326" s="17" t="s">
        <v>771</v>
      </c>
      <c r="B326" s="19" t="s">
        <v>50</v>
      </c>
      <c r="C326" s="19" t="s">
        <v>1157</v>
      </c>
      <c r="D326" s="19" t="s">
        <v>1158</v>
      </c>
      <c r="E326" s="20" t="s">
        <v>32</v>
      </c>
      <c r="F326" s="19" t="s">
        <v>1157</v>
      </c>
      <c r="G326" s="19" t="s">
        <v>1159</v>
      </c>
      <c r="H326" s="19" t="s">
        <v>32</v>
      </c>
      <c r="I326">
        <v>0</v>
      </c>
      <c r="J326">
        <v>168</v>
      </c>
      <c r="K326" s="1"/>
    </row>
    <row r="327" spans="1:11">
      <c r="A327" s="17" t="s">
        <v>771</v>
      </c>
      <c r="B327" s="19" t="s">
        <v>50</v>
      </c>
      <c r="C327" s="19" t="s">
        <v>1157</v>
      </c>
      <c r="D327" s="19" t="s">
        <v>1160</v>
      </c>
      <c r="E327" s="20" t="s">
        <v>32</v>
      </c>
      <c r="F327" s="19" t="s">
        <v>1157</v>
      </c>
      <c r="G327" s="19" t="s">
        <v>1161</v>
      </c>
      <c r="H327" s="19" t="s">
        <v>32</v>
      </c>
      <c r="I327">
        <v>0</v>
      </c>
      <c r="J327">
        <v>1</v>
      </c>
      <c r="K327" s="1"/>
    </row>
    <row r="328" spans="1:11">
      <c r="A328" s="17" t="s">
        <v>771</v>
      </c>
      <c r="B328" s="19" t="s">
        <v>50</v>
      </c>
      <c r="C328" s="19" t="s">
        <v>1162</v>
      </c>
      <c r="D328" s="19" t="s">
        <v>1163</v>
      </c>
      <c r="E328" s="20" t="s">
        <v>32</v>
      </c>
      <c r="F328" s="19" t="s">
        <v>1162</v>
      </c>
      <c r="G328" s="19" t="s">
        <v>1164</v>
      </c>
      <c r="H328" s="19" t="s">
        <v>32</v>
      </c>
      <c r="I328">
        <v>0</v>
      </c>
      <c r="J328">
        <v>13</v>
      </c>
      <c r="K328" s="1"/>
    </row>
    <row r="329" spans="1:11">
      <c r="A329" s="17" t="s">
        <v>771</v>
      </c>
      <c r="B329" s="19" t="s">
        <v>50</v>
      </c>
      <c r="C329" s="19" t="s">
        <v>1162</v>
      </c>
      <c r="D329" s="19" t="s">
        <v>1165</v>
      </c>
      <c r="E329" s="20" t="s">
        <v>32</v>
      </c>
      <c r="F329" s="19" t="s">
        <v>1162</v>
      </c>
      <c r="G329" s="19" t="s">
        <v>1166</v>
      </c>
      <c r="H329" s="19" t="s">
        <v>32</v>
      </c>
      <c r="I329">
        <v>0</v>
      </c>
      <c r="J329">
        <v>103</v>
      </c>
      <c r="K329" s="1"/>
    </row>
    <row r="330" spans="1:11">
      <c r="A330" s="17" t="s">
        <v>771</v>
      </c>
      <c r="B330" s="19" t="s">
        <v>50</v>
      </c>
      <c r="C330" s="19" t="s">
        <v>1167</v>
      </c>
      <c r="D330" s="19" t="s">
        <v>1168</v>
      </c>
      <c r="E330" s="20" t="s">
        <v>32</v>
      </c>
      <c r="F330" s="19" t="s">
        <v>1167</v>
      </c>
      <c r="G330" s="19" t="s">
        <v>1169</v>
      </c>
      <c r="H330" s="19" t="s">
        <v>32</v>
      </c>
      <c r="I330">
        <v>0</v>
      </c>
      <c r="J330">
        <v>14</v>
      </c>
      <c r="K330" s="1"/>
    </row>
    <row r="331" spans="1:11">
      <c r="A331" s="17" t="s">
        <v>771</v>
      </c>
      <c r="B331" s="19" t="s">
        <v>50</v>
      </c>
      <c r="C331" s="19" t="s">
        <v>1170</v>
      </c>
      <c r="D331" s="19" t="s">
        <v>1171</v>
      </c>
      <c r="E331" s="20" t="s">
        <v>32</v>
      </c>
      <c r="F331" s="19" t="s">
        <v>1170</v>
      </c>
      <c r="G331" s="19" t="s">
        <v>1172</v>
      </c>
      <c r="H331" s="19" t="s">
        <v>32</v>
      </c>
      <c r="I331">
        <v>0</v>
      </c>
      <c r="J331">
        <v>103</v>
      </c>
      <c r="K331" s="1"/>
    </row>
    <row r="332" spans="1:11">
      <c r="A332" s="17" t="s">
        <v>771</v>
      </c>
      <c r="B332" s="19" t="s">
        <v>50</v>
      </c>
      <c r="C332" s="19" t="s">
        <v>1173</v>
      </c>
      <c r="D332" s="19" t="s">
        <v>1174</v>
      </c>
      <c r="E332" s="20" t="s">
        <v>32</v>
      </c>
      <c r="F332" s="19" t="s">
        <v>1173</v>
      </c>
      <c r="G332" s="19" t="s">
        <v>1175</v>
      </c>
      <c r="H332" s="19" t="s">
        <v>32</v>
      </c>
      <c r="I332">
        <v>0</v>
      </c>
      <c r="J332">
        <v>25</v>
      </c>
      <c r="K332" s="1"/>
    </row>
    <row r="333" spans="1:11">
      <c r="A333" s="17" t="s">
        <v>771</v>
      </c>
      <c r="B333" s="19" t="s">
        <v>50</v>
      </c>
      <c r="C333" s="19" t="s">
        <v>1176</v>
      </c>
      <c r="D333" s="19" t="s">
        <v>1177</v>
      </c>
      <c r="E333" s="20" t="s">
        <v>32</v>
      </c>
      <c r="F333" s="19" t="s">
        <v>1176</v>
      </c>
      <c r="G333" s="19" t="s">
        <v>1178</v>
      </c>
      <c r="H333" s="19" t="s">
        <v>32</v>
      </c>
      <c r="I333">
        <v>0</v>
      </c>
      <c r="J333">
        <v>32</v>
      </c>
      <c r="K333" s="1"/>
    </row>
    <row r="334" spans="1:11">
      <c r="A334" s="17" t="s">
        <v>771</v>
      </c>
      <c r="B334" s="19" t="s">
        <v>50</v>
      </c>
      <c r="C334" s="19" t="s">
        <v>1179</v>
      </c>
      <c r="D334" s="19" t="s">
        <v>1180</v>
      </c>
      <c r="E334" s="20" t="s">
        <v>32</v>
      </c>
      <c r="F334" s="19" t="s">
        <v>1179</v>
      </c>
      <c r="G334" s="19" t="s">
        <v>1181</v>
      </c>
      <c r="H334" s="19" t="s">
        <v>32</v>
      </c>
      <c r="I334">
        <v>0</v>
      </c>
      <c r="J334">
        <v>1</v>
      </c>
      <c r="K334" s="1"/>
    </row>
    <row r="335" spans="1:11">
      <c r="A335" s="17" t="s">
        <v>771</v>
      </c>
      <c r="B335" s="19" t="s">
        <v>50</v>
      </c>
      <c r="C335" s="19" t="s">
        <v>1182</v>
      </c>
      <c r="D335" s="19" t="s">
        <v>1183</v>
      </c>
      <c r="E335" s="20" t="s">
        <v>32</v>
      </c>
      <c r="F335" s="19" t="s">
        <v>1182</v>
      </c>
      <c r="G335" s="19" t="s">
        <v>1184</v>
      </c>
      <c r="H335" s="19" t="s">
        <v>32</v>
      </c>
      <c r="I335">
        <v>0</v>
      </c>
      <c r="J335">
        <v>14</v>
      </c>
      <c r="K335" s="1"/>
    </row>
    <row r="336" spans="1:11">
      <c r="A336" s="17" t="s">
        <v>771</v>
      </c>
      <c r="B336" s="19" t="s">
        <v>50</v>
      </c>
      <c r="C336" s="19" t="s">
        <v>1182</v>
      </c>
      <c r="D336" s="19" t="s">
        <v>1185</v>
      </c>
      <c r="E336" s="20" t="s">
        <v>32</v>
      </c>
      <c r="F336" s="19" t="s">
        <v>1182</v>
      </c>
      <c r="G336" s="19" t="s">
        <v>1186</v>
      </c>
      <c r="H336" s="19" t="s">
        <v>32</v>
      </c>
      <c r="I336">
        <v>0</v>
      </c>
      <c r="J336">
        <v>1</v>
      </c>
      <c r="K336" s="1"/>
    </row>
    <row r="337" spans="1:11">
      <c r="A337" s="17" t="s">
        <v>771</v>
      </c>
      <c r="B337" s="19" t="s">
        <v>50</v>
      </c>
      <c r="C337" s="19" t="s">
        <v>1187</v>
      </c>
      <c r="D337" s="19" t="s">
        <v>1188</v>
      </c>
      <c r="E337" s="20" t="s">
        <v>32</v>
      </c>
      <c r="F337" s="19" t="s">
        <v>1187</v>
      </c>
      <c r="G337" s="19" t="s">
        <v>1189</v>
      </c>
      <c r="H337" s="19" t="s">
        <v>32</v>
      </c>
      <c r="I337">
        <v>0</v>
      </c>
      <c r="J337">
        <v>79</v>
      </c>
      <c r="K337" s="1"/>
    </row>
    <row r="338" spans="1:11">
      <c r="A338" s="17" t="s">
        <v>771</v>
      </c>
      <c r="B338" s="19" t="s">
        <v>50</v>
      </c>
      <c r="C338" s="19" t="s">
        <v>1187</v>
      </c>
      <c r="D338" s="19" t="s">
        <v>1190</v>
      </c>
      <c r="E338" s="20" t="s">
        <v>32</v>
      </c>
      <c r="F338" s="19" t="s">
        <v>1187</v>
      </c>
      <c r="G338" s="19" t="s">
        <v>1191</v>
      </c>
      <c r="H338" s="19" t="s">
        <v>32</v>
      </c>
      <c r="I338">
        <v>0</v>
      </c>
      <c r="J338">
        <v>43</v>
      </c>
      <c r="K338" s="1"/>
    </row>
    <row r="339" spans="1:11">
      <c r="A339" s="17" t="s">
        <v>771</v>
      </c>
      <c r="B339" s="19" t="s">
        <v>50</v>
      </c>
      <c r="C339" s="19" t="s">
        <v>1192</v>
      </c>
      <c r="D339" s="19" t="s">
        <v>1193</v>
      </c>
      <c r="E339" s="20" t="s">
        <v>32</v>
      </c>
      <c r="F339" s="19" t="s">
        <v>1192</v>
      </c>
      <c r="G339" s="19" t="s">
        <v>1194</v>
      </c>
      <c r="H339" s="19" t="s">
        <v>32</v>
      </c>
      <c r="I339">
        <v>0</v>
      </c>
      <c r="J339">
        <v>41</v>
      </c>
      <c r="K339" s="1"/>
    </row>
    <row r="340" spans="1:11">
      <c r="A340" s="17" t="s">
        <v>771</v>
      </c>
      <c r="B340" s="19" t="s">
        <v>50</v>
      </c>
      <c r="C340" s="19" t="s">
        <v>1195</v>
      </c>
      <c r="D340" s="19" t="s">
        <v>1196</v>
      </c>
      <c r="E340" s="20" t="s">
        <v>32</v>
      </c>
      <c r="F340" s="19" t="s">
        <v>1195</v>
      </c>
      <c r="G340" s="19" t="s">
        <v>1197</v>
      </c>
      <c r="H340" s="19" t="s">
        <v>32</v>
      </c>
      <c r="I340">
        <v>0</v>
      </c>
      <c r="J340">
        <v>21</v>
      </c>
      <c r="K340" s="1"/>
    </row>
    <row r="341" spans="1:11">
      <c r="A341" s="17" t="s">
        <v>771</v>
      </c>
      <c r="B341" s="19" t="s">
        <v>50</v>
      </c>
      <c r="C341" s="19" t="s">
        <v>1195</v>
      </c>
      <c r="D341" s="19" t="s">
        <v>1198</v>
      </c>
      <c r="E341" s="20" t="s">
        <v>32</v>
      </c>
      <c r="F341" s="19" t="s">
        <v>1195</v>
      </c>
      <c r="G341" s="19" t="s">
        <v>1199</v>
      </c>
      <c r="H341" s="19" t="s">
        <v>32</v>
      </c>
      <c r="I341">
        <v>0</v>
      </c>
      <c r="J341">
        <v>40</v>
      </c>
      <c r="K341" s="1"/>
    </row>
    <row r="342" spans="1:11">
      <c r="A342" s="17" t="s">
        <v>771</v>
      </c>
      <c r="B342" s="19" t="s">
        <v>50</v>
      </c>
      <c r="C342" s="19" t="s">
        <v>1195</v>
      </c>
      <c r="D342" s="19" t="s">
        <v>1200</v>
      </c>
      <c r="E342" s="20" t="s">
        <v>32</v>
      </c>
      <c r="F342" s="19" t="s">
        <v>1195</v>
      </c>
      <c r="G342" s="19" t="s">
        <v>1201</v>
      </c>
      <c r="H342" s="19" t="s">
        <v>32</v>
      </c>
      <c r="I342">
        <v>0</v>
      </c>
      <c r="J342">
        <v>1</v>
      </c>
      <c r="K342" s="1"/>
    </row>
    <row r="343" spans="1:11">
      <c r="A343" s="17" t="s">
        <v>771</v>
      </c>
      <c r="B343" s="19" t="s">
        <v>50</v>
      </c>
      <c r="C343" s="19" t="s">
        <v>1202</v>
      </c>
      <c r="D343" s="19" t="s">
        <v>1203</v>
      </c>
      <c r="E343" s="20" t="s">
        <v>32</v>
      </c>
      <c r="F343" s="19" t="s">
        <v>1202</v>
      </c>
      <c r="G343" s="19" t="s">
        <v>1204</v>
      </c>
      <c r="H343" s="19" t="s">
        <v>32</v>
      </c>
      <c r="I343">
        <v>0</v>
      </c>
      <c r="J343">
        <v>19</v>
      </c>
      <c r="K343" s="1"/>
    </row>
    <row r="344" spans="1:11">
      <c r="A344" s="17" t="s">
        <v>771</v>
      </c>
      <c r="B344" s="19" t="s">
        <v>50</v>
      </c>
      <c r="C344" s="19" t="s">
        <v>1202</v>
      </c>
      <c r="D344" s="19" t="s">
        <v>1205</v>
      </c>
      <c r="E344" s="20" t="s">
        <v>32</v>
      </c>
      <c r="F344" s="19" t="s">
        <v>1202</v>
      </c>
      <c r="G344" s="19" t="s">
        <v>1206</v>
      </c>
      <c r="H344" s="19" t="s">
        <v>32</v>
      </c>
      <c r="I344">
        <v>0</v>
      </c>
      <c r="J344">
        <v>77</v>
      </c>
      <c r="K344" s="1"/>
    </row>
    <row r="345" spans="1:11">
      <c r="A345" s="17" t="s">
        <v>771</v>
      </c>
      <c r="B345" s="19" t="s">
        <v>50</v>
      </c>
      <c r="C345" s="19" t="s">
        <v>1207</v>
      </c>
      <c r="D345" s="19" t="s">
        <v>1208</v>
      </c>
      <c r="E345" s="20" t="s">
        <v>32</v>
      </c>
      <c r="F345" s="19" t="s">
        <v>1207</v>
      </c>
      <c r="G345" s="19" t="s">
        <v>1209</v>
      </c>
      <c r="H345" s="19" t="s">
        <v>32</v>
      </c>
      <c r="I345">
        <v>0</v>
      </c>
      <c r="J345">
        <v>74</v>
      </c>
      <c r="K345" s="1"/>
    </row>
    <row r="346" spans="1:11">
      <c r="A346" s="17" t="s">
        <v>771</v>
      </c>
      <c r="B346" s="19" t="s">
        <v>50</v>
      </c>
      <c r="C346" s="19" t="s">
        <v>1207</v>
      </c>
      <c r="D346" s="19" t="s">
        <v>1210</v>
      </c>
      <c r="E346" s="20" t="s">
        <v>32</v>
      </c>
      <c r="F346" s="19" t="s">
        <v>1207</v>
      </c>
      <c r="G346" s="19" t="s">
        <v>1211</v>
      </c>
      <c r="H346" s="19" t="s">
        <v>32</v>
      </c>
      <c r="I346">
        <v>0</v>
      </c>
      <c r="J346">
        <v>70</v>
      </c>
      <c r="K346" s="1"/>
    </row>
    <row r="347" spans="1:11">
      <c r="A347" s="17" t="s">
        <v>771</v>
      </c>
      <c r="B347" s="19" t="s">
        <v>50</v>
      </c>
      <c r="C347" s="19" t="s">
        <v>1212</v>
      </c>
      <c r="D347" s="19" t="s">
        <v>1213</v>
      </c>
      <c r="E347" s="20" t="s">
        <v>32</v>
      </c>
      <c r="F347" s="19" t="s">
        <v>1212</v>
      </c>
      <c r="G347" s="19" t="s">
        <v>1214</v>
      </c>
      <c r="H347" s="19" t="s">
        <v>32</v>
      </c>
      <c r="I347">
        <v>0</v>
      </c>
      <c r="J347">
        <v>341</v>
      </c>
      <c r="K347" s="1"/>
    </row>
    <row r="348" spans="1:11">
      <c r="A348" s="17" t="s">
        <v>771</v>
      </c>
      <c r="B348" s="19" t="s">
        <v>50</v>
      </c>
      <c r="C348" s="19" t="s">
        <v>1215</v>
      </c>
      <c r="D348" s="19" t="s">
        <v>1216</v>
      </c>
      <c r="E348" s="20" t="s">
        <v>32</v>
      </c>
      <c r="F348" s="19" t="s">
        <v>1215</v>
      </c>
      <c r="G348" s="19" t="s">
        <v>1217</v>
      </c>
      <c r="H348" s="19" t="s">
        <v>32</v>
      </c>
      <c r="I348">
        <v>0</v>
      </c>
      <c r="J348">
        <v>649</v>
      </c>
      <c r="K348" s="1"/>
    </row>
    <row r="349" spans="1:11">
      <c r="A349" s="17" t="s">
        <v>771</v>
      </c>
      <c r="B349" s="19" t="s">
        <v>50</v>
      </c>
      <c r="C349" s="19" t="s">
        <v>1218</v>
      </c>
      <c r="D349" s="19" t="s">
        <v>1219</v>
      </c>
      <c r="E349" s="20" t="s">
        <v>32</v>
      </c>
      <c r="F349" s="19" t="s">
        <v>1218</v>
      </c>
      <c r="G349" s="19" t="s">
        <v>1220</v>
      </c>
      <c r="H349" s="19" t="s">
        <v>32</v>
      </c>
      <c r="I349">
        <v>0</v>
      </c>
      <c r="J349">
        <v>17</v>
      </c>
      <c r="K349" s="1"/>
    </row>
    <row r="350" spans="1:11">
      <c r="A350" s="17" t="s">
        <v>771</v>
      </c>
      <c r="B350" s="19" t="s">
        <v>50</v>
      </c>
      <c r="C350" s="19" t="s">
        <v>1218</v>
      </c>
      <c r="D350" s="19" t="s">
        <v>1221</v>
      </c>
      <c r="E350" s="20" t="s">
        <v>32</v>
      </c>
      <c r="F350" s="19" t="s">
        <v>1218</v>
      </c>
      <c r="G350" s="19" t="s">
        <v>1222</v>
      </c>
      <c r="H350" s="19" t="s">
        <v>32</v>
      </c>
      <c r="I350">
        <v>0</v>
      </c>
      <c r="J350">
        <v>138</v>
      </c>
      <c r="K350" s="1"/>
    </row>
    <row r="351" spans="1:11">
      <c r="A351" s="17" t="s">
        <v>771</v>
      </c>
      <c r="B351" s="19" t="s">
        <v>50</v>
      </c>
      <c r="C351" s="19" t="s">
        <v>1218</v>
      </c>
      <c r="D351" s="19" t="s">
        <v>1223</v>
      </c>
      <c r="E351" s="20" t="s">
        <v>32</v>
      </c>
      <c r="F351" s="19" t="s">
        <v>1218</v>
      </c>
      <c r="G351" s="19" t="s">
        <v>1224</v>
      </c>
      <c r="H351" s="19" t="s">
        <v>32</v>
      </c>
      <c r="I351">
        <v>0</v>
      </c>
      <c r="J351">
        <v>1</v>
      </c>
      <c r="K351" s="1"/>
    </row>
    <row r="352" spans="1:11">
      <c r="A352" s="17" t="s">
        <v>771</v>
      </c>
      <c r="B352" s="19" t="s">
        <v>50</v>
      </c>
      <c r="C352" s="19" t="s">
        <v>1225</v>
      </c>
      <c r="D352" s="19" t="s">
        <v>1226</v>
      </c>
      <c r="E352" s="20" t="s">
        <v>32</v>
      </c>
      <c r="F352" s="19" t="s">
        <v>1225</v>
      </c>
      <c r="G352" s="19" t="s">
        <v>1227</v>
      </c>
      <c r="H352" s="19" t="s">
        <v>32</v>
      </c>
      <c r="I352">
        <v>0</v>
      </c>
      <c r="J352">
        <v>55</v>
      </c>
      <c r="K352" s="1"/>
    </row>
    <row r="353" spans="1:11">
      <c r="A353" s="17" t="s">
        <v>771</v>
      </c>
      <c r="B353" s="19" t="s">
        <v>50</v>
      </c>
      <c r="C353" s="19" t="s">
        <v>1228</v>
      </c>
      <c r="D353" s="19" t="s">
        <v>1229</v>
      </c>
      <c r="E353" s="20" t="s">
        <v>32</v>
      </c>
      <c r="F353" s="19" t="s">
        <v>1228</v>
      </c>
      <c r="G353" s="19" t="s">
        <v>1230</v>
      </c>
      <c r="H353" s="19" t="s">
        <v>32</v>
      </c>
      <c r="I353">
        <v>0</v>
      </c>
      <c r="J353">
        <v>33</v>
      </c>
      <c r="K353" s="1"/>
    </row>
    <row r="354" spans="1:11">
      <c r="A354" s="17" t="s">
        <v>771</v>
      </c>
      <c r="B354" s="19" t="s">
        <v>50</v>
      </c>
      <c r="C354" s="19" t="s">
        <v>1231</v>
      </c>
      <c r="D354" s="19" t="s">
        <v>1232</v>
      </c>
      <c r="E354" s="20" t="s">
        <v>32</v>
      </c>
      <c r="F354" s="19" t="s">
        <v>1231</v>
      </c>
      <c r="G354" s="19" t="s">
        <v>1233</v>
      </c>
      <c r="H354" s="19" t="s">
        <v>32</v>
      </c>
      <c r="I354">
        <v>0</v>
      </c>
      <c r="J354">
        <v>47</v>
      </c>
      <c r="K354" s="1"/>
    </row>
    <row r="355" spans="1:11">
      <c r="A355" s="17" t="s">
        <v>771</v>
      </c>
      <c r="B355" s="19" t="s">
        <v>50</v>
      </c>
      <c r="C355" s="19" t="s">
        <v>1234</v>
      </c>
      <c r="D355" s="19" t="s">
        <v>1235</v>
      </c>
      <c r="E355" s="20" t="s">
        <v>32</v>
      </c>
      <c r="F355" s="19" t="s">
        <v>1234</v>
      </c>
      <c r="G355" s="19" t="s">
        <v>1236</v>
      </c>
      <c r="H355" s="19" t="s">
        <v>32</v>
      </c>
      <c r="I355">
        <v>0</v>
      </c>
      <c r="J355">
        <v>30</v>
      </c>
      <c r="K355" s="1"/>
    </row>
    <row r="356" spans="1:11">
      <c r="A356" s="17" t="s">
        <v>771</v>
      </c>
      <c r="B356" s="19" t="s">
        <v>50</v>
      </c>
      <c r="C356" s="19" t="s">
        <v>1237</v>
      </c>
      <c r="D356" s="19" t="s">
        <v>1238</v>
      </c>
      <c r="E356" s="20" t="s">
        <v>32</v>
      </c>
      <c r="F356" s="19" t="s">
        <v>1237</v>
      </c>
      <c r="G356" s="19" t="s">
        <v>1239</v>
      </c>
      <c r="H356" s="19" t="s">
        <v>32</v>
      </c>
      <c r="I356">
        <v>0</v>
      </c>
      <c r="J356">
        <v>32</v>
      </c>
      <c r="K356" s="1"/>
    </row>
    <row r="357" spans="1:11">
      <c r="A357" s="17" t="s">
        <v>771</v>
      </c>
      <c r="B357" s="19" t="s">
        <v>50</v>
      </c>
      <c r="C357" s="19" t="s">
        <v>1237</v>
      </c>
      <c r="D357" s="19" t="s">
        <v>1240</v>
      </c>
      <c r="E357" s="20" t="s">
        <v>32</v>
      </c>
      <c r="F357" s="19" t="s">
        <v>1237</v>
      </c>
      <c r="G357" s="19" t="s">
        <v>1241</v>
      </c>
      <c r="H357" s="19" t="s">
        <v>32</v>
      </c>
      <c r="I357">
        <v>0</v>
      </c>
      <c r="J357">
        <v>1</v>
      </c>
      <c r="K357" s="1"/>
    </row>
    <row r="358" spans="1:11">
      <c r="A358" s="17" t="s">
        <v>771</v>
      </c>
      <c r="B358" s="19" t="s">
        <v>50</v>
      </c>
      <c r="C358" s="19" t="s">
        <v>1242</v>
      </c>
      <c r="D358" s="19" t="s">
        <v>1243</v>
      </c>
      <c r="E358" s="20" t="s">
        <v>32</v>
      </c>
      <c r="F358" s="19" t="s">
        <v>1242</v>
      </c>
      <c r="G358" s="19" t="s">
        <v>1244</v>
      </c>
      <c r="H358" s="19" t="s">
        <v>32</v>
      </c>
      <c r="I358">
        <v>0</v>
      </c>
      <c r="J358">
        <v>33</v>
      </c>
      <c r="K358" s="1"/>
    </row>
    <row r="359" spans="1:11">
      <c r="A359" s="17" t="s">
        <v>771</v>
      </c>
      <c r="B359" s="19" t="s">
        <v>50</v>
      </c>
      <c r="C359" s="19" t="s">
        <v>1245</v>
      </c>
      <c r="D359" s="19" t="s">
        <v>1246</v>
      </c>
      <c r="E359" s="20" t="s">
        <v>32</v>
      </c>
      <c r="F359" s="19" t="s">
        <v>1245</v>
      </c>
      <c r="G359" s="19" t="s">
        <v>1247</v>
      </c>
      <c r="H359" s="19" t="s">
        <v>32</v>
      </c>
      <c r="I359">
        <v>0</v>
      </c>
      <c r="J359">
        <v>81</v>
      </c>
      <c r="K359" s="1"/>
    </row>
    <row r="360" spans="1:11">
      <c r="A360" s="17" t="s">
        <v>771</v>
      </c>
      <c r="B360" s="19" t="s">
        <v>50</v>
      </c>
      <c r="C360" s="19" t="s">
        <v>1248</v>
      </c>
      <c r="D360" s="19" t="s">
        <v>1249</v>
      </c>
      <c r="E360" s="20" t="s">
        <v>32</v>
      </c>
      <c r="F360" s="19" t="s">
        <v>1248</v>
      </c>
      <c r="G360" s="19" t="s">
        <v>1250</v>
      </c>
      <c r="H360" s="19" t="s">
        <v>32</v>
      </c>
      <c r="I360">
        <v>0</v>
      </c>
      <c r="J360">
        <v>33</v>
      </c>
      <c r="K360" s="1"/>
    </row>
    <row r="361" spans="1:11">
      <c r="A361" s="17" t="s">
        <v>771</v>
      </c>
      <c r="B361" s="19" t="s">
        <v>50</v>
      </c>
      <c r="C361" s="19" t="s">
        <v>1248</v>
      </c>
      <c r="D361" s="19" t="s">
        <v>1251</v>
      </c>
      <c r="E361" s="20" t="s">
        <v>32</v>
      </c>
      <c r="F361" s="19" t="s">
        <v>1248</v>
      </c>
      <c r="G361" s="19" t="s">
        <v>1252</v>
      </c>
      <c r="H361" s="19" t="s">
        <v>32</v>
      </c>
      <c r="I361">
        <v>0</v>
      </c>
      <c r="J361">
        <v>127</v>
      </c>
      <c r="K361" s="1"/>
    </row>
    <row r="362" spans="1:11">
      <c r="A362" s="17" t="s">
        <v>771</v>
      </c>
      <c r="B362" s="19" t="s">
        <v>50</v>
      </c>
      <c r="C362" s="19" t="s">
        <v>1253</v>
      </c>
      <c r="D362" s="19" t="s">
        <v>1254</v>
      </c>
      <c r="E362" s="20" t="s">
        <v>32</v>
      </c>
      <c r="F362" s="19" t="s">
        <v>1253</v>
      </c>
      <c r="G362" s="19" t="s">
        <v>1255</v>
      </c>
      <c r="H362" s="19" t="s">
        <v>32</v>
      </c>
      <c r="I362">
        <v>0</v>
      </c>
      <c r="J362">
        <v>78</v>
      </c>
      <c r="K362" s="1"/>
    </row>
    <row r="363" spans="1:11">
      <c r="A363" s="17" t="s">
        <v>771</v>
      </c>
      <c r="B363" s="19" t="s">
        <v>50</v>
      </c>
      <c r="C363" s="19" t="s">
        <v>1256</v>
      </c>
      <c r="D363" s="19" t="s">
        <v>1257</v>
      </c>
      <c r="E363" s="20" t="s">
        <v>32</v>
      </c>
      <c r="F363" s="19" t="s">
        <v>1256</v>
      </c>
      <c r="G363" s="19" t="s">
        <v>1258</v>
      </c>
      <c r="H363" s="19" t="s">
        <v>32</v>
      </c>
      <c r="I363">
        <v>0</v>
      </c>
      <c r="J363">
        <v>39</v>
      </c>
      <c r="K363" s="1"/>
    </row>
    <row r="364" spans="1:11">
      <c r="A364" s="17" t="s">
        <v>771</v>
      </c>
      <c r="B364" s="19" t="s">
        <v>50</v>
      </c>
      <c r="C364" s="19" t="s">
        <v>1256</v>
      </c>
      <c r="D364" s="19" t="s">
        <v>1259</v>
      </c>
      <c r="E364" s="20" t="s">
        <v>32</v>
      </c>
      <c r="F364" s="19" t="s">
        <v>1256</v>
      </c>
      <c r="G364" s="19" t="s">
        <v>1260</v>
      </c>
      <c r="H364" s="19" t="s">
        <v>32</v>
      </c>
      <c r="I364">
        <v>0</v>
      </c>
      <c r="J364">
        <v>2</v>
      </c>
      <c r="K364" s="1"/>
    </row>
    <row r="365" spans="1:11">
      <c r="A365" s="17" t="s">
        <v>771</v>
      </c>
      <c r="B365" s="19" t="s">
        <v>50</v>
      </c>
      <c r="C365" s="19" t="s">
        <v>1261</v>
      </c>
      <c r="D365" s="19" t="s">
        <v>1262</v>
      </c>
      <c r="E365" s="20" t="s">
        <v>32</v>
      </c>
      <c r="F365" s="19" t="s">
        <v>1261</v>
      </c>
      <c r="G365" s="19" t="s">
        <v>1263</v>
      </c>
      <c r="H365" s="19" t="s">
        <v>32</v>
      </c>
      <c r="I365">
        <v>0</v>
      </c>
      <c r="J365">
        <v>42</v>
      </c>
      <c r="K365" s="1"/>
    </row>
    <row r="366" spans="1:11">
      <c r="A366" s="17" t="s">
        <v>771</v>
      </c>
      <c r="B366" s="19" t="s">
        <v>50</v>
      </c>
      <c r="C366" s="19" t="s">
        <v>1261</v>
      </c>
      <c r="D366" s="19" t="s">
        <v>1264</v>
      </c>
      <c r="E366" s="20" t="s">
        <v>32</v>
      </c>
      <c r="F366" s="19" t="s">
        <v>1261</v>
      </c>
      <c r="G366" s="19" t="s">
        <v>1265</v>
      </c>
      <c r="H366" s="19" t="s">
        <v>32</v>
      </c>
      <c r="I366">
        <v>0</v>
      </c>
      <c r="J366">
        <v>76</v>
      </c>
      <c r="K366" s="1"/>
    </row>
    <row r="367" spans="1:11">
      <c r="A367" s="17" t="s">
        <v>771</v>
      </c>
      <c r="B367" s="19" t="s">
        <v>50</v>
      </c>
      <c r="C367" s="19" t="s">
        <v>1266</v>
      </c>
      <c r="D367" s="19" t="s">
        <v>1267</v>
      </c>
      <c r="E367" s="20" t="s">
        <v>32</v>
      </c>
      <c r="F367" s="19" t="s">
        <v>1266</v>
      </c>
      <c r="G367" s="19" t="s">
        <v>1268</v>
      </c>
      <c r="H367" s="19" t="s">
        <v>32</v>
      </c>
      <c r="I367">
        <v>0</v>
      </c>
      <c r="J367">
        <v>1</v>
      </c>
      <c r="K367" s="1"/>
    </row>
    <row r="368" spans="1:11">
      <c r="A368" s="17" t="s">
        <v>771</v>
      </c>
      <c r="B368" s="19" t="s">
        <v>50</v>
      </c>
      <c r="C368" s="19" t="s">
        <v>1269</v>
      </c>
      <c r="D368" s="19" t="s">
        <v>1270</v>
      </c>
      <c r="E368" s="20" t="s">
        <v>32</v>
      </c>
      <c r="F368" s="19" t="s">
        <v>1266</v>
      </c>
      <c r="G368" s="19" t="s">
        <v>1271</v>
      </c>
      <c r="H368" s="19" t="s">
        <v>32</v>
      </c>
      <c r="I368">
        <v>0</v>
      </c>
      <c r="J368">
        <v>28</v>
      </c>
      <c r="K368" s="1"/>
    </row>
    <row r="369" spans="1:11">
      <c r="A369" s="17" t="s">
        <v>771</v>
      </c>
      <c r="B369" s="19" t="s">
        <v>50</v>
      </c>
      <c r="C369" s="19" t="s">
        <v>1269</v>
      </c>
      <c r="D369" s="19" t="s">
        <v>1272</v>
      </c>
      <c r="E369" s="20" t="s">
        <v>32</v>
      </c>
      <c r="F369" s="19" t="s">
        <v>1269</v>
      </c>
      <c r="G369" s="19" t="s">
        <v>1273</v>
      </c>
      <c r="H369" s="19" t="s">
        <v>32</v>
      </c>
      <c r="I369">
        <v>0</v>
      </c>
      <c r="J369">
        <v>54</v>
      </c>
      <c r="K369" s="1"/>
    </row>
    <row r="370" spans="1:11">
      <c r="A370" s="17" t="s">
        <v>771</v>
      </c>
      <c r="B370" s="19" t="s">
        <v>50</v>
      </c>
      <c r="C370" s="19" t="s">
        <v>1274</v>
      </c>
      <c r="D370" s="19" t="s">
        <v>1275</v>
      </c>
      <c r="E370" s="20" t="s">
        <v>32</v>
      </c>
      <c r="F370" s="19" t="s">
        <v>1276</v>
      </c>
      <c r="G370" s="19" t="s">
        <v>1277</v>
      </c>
      <c r="H370" s="19" t="s">
        <v>32</v>
      </c>
      <c r="I370">
        <v>0</v>
      </c>
      <c r="J370">
        <v>174</v>
      </c>
      <c r="K370" s="1"/>
    </row>
    <row r="371" spans="1:11">
      <c r="A371" s="17" t="s">
        <v>771</v>
      </c>
      <c r="B371" s="19" t="s">
        <v>50</v>
      </c>
      <c r="C371" s="19" t="s">
        <v>1274</v>
      </c>
      <c r="D371" s="19" t="s">
        <v>1278</v>
      </c>
      <c r="E371" s="20" t="s">
        <v>32</v>
      </c>
      <c r="F371" s="19" t="s">
        <v>1274</v>
      </c>
      <c r="G371" s="19" t="s">
        <v>1279</v>
      </c>
      <c r="H371" s="19" t="s">
        <v>32</v>
      </c>
      <c r="I371">
        <v>0</v>
      </c>
      <c r="J371">
        <v>242</v>
      </c>
      <c r="K371" s="1"/>
    </row>
    <row r="372" spans="1:11">
      <c r="A372" s="17" t="s">
        <v>771</v>
      </c>
      <c r="B372" s="19" t="s">
        <v>50</v>
      </c>
      <c r="C372" s="19" t="s">
        <v>1274</v>
      </c>
      <c r="D372" s="19" t="s">
        <v>1280</v>
      </c>
      <c r="E372" s="20" t="s">
        <v>32</v>
      </c>
      <c r="F372" s="19" t="s">
        <v>1274</v>
      </c>
      <c r="G372" s="19" t="s">
        <v>1281</v>
      </c>
      <c r="H372" s="19" t="s">
        <v>32</v>
      </c>
      <c r="I372">
        <v>0</v>
      </c>
      <c r="J372">
        <v>521</v>
      </c>
      <c r="K372" s="1"/>
    </row>
    <row r="373" spans="1:11">
      <c r="A373" s="17" t="s">
        <v>771</v>
      </c>
      <c r="B373" s="19" t="s">
        <v>50</v>
      </c>
      <c r="C373" s="19" t="s">
        <v>1282</v>
      </c>
      <c r="D373" s="19" t="s">
        <v>1283</v>
      </c>
      <c r="E373" s="20" t="s">
        <v>32</v>
      </c>
      <c r="F373" s="19" t="s">
        <v>1282</v>
      </c>
      <c r="G373" s="19" t="s">
        <v>1284</v>
      </c>
      <c r="H373" s="19" t="s">
        <v>32</v>
      </c>
      <c r="I373">
        <v>0</v>
      </c>
      <c r="J373">
        <v>28</v>
      </c>
      <c r="K373" s="1"/>
    </row>
    <row r="374" spans="1:11">
      <c r="A374" s="17" t="s">
        <v>771</v>
      </c>
      <c r="B374" s="19" t="s">
        <v>50</v>
      </c>
      <c r="C374" s="19" t="s">
        <v>1282</v>
      </c>
      <c r="D374" s="19" t="s">
        <v>1285</v>
      </c>
      <c r="E374" s="20" t="s">
        <v>32</v>
      </c>
      <c r="F374" s="19" t="s">
        <v>1282</v>
      </c>
      <c r="G374" s="19" t="s">
        <v>1286</v>
      </c>
      <c r="H374" s="19" t="s">
        <v>32</v>
      </c>
      <c r="I374">
        <v>0</v>
      </c>
      <c r="J374">
        <v>55</v>
      </c>
      <c r="K374" s="1"/>
    </row>
    <row r="375" spans="1:11">
      <c r="A375" s="17" t="s">
        <v>771</v>
      </c>
      <c r="B375" s="19" t="s">
        <v>50</v>
      </c>
      <c r="C375" s="19" t="s">
        <v>1282</v>
      </c>
      <c r="D375" s="19" t="s">
        <v>1287</v>
      </c>
      <c r="E375" s="20" t="s">
        <v>32</v>
      </c>
      <c r="F375" s="19" t="s">
        <v>1282</v>
      </c>
      <c r="G375" s="19" t="s">
        <v>1288</v>
      </c>
      <c r="H375" s="19" t="s">
        <v>32</v>
      </c>
      <c r="I375">
        <v>0</v>
      </c>
      <c r="J375">
        <v>2</v>
      </c>
      <c r="K375" s="1"/>
    </row>
    <row r="376" spans="1:11">
      <c r="A376" s="17" t="s">
        <v>771</v>
      </c>
      <c r="B376" s="19" t="s">
        <v>50</v>
      </c>
      <c r="C376" s="19" t="s">
        <v>1289</v>
      </c>
      <c r="D376" s="19" t="s">
        <v>1290</v>
      </c>
      <c r="E376" s="20" t="s">
        <v>32</v>
      </c>
      <c r="F376" s="19" t="s">
        <v>1289</v>
      </c>
      <c r="G376" s="19" t="s">
        <v>1291</v>
      </c>
      <c r="H376" s="19" t="s">
        <v>32</v>
      </c>
      <c r="I376">
        <v>0</v>
      </c>
      <c r="J376">
        <v>22</v>
      </c>
      <c r="K376" s="1"/>
    </row>
    <row r="377" spans="1:11">
      <c r="A377" s="17" t="s">
        <v>771</v>
      </c>
      <c r="B377" s="19" t="s">
        <v>50</v>
      </c>
      <c r="C377" s="19" t="s">
        <v>1289</v>
      </c>
      <c r="D377" s="19" t="s">
        <v>1292</v>
      </c>
      <c r="E377" s="20" t="s">
        <v>32</v>
      </c>
      <c r="F377" s="19" t="s">
        <v>1289</v>
      </c>
      <c r="G377" s="19" t="s">
        <v>1293</v>
      </c>
      <c r="H377" s="19" t="s">
        <v>32</v>
      </c>
      <c r="I377">
        <v>0</v>
      </c>
      <c r="J377">
        <v>45</v>
      </c>
      <c r="K377" s="1"/>
    </row>
    <row r="378" spans="1:11">
      <c r="A378" s="17" t="s">
        <v>771</v>
      </c>
      <c r="B378" s="19" t="s">
        <v>50</v>
      </c>
      <c r="C378" s="19" t="s">
        <v>1289</v>
      </c>
      <c r="D378" s="19" t="s">
        <v>1294</v>
      </c>
      <c r="E378" s="20" t="s">
        <v>32</v>
      </c>
      <c r="F378" s="19" t="s">
        <v>1289</v>
      </c>
      <c r="G378" s="19" t="s">
        <v>1295</v>
      </c>
      <c r="H378" s="19" t="s">
        <v>32</v>
      </c>
      <c r="I378">
        <v>0</v>
      </c>
      <c r="J378">
        <v>1</v>
      </c>
      <c r="K378" s="1"/>
    </row>
    <row r="379" spans="1:11">
      <c r="A379" s="17" t="s">
        <v>771</v>
      </c>
      <c r="B379" s="19" t="s">
        <v>50</v>
      </c>
      <c r="C379" s="19" t="s">
        <v>1296</v>
      </c>
      <c r="D379" s="19" t="s">
        <v>1297</v>
      </c>
      <c r="E379" s="20" t="s">
        <v>32</v>
      </c>
      <c r="F379" s="19" t="s">
        <v>1296</v>
      </c>
      <c r="G379" s="19" t="s">
        <v>1298</v>
      </c>
      <c r="H379" s="19" t="s">
        <v>32</v>
      </c>
      <c r="I379">
        <v>0</v>
      </c>
      <c r="J379">
        <v>132</v>
      </c>
      <c r="K379" s="1"/>
    </row>
    <row r="380" spans="1:11">
      <c r="A380" s="17" t="s">
        <v>771</v>
      </c>
      <c r="B380" s="19" t="s">
        <v>50</v>
      </c>
      <c r="C380" s="19" t="s">
        <v>1299</v>
      </c>
      <c r="D380" s="19" t="s">
        <v>1300</v>
      </c>
      <c r="E380" s="20" t="s">
        <v>32</v>
      </c>
      <c r="F380" s="19" t="s">
        <v>1299</v>
      </c>
      <c r="G380" s="19" t="s">
        <v>1301</v>
      </c>
      <c r="H380" s="19" t="s">
        <v>32</v>
      </c>
      <c r="I380">
        <v>0</v>
      </c>
      <c r="J380">
        <v>32</v>
      </c>
      <c r="K380" s="1"/>
    </row>
    <row r="381" spans="1:11">
      <c r="A381" s="17" t="s">
        <v>771</v>
      </c>
      <c r="B381" s="19" t="s">
        <v>50</v>
      </c>
      <c r="C381" s="19" t="s">
        <v>1299</v>
      </c>
      <c r="D381" s="19" t="s">
        <v>1302</v>
      </c>
      <c r="E381" s="20" t="s">
        <v>32</v>
      </c>
      <c r="F381" s="19" t="s">
        <v>1299</v>
      </c>
      <c r="G381" s="19" t="s">
        <v>1303</v>
      </c>
      <c r="H381" s="19" t="s">
        <v>32</v>
      </c>
      <c r="I381">
        <v>0</v>
      </c>
      <c r="J381">
        <v>64</v>
      </c>
      <c r="K381" s="1"/>
    </row>
    <row r="382" spans="1:11">
      <c r="A382" s="17" t="s">
        <v>771</v>
      </c>
      <c r="B382" s="19" t="s">
        <v>50</v>
      </c>
      <c r="C382" s="19" t="s">
        <v>1304</v>
      </c>
      <c r="D382" s="19" t="s">
        <v>1305</v>
      </c>
      <c r="E382" s="20" t="s">
        <v>32</v>
      </c>
      <c r="F382" s="19" t="s">
        <v>1304</v>
      </c>
      <c r="G382" s="19" t="s">
        <v>1306</v>
      </c>
      <c r="H382" s="19" t="s">
        <v>32</v>
      </c>
      <c r="I382">
        <v>0</v>
      </c>
      <c r="J382">
        <v>34</v>
      </c>
      <c r="K382" s="1"/>
    </row>
    <row r="383" spans="1:11">
      <c r="A383" s="17" t="s">
        <v>771</v>
      </c>
      <c r="B383" s="19" t="s">
        <v>50</v>
      </c>
      <c r="C383" s="19" t="s">
        <v>1304</v>
      </c>
      <c r="D383" s="19" t="s">
        <v>1307</v>
      </c>
      <c r="E383" s="20" t="s">
        <v>32</v>
      </c>
      <c r="F383" s="19" t="s">
        <v>1304</v>
      </c>
      <c r="G383" s="19" t="s">
        <v>1308</v>
      </c>
      <c r="H383" s="19" t="s">
        <v>32</v>
      </c>
      <c r="I383">
        <v>0</v>
      </c>
      <c r="J383">
        <v>2</v>
      </c>
      <c r="K383" s="1"/>
    </row>
    <row r="384" spans="1:11">
      <c r="A384" s="17" t="s">
        <v>771</v>
      </c>
      <c r="B384" s="19" t="s">
        <v>50</v>
      </c>
      <c r="C384" s="19" t="s">
        <v>1309</v>
      </c>
      <c r="D384" s="19" t="s">
        <v>1310</v>
      </c>
      <c r="E384" s="20" t="s">
        <v>32</v>
      </c>
      <c r="F384" s="19" t="s">
        <v>1309</v>
      </c>
      <c r="G384" s="19" t="s">
        <v>1311</v>
      </c>
      <c r="H384" s="19" t="s">
        <v>32</v>
      </c>
      <c r="I384">
        <v>0</v>
      </c>
      <c r="J384">
        <v>21</v>
      </c>
      <c r="K384" s="1"/>
    </row>
    <row r="385" spans="1:11">
      <c r="A385" s="17" t="s">
        <v>771</v>
      </c>
      <c r="B385" s="19" t="s">
        <v>50</v>
      </c>
      <c r="C385" s="19" t="s">
        <v>1309</v>
      </c>
      <c r="D385" s="19" t="s">
        <v>1312</v>
      </c>
      <c r="E385" s="20" t="s">
        <v>32</v>
      </c>
      <c r="F385" s="19" t="s">
        <v>1309</v>
      </c>
      <c r="G385" s="19" t="s">
        <v>1313</v>
      </c>
      <c r="H385" s="19" t="s">
        <v>32</v>
      </c>
      <c r="I385">
        <v>0</v>
      </c>
      <c r="J385">
        <v>1</v>
      </c>
      <c r="K385" s="1"/>
    </row>
    <row r="386" spans="1:11">
      <c r="A386" s="17" t="s">
        <v>771</v>
      </c>
      <c r="B386" s="19" t="s">
        <v>50</v>
      </c>
      <c r="C386" s="19" t="s">
        <v>1314</v>
      </c>
      <c r="D386" s="19" t="s">
        <v>1315</v>
      </c>
      <c r="E386" s="20" t="s">
        <v>32</v>
      </c>
      <c r="F386" s="19" t="s">
        <v>1314</v>
      </c>
      <c r="G386" s="19" t="s">
        <v>1316</v>
      </c>
      <c r="H386" s="19" t="s">
        <v>32</v>
      </c>
      <c r="I386">
        <v>0</v>
      </c>
      <c r="J386">
        <v>80</v>
      </c>
      <c r="K386" s="1"/>
    </row>
    <row r="387" spans="1:11">
      <c r="A387" s="17" t="s">
        <v>771</v>
      </c>
      <c r="B387" s="19" t="s">
        <v>50</v>
      </c>
      <c r="C387" s="19" t="s">
        <v>1317</v>
      </c>
      <c r="D387" s="19" t="s">
        <v>1318</v>
      </c>
      <c r="E387" s="20" t="s">
        <v>32</v>
      </c>
      <c r="F387" s="19" t="s">
        <v>1317</v>
      </c>
      <c r="G387" s="19" t="s">
        <v>1319</v>
      </c>
      <c r="H387" s="19" t="s">
        <v>32</v>
      </c>
      <c r="I387">
        <v>0</v>
      </c>
      <c r="J387">
        <v>102</v>
      </c>
      <c r="K387" s="1"/>
    </row>
    <row r="388" spans="1:11">
      <c r="A388" s="17" t="s">
        <v>771</v>
      </c>
      <c r="B388" s="19" t="s">
        <v>50</v>
      </c>
      <c r="C388" s="19" t="s">
        <v>1320</v>
      </c>
      <c r="D388" s="19" t="s">
        <v>1321</v>
      </c>
      <c r="E388" s="20" t="s">
        <v>32</v>
      </c>
      <c r="F388" s="19" t="s">
        <v>1320</v>
      </c>
      <c r="G388" s="19" t="s">
        <v>1322</v>
      </c>
      <c r="H388" s="19" t="s">
        <v>32</v>
      </c>
      <c r="I388">
        <v>0</v>
      </c>
      <c r="J388">
        <v>30</v>
      </c>
      <c r="K388" s="1"/>
    </row>
    <row r="389" spans="1:11">
      <c r="A389" s="17" t="s">
        <v>771</v>
      </c>
      <c r="B389" s="19" t="s">
        <v>50</v>
      </c>
      <c r="C389" s="19" t="s">
        <v>1323</v>
      </c>
      <c r="D389" s="19" t="s">
        <v>1324</v>
      </c>
      <c r="E389" s="20" t="s">
        <v>32</v>
      </c>
      <c r="F389" s="19" t="s">
        <v>1323</v>
      </c>
      <c r="G389" s="19" t="s">
        <v>1325</v>
      </c>
      <c r="H389" s="19" t="s">
        <v>32</v>
      </c>
      <c r="I389">
        <v>0</v>
      </c>
      <c r="J389">
        <v>45</v>
      </c>
      <c r="K389" s="1"/>
    </row>
    <row r="390" spans="1:11">
      <c r="A390" s="17" t="s">
        <v>771</v>
      </c>
      <c r="B390" s="19" t="s">
        <v>50</v>
      </c>
      <c r="C390" s="19" t="s">
        <v>1326</v>
      </c>
      <c r="D390" s="19" t="s">
        <v>495</v>
      </c>
      <c r="E390" s="20" t="s">
        <v>32</v>
      </c>
      <c r="F390" s="19" t="s">
        <v>1326</v>
      </c>
      <c r="G390" s="19" t="s">
        <v>496</v>
      </c>
      <c r="H390" s="19" t="s">
        <v>32</v>
      </c>
      <c r="I390">
        <v>0</v>
      </c>
      <c r="J390">
        <v>5</v>
      </c>
      <c r="K390" s="1"/>
    </row>
    <row r="391" spans="1:11">
      <c r="A391" s="17" t="s">
        <v>771</v>
      </c>
      <c r="B391" s="19" t="s">
        <v>50</v>
      </c>
      <c r="C391" s="19" t="s">
        <v>1327</v>
      </c>
      <c r="D391" s="19" t="s">
        <v>1328</v>
      </c>
      <c r="E391" s="20" t="s">
        <v>32</v>
      </c>
      <c r="F391" s="19" t="s">
        <v>1327</v>
      </c>
      <c r="G391" s="19" t="s">
        <v>1329</v>
      </c>
      <c r="H391" s="19" t="s">
        <v>32</v>
      </c>
      <c r="I391">
        <v>0</v>
      </c>
      <c r="J391">
        <v>195</v>
      </c>
      <c r="K391" s="1"/>
    </row>
    <row r="392" spans="1:11">
      <c r="A392" s="17" t="s">
        <v>771</v>
      </c>
      <c r="B392" s="19" t="s">
        <v>50</v>
      </c>
      <c r="C392" s="19" t="s">
        <v>1330</v>
      </c>
      <c r="D392" s="19" t="s">
        <v>1331</v>
      </c>
      <c r="E392" s="20" t="s">
        <v>32</v>
      </c>
      <c r="F392" s="19" t="s">
        <v>1330</v>
      </c>
      <c r="G392" s="19" t="s">
        <v>1332</v>
      </c>
      <c r="H392" s="19" t="s">
        <v>32</v>
      </c>
      <c r="I392">
        <v>0</v>
      </c>
      <c r="J392">
        <v>2</v>
      </c>
      <c r="K392" s="1"/>
    </row>
    <row r="393" spans="1:11">
      <c r="A393" s="17" t="s">
        <v>771</v>
      </c>
      <c r="B393" s="19" t="s">
        <v>50</v>
      </c>
      <c r="C393" s="19" t="s">
        <v>1333</v>
      </c>
      <c r="D393" s="19" t="s">
        <v>1334</v>
      </c>
      <c r="E393" s="20" t="s">
        <v>32</v>
      </c>
      <c r="F393" s="19" t="s">
        <v>1333</v>
      </c>
      <c r="G393" s="19" t="s">
        <v>1335</v>
      </c>
      <c r="H393" s="19" t="s">
        <v>32</v>
      </c>
      <c r="I393">
        <v>0</v>
      </c>
      <c r="J393">
        <v>18</v>
      </c>
      <c r="K393" s="1"/>
    </row>
    <row r="394" spans="1:11">
      <c r="A394" s="17" t="s">
        <v>771</v>
      </c>
      <c r="B394" s="19" t="s">
        <v>50</v>
      </c>
      <c r="C394" s="19" t="s">
        <v>1336</v>
      </c>
      <c r="D394" s="19" t="s">
        <v>1337</v>
      </c>
      <c r="E394" s="20" t="s">
        <v>32</v>
      </c>
      <c r="F394" s="19" t="s">
        <v>1336</v>
      </c>
      <c r="G394" s="19" t="s">
        <v>1338</v>
      </c>
      <c r="H394" s="19" t="s">
        <v>32</v>
      </c>
      <c r="I394">
        <v>0</v>
      </c>
      <c r="J394">
        <v>14</v>
      </c>
      <c r="K394" s="1"/>
    </row>
    <row r="395" spans="1:11">
      <c r="A395" s="17" t="s">
        <v>771</v>
      </c>
      <c r="B395" s="19" t="s">
        <v>50</v>
      </c>
      <c r="C395" s="19" t="s">
        <v>1339</v>
      </c>
      <c r="D395" s="19" t="s">
        <v>1340</v>
      </c>
      <c r="E395" s="20" t="s">
        <v>32</v>
      </c>
      <c r="F395" s="19" t="s">
        <v>1339</v>
      </c>
      <c r="G395" s="19" t="s">
        <v>1341</v>
      </c>
      <c r="H395" s="19" t="s">
        <v>32</v>
      </c>
      <c r="I395">
        <v>0</v>
      </c>
      <c r="J395">
        <v>14</v>
      </c>
      <c r="K395" s="1"/>
    </row>
    <row r="396" spans="1:11">
      <c r="A396" s="17" t="s">
        <v>771</v>
      </c>
      <c r="B396" s="19" t="s">
        <v>50</v>
      </c>
      <c r="C396" s="19" t="s">
        <v>1342</v>
      </c>
      <c r="D396" s="19" t="s">
        <v>1343</v>
      </c>
      <c r="E396" s="20" t="s">
        <v>32</v>
      </c>
      <c r="F396" s="19" t="s">
        <v>1342</v>
      </c>
      <c r="G396" s="19" t="s">
        <v>1344</v>
      </c>
      <c r="H396" s="19" t="s">
        <v>32</v>
      </c>
      <c r="I396">
        <v>0</v>
      </c>
      <c r="J396">
        <v>26</v>
      </c>
      <c r="K396" s="1"/>
    </row>
    <row r="397" spans="1:11">
      <c r="A397" s="17" t="s">
        <v>771</v>
      </c>
      <c r="B397" s="19" t="s">
        <v>50</v>
      </c>
      <c r="C397" s="19" t="s">
        <v>1345</v>
      </c>
      <c r="D397" s="19" t="s">
        <v>1346</v>
      </c>
      <c r="E397" s="20" t="s">
        <v>32</v>
      </c>
      <c r="F397" s="19" t="s">
        <v>1345</v>
      </c>
      <c r="G397" s="19" t="s">
        <v>1347</v>
      </c>
      <c r="H397" s="19" t="s">
        <v>32</v>
      </c>
      <c r="I397">
        <v>0</v>
      </c>
      <c r="J397">
        <v>73</v>
      </c>
      <c r="K397" s="1"/>
    </row>
    <row r="398" spans="1:11">
      <c r="A398" s="17" t="s">
        <v>771</v>
      </c>
      <c r="B398" s="19" t="s">
        <v>50</v>
      </c>
      <c r="C398" s="19" t="s">
        <v>1345</v>
      </c>
      <c r="D398" s="19" t="s">
        <v>1348</v>
      </c>
      <c r="E398" s="20" t="s">
        <v>32</v>
      </c>
      <c r="F398" s="19" t="s">
        <v>1345</v>
      </c>
      <c r="G398" s="19" t="s">
        <v>1349</v>
      </c>
      <c r="H398" s="19" t="s">
        <v>32</v>
      </c>
      <c r="I398">
        <v>0</v>
      </c>
      <c r="J398">
        <v>3</v>
      </c>
      <c r="K398" s="1"/>
    </row>
    <row r="399" spans="1:11">
      <c r="A399" s="17" t="s">
        <v>771</v>
      </c>
      <c r="B399" s="19" t="s">
        <v>50</v>
      </c>
      <c r="C399" s="19" t="s">
        <v>1350</v>
      </c>
      <c r="D399" s="19" t="s">
        <v>1351</v>
      </c>
      <c r="E399" s="20" t="s">
        <v>32</v>
      </c>
      <c r="F399" s="19" t="s">
        <v>1350</v>
      </c>
      <c r="G399" s="19" t="s">
        <v>1352</v>
      </c>
      <c r="H399" s="19" t="s">
        <v>32</v>
      </c>
      <c r="I399">
        <v>0</v>
      </c>
      <c r="J399">
        <v>40</v>
      </c>
      <c r="K399" s="1"/>
    </row>
    <row r="400" spans="1:11">
      <c r="A400" s="17" t="s">
        <v>771</v>
      </c>
      <c r="B400" s="19" t="s">
        <v>50</v>
      </c>
      <c r="C400" s="19" t="s">
        <v>1350</v>
      </c>
      <c r="D400" s="19" t="s">
        <v>1353</v>
      </c>
      <c r="E400" s="20" t="s">
        <v>32</v>
      </c>
      <c r="F400" s="19" t="s">
        <v>1350</v>
      </c>
      <c r="G400" s="19" t="s">
        <v>1354</v>
      </c>
      <c r="H400" s="19" t="s">
        <v>32</v>
      </c>
      <c r="I400">
        <v>0</v>
      </c>
      <c r="J400">
        <v>1</v>
      </c>
      <c r="K400" s="1"/>
    </row>
    <row r="401" spans="1:11">
      <c r="A401" s="17" t="s">
        <v>771</v>
      </c>
      <c r="B401" s="19" t="s">
        <v>50</v>
      </c>
      <c r="C401" s="19" t="s">
        <v>1355</v>
      </c>
      <c r="D401" s="19" t="s">
        <v>1356</v>
      </c>
      <c r="E401" s="20" t="s">
        <v>32</v>
      </c>
      <c r="F401" s="19" t="s">
        <v>1357</v>
      </c>
      <c r="G401" s="19" t="s">
        <v>1358</v>
      </c>
      <c r="H401" s="19" t="s">
        <v>32</v>
      </c>
      <c r="I401">
        <v>0</v>
      </c>
      <c r="J401">
        <v>29</v>
      </c>
      <c r="K401" s="1"/>
    </row>
    <row r="402" spans="1:11">
      <c r="A402" s="17" t="s">
        <v>771</v>
      </c>
      <c r="B402" s="19" t="s">
        <v>50</v>
      </c>
      <c r="C402" s="19" t="s">
        <v>1355</v>
      </c>
      <c r="D402" s="19" t="s">
        <v>1359</v>
      </c>
      <c r="E402" s="20" t="s">
        <v>32</v>
      </c>
      <c r="F402" s="19" t="s">
        <v>1355</v>
      </c>
      <c r="G402" s="19" t="s">
        <v>1360</v>
      </c>
      <c r="H402" s="19" t="s">
        <v>32</v>
      </c>
      <c r="I402">
        <v>0</v>
      </c>
      <c r="J402">
        <v>63</v>
      </c>
      <c r="K402" s="1"/>
    </row>
    <row r="403" spans="1:11">
      <c r="A403" s="17" t="s">
        <v>771</v>
      </c>
      <c r="B403" s="19" t="s">
        <v>50</v>
      </c>
      <c r="C403" s="19" t="s">
        <v>1355</v>
      </c>
      <c r="D403" s="19" t="s">
        <v>1361</v>
      </c>
      <c r="E403" s="20" t="s">
        <v>32</v>
      </c>
      <c r="F403" s="19" t="s">
        <v>1355</v>
      </c>
      <c r="G403" s="19" t="s">
        <v>1362</v>
      </c>
      <c r="H403" s="19" t="s">
        <v>32</v>
      </c>
      <c r="I403">
        <v>0</v>
      </c>
      <c r="J403">
        <v>15</v>
      </c>
      <c r="K403" s="1"/>
    </row>
    <row r="404" spans="1:11">
      <c r="A404" s="17" t="s">
        <v>771</v>
      </c>
      <c r="B404" s="19" t="s">
        <v>50</v>
      </c>
      <c r="C404" s="19" t="s">
        <v>1357</v>
      </c>
      <c r="D404" s="19" t="s">
        <v>1363</v>
      </c>
      <c r="E404" s="20" t="s">
        <v>32</v>
      </c>
      <c r="F404" s="19" t="s">
        <v>1357</v>
      </c>
      <c r="G404" s="19" t="s">
        <v>1364</v>
      </c>
      <c r="H404" s="19" t="s">
        <v>32</v>
      </c>
      <c r="I404">
        <v>0</v>
      </c>
      <c r="J404">
        <v>1</v>
      </c>
      <c r="K404" s="1"/>
    </row>
    <row r="405" spans="1:11">
      <c r="A405" s="17" t="s">
        <v>771</v>
      </c>
      <c r="B405" s="19" t="s">
        <v>50</v>
      </c>
      <c r="C405" s="19" t="s">
        <v>1365</v>
      </c>
      <c r="D405" s="19" t="s">
        <v>1366</v>
      </c>
      <c r="E405" s="20" t="s">
        <v>32</v>
      </c>
      <c r="F405" s="19" t="s">
        <v>1365</v>
      </c>
      <c r="G405" s="19" t="s">
        <v>1367</v>
      </c>
      <c r="H405" s="19" t="s">
        <v>32</v>
      </c>
      <c r="I405">
        <v>0</v>
      </c>
      <c r="J405">
        <v>21</v>
      </c>
      <c r="K405" s="1"/>
    </row>
    <row r="406" spans="1:11">
      <c r="A406" s="17" t="s">
        <v>771</v>
      </c>
      <c r="B406" s="19" t="s">
        <v>50</v>
      </c>
      <c r="C406" s="19" t="s">
        <v>1365</v>
      </c>
      <c r="D406" s="19" t="s">
        <v>1368</v>
      </c>
      <c r="E406" s="20" t="s">
        <v>32</v>
      </c>
      <c r="F406" s="19" t="s">
        <v>1365</v>
      </c>
      <c r="G406" s="19" t="s">
        <v>1369</v>
      </c>
      <c r="H406" s="19" t="s">
        <v>32</v>
      </c>
      <c r="I406">
        <v>0</v>
      </c>
      <c r="J406">
        <v>49</v>
      </c>
      <c r="K406" s="1"/>
    </row>
    <row r="407" spans="1:11">
      <c r="A407" s="17" t="s">
        <v>771</v>
      </c>
      <c r="B407" s="19" t="s">
        <v>50</v>
      </c>
      <c r="C407" s="19" t="s">
        <v>1370</v>
      </c>
      <c r="D407" s="19" t="s">
        <v>1371</v>
      </c>
      <c r="E407" s="20" t="s">
        <v>32</v>
      </c>
      <c r="F407" s="19" t="s">
        <v>1370</v>
      </c>
      <c r="G407" s="19" t="s">
        <v>1372</v>
      </c>
      <c r="H407" s="19" t="s">
        <v>32</v>
      </c>
      <c r="I407">
        <v>0</v>
      </c>
      <c r="J407">
        <v>190</v>
      </c>
      <c r="K407" s="1"/>
    </row>
    <row r="408" spans="1:11">
      <c r="A408" s="17" t="s">
        <v>771</v>
      </c>
      <c r="B408" s="19" t="s">
        <v>50</v>
      </c>
      <c r="C408" s="19" t="s">
        <v>1370</v>
      </c>
      <c r="D408" s="19" t="s">
        <v>1373</v>
      </c>
      <c r="E408" s="20" t="s">
        <v>32</v>
      </c>
      <c r="F408" s="19" t="s">
        <v>1370</v>
      </c>
      <c r="G408" s="19" t="s">
        <v>1374</v>
      </c>
      <c r="H408" s="19" t="s">
        <v>32</v>
      </c>
      <c r="I408">
        <v>0</v>
      </c>
      <c r="J408">
        <v>93</v>
      </c>
      <c r="K408" s="1"/>
    </row>
    <row r="409" spans="1:11">
      <c r="A409" s="17" t="s">
        <v>771</v>
      </c>
      <c r="B409" s="19" t="s">
        <v>50</v>
      </c>
      <c r="C409" s="19" t="s">
        <v>1375</v>
      </c>
      <c r="D409" s="19" t="s">
        <v>1376</v>
      </c>
      <c r="E409" s="20" t="s">
        <v>32</v>
      </c>
      <c r="F409" s="19" t="s">
        <v>1375</v>
      </c>
      <c r="G409" s="19" t="s">
        <v>1377</v>
      </c>
      <c r="H409" s="19" t="s">
        <v>32</v>
      </c>
      <c r="I409">
        <v>0</v>
      </c>
      <c r="J409">
        <v>140</v>
      </c>
      <c r="K409" s="1"/>
    </row>
    <row r="410" spans="1:11">
      <c r="A410" s="17" t="s">
        <v>771</v>
      </c>
      <c r="B410" s="19" t="s">
        <v>50</v>
      </c>
      <c r="C410" s="19" t="s">
        <v>1378</v>
      </c>
      <c r="D410" s="19" t="s">
        <v>1379</v>
      </c>
      <c r="E410" s="20" t="s">
        <v>32</v>
      </c>
      <c r="F410" s="19" t="s">
        <v>1378</v>
      </c>
      <c r="G410" s="19" t="s">
        <v>1380</v>
      </c>
      <c r="H410" s="19" t="s">
        <v>32</v>
      </c>
      <c r="I410">
        <v>0</v>
      </c>
      <c r="J410">
        <v>44</v>
      </c>
      <c r="K410" s="1"/>
    </row>
    <row r="411" spans="1:11">
      <c r="A411" s="17" t="s">
        <v>771</v>
      </c>
      <c r="B411" s="19" t="s">
        <v>50</v>
      </c>
      <c r="C411" s="19" t="s">
        <v>1378</v>
      </c>
      <c r="D411" s="19" t="s">
        <v>1381</v>
      </c>
      <c r="E411" s="20" t="s">
        <v>32</v>
      </c>
      <c r="F411" s="19" t="s">
        <v>1378</v>
      </c>
      <c r="G411" s="19" t="s">
        <v>1382</v>
      </c>
      <c r="H411" s="19" t="s">
        <v>32</v>
      </c>
      <c r="I411">
        <v>0</v>
      </c>
      <c r="J411">
        <v>2</v>
      </c>
      <c r="K411" s="1"/>
    </row>
    <row r="412" spans="1:11">
      <c r="A412" s="17" t="s">
        <v>771</v>
      </c>
      <c r="B412" s="19" t="s">
        <v>50</v>
      </c>
      <c r="C412" s="19" t="s">
        <v>1383</v>
      </c>
      <c r="D412" s="19" t="s">
        <v>1384</v>
      </c>
      <c r="E412" s="20" t="s">
        <v>32</v>
      </c>
      <c r="F412" s="19" t="s">
        <v>1383</v>
      </c>
      <c r="G412" s="19" t="s">
        <v>1385</v>
      </c>
      <c r="H412" s="19" t="s">
        <v>32</v>
      </c>
      <c r="I412">
        <v>0</v>
      </c>
      <c r="J412">
        <v>32</v>
      </c>
      <c r="K412" s="1"/>
    </row>
    <row r="413" spans="1:11">
      <c r="A413" s="17" t="s">
        <v>771</v>
      </c>
      <c r="B413" s="19" t="s">
        <v>50</v>
      </c>
      <c r="C413" s="19" t="s">
        <v>1386</v>
      </c>
      <c r="D413" s="19" t="s">
        <v>1387</v>
      </c>
      <c r="E413" s="20" t="s">
        <v>32</v>
      </c>
      <c r="F413" s="19" t="s">
        <v>1386</v>
      </c>
      <c r="G413" s="19" t="s">
        <v>1388</v>
      </c>
      <c r="H413" s="19" t="s">
        <v>32</v>
      </c>
      <c r="I413">
        <v>0</v>
      </c>
      <c r="J413">
        <v>9</v>
      </c>
      <c r="K413" s="1"/>
    </row>
    <row r="414" spans="1:11">
      <c r="A414" s="17" t="s">
        <v>771</v>
      </c>
      <c r="B414" s="19" t="s">
        <v>50</v>
      </c>
      <c r="C414" s="19" t="s">
        <v>1389</v>
      </c>
      <c r="D414" s="19" t="s">
        <v>1390</v>
      </c>
      <c r="E414" s="20" t="s">
        <v>32</v>
      </c>
      <c r="F414" s="19" t="s">
        <v>1389</v>
      </c>
      <c r="G414" s="19" t="s">
        <v>1391</v>
      </c>
      <c r="H414" s="19" t="s">
        <v>32</v>
      </c>
      <c r="I414">
        <v>0</v>
      </c>
      <c r="J414">
        <v>1</v>
      </c>
      <c r="K414" s="1"/>
    </row>
    <row r="415" spans="1:11">
      <c r="A415" s="17" t="s">
        <v>771</v>
      </c>
      <c r="B415" s="19" t="s">
        <v>50</v>
      </c>
      <c r="C415" s="19" t="s">
        <v>1392</v>
      </c>
      <c r="D415" s="19" t="s">
        <v>1393</v>
      </c>
      <c r="E415" s="20" t="s">
        <v>32</v>
      </c>
      <c r="F415" s="19" t="s">
        <v>1392</v>
      </c>
      <c r="G415" s="19" t="s">
        <v>1394</v>
      </c>
      <c r="H415" s="19" t="s">
        <v>32</v>
      </c>
      <c r="I415">
        <v>0</v>
      </c>
      <c r="J415">
        <v>13</v>
      </c>
      <c r="K415" s="1"/>
    </row>
    <row r="416" spans="1:11">
      <c r="A416" s="17" t="s">
        <v>771</v>
      </c>
      <c r="B416" s="19" t="s">
        <v>50</v>
      </c>
      <c r="C416" s="19" t="s">
        <v>1395</v>
      </c>
      <c r="D416" s="19" t="s">
        <v>1396</v>
      </c>
      <c r="E416" s="20" t="s">
        <v>32</v>
      </c>
      <c r="F416" s="19" t="s">
        <v>1395</v>
      </c>
      <c r="G416" s="19" t="s">
        <v>1397</v>
      </c>
      <c r="H416" s="19" t="s">
        <v>32</v>
      </c>
      <c r="I416">
        <v>0</v>
      </c>
      <c r="J416">
        <v>10</v>
      </c>
      <c r="K416" s="1"/>
    </row>
    <row r="417" spans="1:11">
      <c r="A417" s="17" t="s">
        <v>771</v>
      </c>
      <c r="B417" s="19" t="s">
        <v>50</v>
      </c>
      <c r="C417" s="19" t="s">
        <v>1395</v>
      </c>
      <c r="D417" s="19" t="s">
        <v>1398</v>
      </c>
      <c r="E417" s="20" t="s">
        <v>32</v>
      </c>
      <c r="F417" s="19" t="s">
        <v>1395</v>
      </c>
      <c r="G417" s="19" t="s">
        <v>1399</v>
      </c>
      <c r="H417" s="19" t="s">
        <v>32</v>
      </c>
      <c r="I417">
        <v>0</v>
      </c>
      <c r="J417">
        <v>2</v>
      </c>
      <c r="K417" s="1"/>
    </row>
    <row r="418" spans="1:11">
      <c r="A418" s="17" t="s">
        <v>771</v>
      </c>
      <c r="B418" s="19" t="s">
        <v>50</v>
      </c>
      <c r="C418" s="19" t="s">
        <v>1400</v>
      </c>
      <c r="D418" s="19" t="s">
        <v>1401</v>
      </c>
      <c r="E418" s="20" t="s">
        <v>32</v>
      </c>
      <c r="F418" s="19" t="s">
        <v>1389</v>
      </c>
      <c r="G418" s="19" t="s">
        <v>1402</v>
      </c>
      <c r="H418" s="19" t="s">
        <v>32</v>
      </c>
      <c r="I418">
        <v>0</v>
      </c>
      <c r="J418">
        <v>14</v>
      </c>
      <c r="K418" s="1"/>
    </row>
    <row r="419" spans="1:11">
      <c r="A419" s="17" t="s">
        <v>771</v>
      </c>
      <c r="B419" s="19" t="s">
        <v>50</v>
      </c>
      <c r="C419" s="19" t="s">
        <v>1403</v>
      </c>
      <c r="D419" s="19" t="s">
        <v>1404</v>
      </c>
      <c r="E419" s="20" t="s">
        <v>32</v>
      </c>
      <c r="F419" s="19" t="s">
        <v>1403</v>
      </c>
      <c r="G419" s="19" t="s">
        <v>1405</v>
      </c>
      <c r="H419" s="19" t="s">
        <v>32</v>
      </c>
      <c r="I419">
        <v>0</v>
      </c>
      <c r="J419">
        <v>14</v>
      </c>
      <c r="K419" s="1"/>
    </row>
    <row r="420" spans="1:11">
      <c r="A420" s="17" t="s">
        <v>771</v>
      </c>
      <c r="B420" s="19" t="s">
        <v>50</v>
      </c>
      <c r="C420" s="19" t="s">
        <v>1403</v>
      </c>
      <c r="D420" s="19" t="s">
        <v>1406</v>
      </c>
      <c r="E420" s="20" t="s">
        <v>32</v>
      </c>
      <c r="F420" s="19" t="s">
        <v>1403</v>
      </c>
      <c r="G420" s="19" t="s">
        <v>1407</v>
      </c>
      <c r="H420" s="19" t="s">
        <v>32</v>
      </c>
      <c r="I420">
        <v>0</v>
      </c>
      <c r="J420">
        <v>1</v>
      </c>
      <c r="K420" s="1"/>
    </row>
    <row r="421" spans="1:11">
      <c r="A421" s="17" t="s">
        <v>771</v>
      </c>
      <c r="B421" s="19" t="s">
        <v>50</v>
      </c>
      <c r="C421" s="19" t="s">
        <v>1408</v>
      </c>
      <c r="D421" s="19" t="s">
        <v>1409</v>
      </c>
      <c r="E421" s="20" t="s">
        <v>32</v>
      </c>
      <c r="F421" s="19" t="s">
        <v>1408</v>
      </c>
      <c r="G421" s="19" t="s">
        <v>1410</v>
      </c>
      <c r="H421" s="19" t="s">
        <v>32</v>
      </c>
      <c r="I421">
        <v>0</v>
      </c>
      <c r="J421">
        <v>100</v>
      </c>
      <c r="K421" s="1"/>
    </row>
    <row r="422" spans="1:11">
      <c r="A422" s="17" t="s">
        <v>771</v>
      </c>
      <c r="B422" s="19" t="s">
        <v>50</v>
      </c>
      <c r="C422" s="19" t="s">
        <v>1408</v>
      </c>
      <c r="D422" s="19" t="s">
        <v>1411</v>
      </c>
      <c r="E422" s="20" t="s">
        <v>32</v>
      </c>
      <c r="F422" s="19" t="s">
        <v>1408</v>
      </c>
      <c r="G422" s="19" t="s">
        <v>1412</v>
      </c>
      <c r="H422" s="19" t="s">
        <v>32</v>
      </c>
      <c r="I422">
        <v>0</v>
      </c>
      <c r="J422">
        <v>1</v>
      </c>
      <c r="K422" s="1"/>
    </row>
    <row r="423" spans="1:11">
      <c r="A423" s="17" t="s">
        <v>771</v>
      </c>
      <c r="B423" s="19" t="s">
        <v>50</v>
      </c>
      <c r="C423" s="19" t="s">
        <v>1413</v>
      </c>
      <c r="D423" s="19" t="s">
        <v>1414</v>
      </c>
      <c r="E423" s="20" t="s">
        <v>32</v>
      </c>
      <c r="F423" s="19" t="s">
        <v>1413</v>
      </c>
      <c r="G423" s="19" t="s">
        <v>1415</v>
      </c>
      <c r="H423" s="19" t="s">
        <v>32</v>
      </c>
      <c r="I423">
        <v>0</v>
      </c>
      <c r="J423">
        <v>1</v>
      </c>
      <c r="K423" s="1"/>
    </row>
    <row r="424" spans="1:11">
      <c r="A424" s="17" t="s">
        <v>771</v>
      </c>
      <c r="B424" s="19" t="s">
        <v>50</v>
      </c>
      <c r="C424" s="19" t="s">
        <v>1416</v>
      </c>
      <c r="D424" s="19" t="s">
        <v>1417</v>
      </c>
      <c r="E424" s="20" t="s">
        <v>32</v>
      </c>
      <c r="F424" s="19" t="s">
        <v>1416</v>
      </c>
      <c r="G424" s="19" t="s">
        <v>1418</v>
      </c>
      <c r="H424" s="19" t="s">
        <v>32</v>
      </c>
      <c r="I424">
        <v>0</v>
      </c>
      <c r="J424">
        <v>20</v>
      </c>
      <c r="K424" s="1"/>
    </row>
    <row r="425" spans="1:11">
      <c r="A425" s="17" t="s">
        <v>771</v>
      </c>
      <c r="B425" s="19" t="s">
        <v>50</v>
      </c>
      <c r="C425" s="19" t="s">
        <v>1416</v>
      </c>
      <c r="D425" s="19" t="s">
        <v>1419</v>
      </c>
      <c r="E425" s="20" t="s">
        <v>32</v>
      </c>
      <c r="F425" s="19" t="s">
        <v>1416</v>
      </c>
      <c r="G425" s="19" t="s">
        <v>1420</v>
      </c>
      <c r="H425" s="19" t="s">
        <v>32</v>
      </c>
      <c r="I425">
        <v>0</v>
      </c>
      <c r="J425">
        <v>2</v>
      </c>
      <c r="K425" s="1"/>
    </row>
    <row r="426" spans="1:11">
      <c r="A426" s="17" t="s">
        <v>771</v>
      </c>
      <c r="B426" s="19" t="s">
        <v>50</v>
      </c>
      <c r="C426" s="19" t="s">
        <v>1421</v>
      </c>
      <c r="D426" s="19" t="s">
        <v>1422</v>
      </c>
      <c r="E426" s="20" t="s">
        <v>32</v>
      </c>
      <c r="F426" s="19" t="s">
        <v>1421</v>
      </c>
      <c r="G426" s="19" t="s">
        <v>1423</v>
      </c>
      <c r="H426" s="19" t="s">
        <v>32</v>
      </c>
      <c r="I426">
        <v>0</v>
      </c>
      <c r="J426">
        <v>22</v>
      </c>
      <c r="K426" s="1"/>
    </row>
    <row r="427" spans="1:11">
      <c r="A427" s="17" t="s">
        <v>771</v>
      </c>
      <c r="B427" s="19" t="s">
        <v>50</v>
      </c>
      <c r="C427" s="19" t="s">
        <v>1421</v>
      </c>
      <c r="D427" s="19" t="s">
        <v>1424</v>
      </c>
      <c r="E427" s="20" t="s">
        <v>32</v>
      </c>
      <c r="F427" s="19" t="s">
        <v>1421</v>
      </c>
      <c r="G427" s="19" t="s">
        <v>1425</v>
      </c>
      <c r="H427" s="19" t="s">
        <v>32</v>
      </c>
      <c r="I427">
        <v>0</v>
      </c>
      <c r="J427">
        <v>2</v>
      </c>
      <c r="K427" s="1"/>
    </row>
    <row r="428" spans="1:11">
      <c r="A428" s="17" t="s">
        <v>771</v>
      </c>
      <c r="B428" s="19" t="s">
        <v>50</v>
      </c>
      <c r="C428" s="19" t="s">
        <v>1426</v>
      </c>
      <c r="D428" s="19" t="s">
        <v>1427</v>
      </c>
      <c r="E428" s="20" t="s">
        <v>32</v>
      </c>
      <c r="F428" s="19" t="s">
        <v>1426</v>
      </c>
      <c r="G428" s="19" t="s">
        <v>1428</v>
      </c>
      <c r="H428" s="19" t="s">
        <v>32</v>
      </c>
      <c r="I428">
        <v>0</v>
      </c>
      <c r="J428">
        <v>65</v>
      </c>
      <c r="K428" s="1"/>
    </row>
    <row r="429" spans="1:11">
      <c r="A429" s="17" t="s">
        <v>771</v>
      </c>
      <c r="B429" s="19" t="s">
        <v>50</v>
      </c>
      <c r="C429" s="19" t="s">
        <v>1429</v>
      </c>
      <c r="D429" s="19" t="s">
        <v>1430</v>
      </c>
      <c r="E429" s="20" t="s">
        <v>32</v>
      </c>
      <c r="F429" s="19" t="s">
        <v>1429</v>
      </c>
      <c r="G429" s="19" t="s">
        <v>1431</v>
      </c>
      <c r="H429" s="19" t="s">
        <v>32</v>
      </c>
      <c r="I429">
        <v>0</v>
      </c>
      <c r="J429">
        <v>19</v>
      </c>
      <c r="K429" s="1"/>
    </row>
    <row r="430" spans="1:11">
      <c r="A430" s="17" t="s">
        <v>771</v>
      </c>
      <c r="B430" s="19" t="s">
        <v>50</v>
      </c>
      <c r="C430" s="19" t="s">
        <v>1432</v>
      </c>
      <c r="D430" s="19" t="s">
        <v>1433</v>
      </c>
      <c r="E430" s="20" t="s">
        <v>32</v>
      </c>
      <c r="F430" s="19" t="s">
        <v>1432</v>
      </c>
      <c r="G430" s="19" t="s">
        <v>1434</v>
      </c>
      <c r="H430" s="19" t="s">
        <v>32</v>
      </c>
      <c r="I430">
        <v>0</v>
      </c>
      <c r="J430">
        <v>1</v>
      </c>
      <c r="K430" s="1"/>
    </row>
    <row r="431" spans="1:11">
      <c r="A431" s="17" t="s">
        <v>771</v>
      </c>
      <c r="B431" s="19" t="s">
        <v>50</v>
      </c>
      <c r="C431" s="19" t="s">
        <v>1435</v>
      </c>
      <c r="D431" s="19" t="s">
        <v>1436</v>
      </c>
      <c r="E431" s="20" t="s">
        <v>32</v>
      </c>
      <c r="F431" s="19" t="s">
        <v>1435</v>
      </c>
      <c r="G431" s="19" t="s">
        <v>1437</v>
      </c>
      <c r="H431" s="19" t="s">
        <v>32</v>
      </c>
      <c r="I431">
        <v>0</v>
      </c>
      <c r="J431">
        <v>19</v>
      </c>
      <c r="K431" s="1"/>
    </row>
    <row r="432" spans="1:11">
      <c r="A432" s="17" t="s">
        <v>771</v>
      </c>
      <c r="B432" s="19" t="s">
        <v>50</v>
      </c>
      <c r="C432" s="19" t="s">
        <v>1438</v>
      </c>
      <c r="D432" s="19" t="s">
        <v>1439</v>
      </c>
      <c r="E432" s="20" t="s">
        <v>32</v>
      </c>
      <c r="F432" s="19" t="s">
        <v>1438</v>
      </c>
      <c r="G432" s="19" t="s">
        <v>1440</v>
      </c>
      <c r="H432" s="19" t="s">
        <v>32</v>
      </c>
      <c r="I432">
        <v>0</v>
      </c>
      <c r="J432">
        <v>14</v>
      </c>
      <c r="K432" s="1"/>
    </row>
    <row r="433" spans="1:11">
      <c r="A433" s="17" t="s">
        <v>771</v>
      </c>
      <c r="B433" s="19" t="s">
        <v>50</v>
      </c>
      <c r="C433" s="19" t="s">
        <v>1441</v>
      </c>
      <c r="D433" s="19" t="s">
        <v>1442</v>
      </c>
      <c r="E433" s="20" t="s">
        <v>32</v>
      </c>
      <c r="F433" s="19" t="s">
        <v>1441</v>
      </c>
      <c r="G433" s="19" t="s">
        <v>1443</v>
      </c>
      <c r="H433" s="19" t="s">
        <v>32</v>
      </c>
      <c r="I433">
        <v>0</v>
      </c>
      <c r="J433">
        <v>50</v>
      </c>
      <c r="K433" s="1"/>
    </row>
    <row r="434" spans="1:11">
      <c r="A434" s="17" t="s">
        <v>771</v>
      </c>
      <c r="B434" s="19" t="s">
        <v>50</v>
      </c>
      <c r="C434" s="19" t="s">
        <v>1441</v>
      </c>
      <c r="D434" s="19" t="s">
        <v>1444</v>
      </c>
      <c r="E434" s="20" t="s">
        <v>32</v>
      </c>
      <c r="F434" s="19" t="s">
        <v>1441</v>
      </c>
      <c r="G434" s="19" t="s">
        <v>1445</v>
      </c>
      <c r="H434" s="19" t="s">
        <v>32</v>
      </c>
      <c r="I434">
        <v>0</v>
      </c>
      <c r="J434">
        <v>1</v>
      </c>
      <c r="K434" s="1"/>
    </row>
    <row r="435" spans="1:11">
      <c r="A435" s="17" t="s">
        <v>771</v>
      </c>
      <c r="B435" s="19" t="s">
        <v>50</v>
      </c>
      <c r="C435" s="19" t="s">
        <v>1446</v>
      </c>
      <c r="D435" s="19" t="s">
        <v>1447</v>
      </c>
      <c r="E435" s="20" t="s">
        <v>32</v>
      </c>
      <c r="F435" s="19" t="s">
        <v>1446</v>
      </c>
      <c r="G435" s="19" t="s">
        <v>1448</v>
      </c>
      <c r="H435" s="19" t="s">
        <v>32</v>
      </c>
      <c r="I435">
        <v>0</v>
      </c>
      <c r="J435">
        <v>14</v>
      </c>
      <c r="K435" s="1"/>
    </row>
    <row r="436" spans="1:11">
      <c r="A436" s="17" t="s">
        <v>771</v>
      </c>
      <c r="B436" s="19" t="s">
        <v>50</v>
      </c>
      <c r="C436" s="19" t="s">
        <v>1449</v>
      </c>
      <c r="D436" s="19" t="s">
        <v>1450</v>
      </c>
      <c r="E436" s="20" t="s">
        <v>32</v>
      </c>
      <c r="F436" s="19" t="s">
        <v>1449</v>
      </c>
      <c r="G436" s="19" t="s">
        <v>1451</v>
      </c>
      <c r="H436" s="19" t="s">
        <v>32</v>
      </c>
      <c r="I436">
        <v>0</v>
      </c>
      <c r="J436">
        <v>16</v>
      </c>
      <c r="K436" s="1"/>
    </row>
    <row r="437" spans="1:11">
      <c r="A437" s="17" t="s">
        <v>771</v>
      </c>
      <c r="B437" s="19" t="s">
        <v>50</v>
      </c>
      <c r="C437" s="19" t="s">
        <v>1449</v>
      </c>
      <c r="D437" s="19" t="s">
        <v>1452</v>
      </c>
      <c r="E437" s="20" t="s">
        <v>32</v>
      </c>
      <c r="F437" s="19" t="s">
        <v>1449</v>
      </c>
      <c r="G437" s="19" t="s">
        <v>1453</v>
      </c>
      <c r="H437" s="19" t="s">
        <v>32</v>
      </c>
      <c r="I437">
        <v>0</v>
      </c>
      <c r="J437">
        <v>1</v>
      </c>
      <c r="K437" s="1"/>
    </row>
    <row r="438" spans="1:11">
      <c r="A438" s="17" t="s">
        <v>771</v>
      </c>
      <c r="B438" s="19" t="s">
        <v>50</v>
      </c>
      <c r="C438" s="19" t="s">
        <v>1454</v>
      </c>
      <c r="D438" s="19" t="s">
        <v>1455</v>
      </c>
      <c r="E438" s="20" t="s">
        <v>32</v>
      </c>
      <c r="F438" s="19" t="s">
        <v>1454</v>
      </c>
      <c r="G438" s="19" t="s">
        <v>1456</v>
      </c>
      <c r="H438" s="19" t="s">
        <v>32</v>
      </c>
      <c r="I438">
        <v>0</v>
      </c>
      <c r="J438">
        <v>1</v>
      </c>
      <c r="K438" s="1"/>
    </row>
    <row r="439" spans="1:11">
      <c r="A439" s="17" t="s">
        <v>771</v>
      </c>
      <c r="B439" s="19" t="s">
        <v>50</v>
      </c>
      <c r="C439" s="19" t="s">
        <v>1457</v>
      </c>
      <c r="D439" s="19" t="s">
        <v>1458</v>
      </c>
      <c r="E439" s="20" t="s">
        <v>32</v>
      </c>
      <c r="F439" s="19" t="s">
        <v>1457</v>
      </c>
      <c r="G439" s="19" t="s">
        <v>1459</v>
      </c>
      <c r="H439" s="19" t="s">
        <v>32</v>
      </c>
      <c r="I439">
        <v>0</v>
      </c>
      <c r="J439">
        <v>37</v>
      </c>
      <c r="K439" s="1"/>
    </row>
    <row r="440" spans="1:11">
      <c r="A440" s="17" t="s">
        <v>771</v>
      </c>
      <c r="B440" s="19" t="s">
        <v>50</v>
      </c>
      <c r="C440" s="19" t="s">
        <v>1460</v>
      </c>
      <c r="D440" s="19" t="s">
        <v>1461</v>
      </c>
      <c r="E440" s="20" t="s">
        <v>32</v>
      </c>
      <c r="F440" s="19" t="s">
        <v>1460</v>
      </c>
      <c r="G440" s="19" t="s">
        <v>1462</v>
      </c>
      <c r="H440" s="19" t="s">
        <v>32</v>
      </c>
      <c r="I440">
        <v>0</v>
      </c>
      <c r="J440">
        <v>98</v>
      </c>
      <c r="K440" s="1"/>
    </row>
    <row r="441" spans="1:11">
      <c r="A441" s="17" t="s">
        <v>771</v>
      </c>
      <c r="B441" s="19" t="s">
        <v>50</v>
      </c>
      <c r="C441" s="19" t="s">
        <v>1460</v>
      </c>
      <c r="D441" s="19" t="s">
        <v>1463</v>
      </c>
      <c r="E441" s="20" t="s">
        <v>32</v>
      </c>
      <c r="F441" s="19" t="s">
        <v>1460</v>
      </c>
      <c r="G441" s="19" t="s">
        <v>1464</v>
      </c>
      <c r="H441" s="19" t="s">
        <v>32</v>
      </c>
      <c r="I441">
        <v>0</v>
      </c>
      <c r="J441">
        <v>1</v>
      </c>
      <c r="K441" s="1"/>
    </row>
    <row r="442" spans="1:11">
      <c r="A442" s="17" t="s">
        <v>771</v>
      </c>
      <c r="B442" s="19" t="s">
        <v>50</v>
      </c>
      <c r="C442" s="19" t="s">
        <v>1465</v>
      </c>
      <c r="D442" s="19" t="s">
        <v>1466</v>
      </c>
      <c r="E442" s="20" t="s">
        <v>32</v>
      </c>
      <c r="F442" s="19" t="s">
        <v>1465</v>
      </c>
      <c r="G442" s="19" t="s">
        <v>1467</v>
      </c>
      <c r="H442" s="19" t="s">
        <v>32</v>
      </c>
      <c r="I442">
        <v>0</v>
      </c>
      <c r="J442">
        <v>59</v>
      </c>
      <c r="K442" s="1"/>
    </row>
    <row r="443" spans="1:11">
      <c r="A443" s="17" t="s">
        <v>771</v>
      </c>
      <c r="B443" s="19" t="s">
        <v>50</v>
      </c>
      <c r="C443" s="19" t="s">
        <v>1465</v>
      </c>
      <c r="D443" s="19" t="s">
        <v>1468</v>
      </c>
      <c r="E443" s="20" t="s">
        <v>32</v>
      </c>
      <c r="F443" s="19" t="s">
        <v>1465</v>
      </c>
      <c r="G443" s="19" t="s">
        <v>1469</v>
      </c>
      <c r="H443" s="19" t="s">
        <v>32</v>
      </c>
      <c r="I443">
        <v>0</v>
      </c>
      <c r="J443">
        <v>1</v>
      </c>
      <c r="K443" s="1"/>
    </row>
    <row r="444" spans="1:11">
      <c r="A444" s="17" t="s">
        <v>771</v>
      </c>
      <c r="B444" s="19" t="s">
        <v>50</v>
      </c>
      <c r="C444" s="19" t="s">
        <v>1470</v>
      </c>
      <c r="D444" s="19" t="s">
        <v>1471</v>
      </c>
      <c r="E444" s="20" t="s">
        <v>32</v>
      </c>
      <c r="F444" s="19" t="s">
        <v>1470</v>
      </c>
      <c r="G444" s="19" t="s">
        <v>1472</v>
      </c>
      <c r="H444" s="19" t="s">
        <v>32</v>
      </c>
      <c r="I444">
        <v>0</v>
      </c>
      <c r="J444">
        <v>54</v>
      </c>
      <c r="K444" s="1"/>
    </row>
    <row r="445" spans="1:11">
      <c r="A445" s="17" t="s">
        <v>771</v>
      </c>
      <c r="B445" s="19" t="s">
        <v>50</v>
      </c>
      <c r="C445" s="19" t="s">
        <v>1473</v>
      </c>
      <c r="D445" s="19" t="s">
        <v>1474</v>
      </c>
      <c r="E445" s="20" t="s">
        <v>32</v>
      </c>
      <c r="F445" s="19" t="s">
        <v>1473</v>
      </c>
      <c r="G445" s="19" t="s">
        <v>1475</v>
      </c>
      <c r="H445" s="19" t="s">
        <v>32</v>
      </c>
      <c r="I445">
        <v>0</v>
      </c>
      <c r="J445">
        <v>12</v>
      </c>
      <c r="K445" s="1"/>
    </row>
    <row r="446" spans="1:11">
      <c r="A446" s="17" t="s">
        <v>771</v>
      </c>
      <c r="B446" s="19" t="s">
        <v>50</v>
      </c>
      <c r="C446" s="19" t="s">
        <v>1473</v>
      </c>
      <c r="D446" s="19" t="s">
        <v>1476</v>
      </c>
      <c r="E446" s="20" t="s">
        <v>32</v>
      </c>
      <c r="F446" s="19" t="s">
        <v>1473</v>
      </c>
      <c r="G446" s="19" t="s">
        <v>1477</v>
      </c>
      <c r="H446" s="19" t="s">
        <v>32</v>
      </c>
      <c r="I446">
        <v>0</v>
      </c>
      <c r="J446">
        <v>1</v>
      </c>
      <c r="K446" s="1"/>
    </row>
    <row r="447" spans="1:11">
      <c r="A447" s="17" t="s">
        <v>771</v>
      </c>
      <c r="B447" s="19" t="s">
        <v>50</v>
      </c>
      <c r="C447" s="19" t="s">
        <v>1478</v>
      </c>
      <c r="D447" s="19" t="s">
        <v>1479</v>
      </c>
      <c r="E447" s="20" t="s">
        <v>32</v>
      </c>
      <c r="F447" s="19" t="s">
        <v>1478</v>
      </c>
      <c r="G447" s="19" t="s">
        <v>1480</v>
      </c>
      <c r="H447" s="19" t="s">
        <v>32</v>
      </c>
      <c r="I447">
        <v>0</v>
      </c>
      <c r="J447">
        <v>35</v>
      </c>
      <c r="K447" s="1"/>
    </row>
    <row r="448" spans="1:11">
      <c r="A448" s="17" t="s">
        <v>771</v>
      </c>
      <c r="B448" s="19" t="s">
        <v>50</v>
      </c>
      <c r="C448" s="19" t="s">
        <v>1478</v>
      </c>
      <c r="D448" s="19" t="s">
        <v>1481</v>
      </c>
      <c r="E448" s="20" t="s">
        <v>32</v>
      </c>
      <c r="F448" s="19" t="s">
        <v>1478</v>
      </c>
      <c r="G448" s="19" t="s">
        <v>1482</v>
      </c>
      <c r="H448" s="19" t="s">
        <v>32</v>
      </c>
      <c r="I448">
        <v>0</v>
      </c>
      <c r="J448">
        <v>1</v>
      </c>
      <c r="K448" s="1"/>
    </row>
    <row r="449" spans="1:11">
      <c r="A449" s="17" t="s">
        <v>771</v>
      </c>
      <c r="B449" s="19" t="s">
        <v>50</v>
      </c>
      <c r="C449" s="19" t="s">
        <v>1483</v>
      </c>
      <c r="D449" s="19" t="s">
        <v>1484</v>
      </c>
      <c r="E449" s="20" t="s">
        <v>32</v>
      </c>
      <c r="F449" s="19" t="s">
        <v>1483</v>
      </c>
      <c r="G449" s="19" t="s">
        <v>1485</v>
      </c>
      <c r="H449" s="19" t="s">
        <v>32</v>
      </c>
      <c r="I449">
        <v>0</v>
      </c>
      <c r="J449">
        <v>32</v>
      </c>
      <c r="K449" s="1"/>
    </row>
    <row r="450" spans="1:11">
      <c r="A450" s="17" t="s">
        <v>771</v>
      </c>
      <c r="B450" s="19" t="s">
        <v>50</v>
      </c>
      <c r="C450" s="19" t="s">
        <v>1486</v>
      </c>
      <c r="D450" s="19" t="s">
        <v>1487</v>
      </c>
      <c r="E450" s="20" t="s">
        <v>32</v>
      </c>
      <c r="F450" s="19" t="s">
        <v>1486</v>
      </c>
      <c r="G450" s="19" t="s">
        <v>1488</v>
      </c>
      <c r="H450" s="19" t="s">
        <v>32</v>
      </c>
      <c r="I450">
        <v>0</v>
      </c>
      <c r="J450">
        <v>12</v>
      </c>
      <c r="K450" s="1"/>
    </row>
    <row r="451" spans="1:11">
      <c r="A451" s="17" t="s">
        <v>771</v>
      </c>
      <c r="B451" s="19" t="s">
        <v>50</v>
      </c>
      <c r="C451" s="19" t="s">
        <v>1486</v>
      </c>
      <c r="D451" s="19" t="s">
        <v>1489</v>
      </c>
      <c r="E451" s="20" t="s">
        <v>32</v>
      </c>
      <c r="F451" s="19" t="s">
        <v>1486</v>
      </c>
      <c r="G451" s="19" t="s">
        <v>1490</v>
      </c>
      <c r="H451" s="19" t="s">
        <v>32</v>
      </c>
      <c r="I451">
        <v>0</v>
      </c>
      <c r="J451">
        <v>1</v>
      </c>
      <c r="K451" s="1"/>
    </row>
    <row r="452" spans="1:11">
      <c r="A452" s="17" t="s">
        <v>771</v>
      </c>
      <c r="B452" s="19" t="s">
        <v>50</v>
      </c>
      <c r="C452" s="19" t="s">
        <v>1491</v>
      </c>
      <c r="D452" s="19" t="s">
        <v>1492</v>
      </c>
      <c r="E452" s="20" t="s">
        <v>32</v>
      </c>
      <c r="F452" s="19" t="s">
        <v>1491</v>
      </c>
      <c r="G452" s="19" t="s">
        <v>1493</v>
      </c>
      <c r="H452" s="19" t="s">
        <v>32</v>
      </c>
      <c r="I452">
        <v>0</v>
      </c>
      <c r="J452">
        <v>21</v>
      </c>
      <c r="K452" s="1"/>
    </row>
    <row r="453" spans="1:11">
      <c r="A453" s="17" t="s">
        <v>771</v>
      </c>
      <c r="B453" s="19" t="s">
        <v>50</v>
      </c>
      <c r="C453" s="19" t="s">
        <v>1491</v>
      </c>
      <c r="D453" s="19" t="s">
        <v>1494</v>
      </c>
      <c r="E453" s="20" t="s">
        <v>32</v>
      </c>
      <c r="F453" s="19" t="s">
        <v>1491</v>
      </c>
      <c r="G453" s="19" t="s">
        <v>1495</v>
      </c>
      <c r="H453" s="19" t="s">
        <v>32</v>
      </c>
      <c r="I453">
        <v>0</v>
      </c>
      <c r="J453">
        <v>1</v>
      </c>
      <c r="K453" s="1"/>
    </row>
    <row r="454" spans="1:11">
      <c r="A454" s="17" t="s">
        <v>771</v>
      </c>
      <c r="B454" s="19" t="s">
        <v>50</v>
      </c>
      <c r="C454" s="19" t="s">
        <v>1496</v>
      </c>
      <c r="D454" s="19" t="s">
        <v>1497</v>
      </c>
      <c r="E454" s="20" t="s">
        <v>32</v>
      </c>
      <c r="F454" s="19" t="s">
        <v>1496</v>
      </c>
      <c r="G454" s="19" t="s">
        <v>1498</v>
      </c>
      <c r="H454" s="19" t="s">
        <v>32</v>
      </c>
      <c r="I454">
        <v>0</v>
      </c>
      <c r="J454">
        <v>47</v>
      </c>
      <c r="K454" s="1"/>
    </row>
    <row r="455" spans="1:11">
      <c r="A455" s="17" t="s">
        <v>771</v>
      </c>
      <c r="B455" s="19" t="s">
        <v>50</v>
      </c>
      <c r="C455" s="19" t="s">
        <v>1499</v>
      </c>
      <c r="D455" s="19" t="s">
        <v>1500</v>
      </c>
      <c r="E455" s="20" t="s">
        <v>32</v>
      </c>
      <c r="F455" s="19" t="s">
        <v>1499</v>
      </c>
      <c r="G455" s="19" t="s">
        <v>1501</v>
      </c>
      <c r="H455" s="19" t="s">
        <v>32</v>
      </c>
      <c r="I455">
        <v>0</v>
      </c>
      <c r="J455">
        <v>10</v>
      </c>
      <c r="K455" s="1"/>
    </row>
    <row r="456" spans="1:11">
      <c r="A456" s="17" t="s">
        <v>771</v>
      </c>
      <c r="B456" s="19" t="s">
        <v>50</v>
      </c>
      <c r="C456" s="19" t="s">
        <v>1502</v>
      </c>
      <c r="D456" s="19" t="s">
        <v>1503</v>
      </c>
      <c r="E456" s="20" t="s">
        <v>32</v>
      </c>
      <c r="F456" s="19" t="s">
        <v>1502</v>
      </c>
      <c r="G456" s="19" t="s">
        <v>1504</v>
      </c>
      <c r="H456" s="19" t="s">
        <v>32</v>
      </c>
      <c r="I456">
        <v>0</v>
      </c>
      <c r="J456">
        <v>60</v>
      </c>
      <c r="K456" s="1"/>
    </row>
    <row r="457" spans="1:11">
      <c r="A457" s="17" t="s">
        <v>771</v>
      </c>
      <c r="B457" s="19" t="s">
        <v>50</v>
      </c>
      <c r="C457" s="19" t="s">
        <v>1502</v>
      </c>
      <c r="D457" s="19" t="s">
        <v>1505</v>
      </c>
      <c r="E457" s="20" t="s">
        <v>32</v>
      </c>
      <c r="F457" s="19" t="s">
        <v>1502</v>
      </c>
      <c r="G457" s="19" t="s">
        <v>1506</v>
      </c>
      <c r="H457" s="19" t="s">
        <v>32</v>
      </c>
      <c r="I457">
        <v>0</v>
      </c>
      <c r="J457">
        <v>1</v>
      </c>
      <c r="K457" s="1"/>
    </row>
    <row r="458" spans="1:11">
      <c r="A458" s="17" t="s">
        <v>771</v>
      </c>
      <c r="B458" s="19" t="s">
        <v>50</v>
      </c>
      <c r="C458" s="19" t="s">
        <v>1507</v>
      </c>
      <c r="D458" s="19" t="s">
        <v>1508</v>
      </c>
      <c r="E458" s="20" t="s">
        <v>32</v>
      </c>
      <c r="F458" s="19" t="s">
        <v>1507</v>
      </c>
      <c r="G458" s="19" t="s">
        <v>1509</v>
      </c>
      <c r="H458" s="19" t="s">
        <v>32</v>
      </c>
      <c r="I458">
        <v>0</v>
      </c>
      <c r="J458">
        <v>50</v>
      </c>
      <c r="K458" s="1"/>
    </row>
    <row r="459" spans="1:11">
      <c r="A459" s="17" t="s">
        <v>771</v>
      </c>
      <c r="B459" s="19" t="s">
        <v>50</v>
      </c>
      <c r="C459" s="19" t="s">
        <v>1507</v>
      </c>
      <c r="D459" s="19" t="s">
        <v>1510</v>
      </c>
      <c r="E459" s="20" t="s">
        <v>32</v>
      </c>
      <c r="F459" s="19" t="s">
        <v>1507</v>
      </c>
      <c r="G459" s="19" t="s">
        <v>1511</v>
      </c>
      <c r="H459" s="19" t="s">
        <v>32</v>
      </c>
      <c r="I459">
        <v>0</v>
      </c>
      <c r="J459">
        <v>1</v>
      </c>
      <c r="K459" s="1"/>
    </row>
    <row r="460" spans="1:11">
      <c r="A460" s="17" t="s">
        <v>771</v>
      </c>
      <c r="B460" s="19" t="s">
        <v>50</v>
      </c>
      <c r="C460" s="19" t="s">
        <v>1512</v>
      </c>
      <c r="D460" s="19" t="s">
        <v>1513</v>
      </c>
      <c r="E460" s="20" t="s">
        <v>32</v>
      </c>
      <c r="F460" s="19" t="s">
        <v>1512</v>
      </c>
      <c r="G460" s="19" t="s">
        <v>1514</v>
      </c>
      <c r="H460" s="19" t="s">
        <v>32</v>
      </c>
      <c r="I460">
        <v>0</v>
      </c>
      <c r="J460">
        <v>52</v>
      </c>
      <c r="K460" s="1"/>
    </row>
    <row r="461" spans="1:11">
      <c r="A461" s="17" t="s">
        <v>771</v>
      </c>
      <c r="B461" s="19" t="s">
        <v>50</v>
      </c>
      <c r="C461" s="19" t="s">
        <v>1515</v>
      </c>
      <c r="D461" s="19" t="s">
        <v>1516</v>
      </c>
      <c r="E461" s="20" t="s">
        <v>32</v>
      </c>
      <c r="F461" s="19" t="s">
        <v>1515</v>
      </c>
      <c r="G461" s="19" t="s">
        <v>1517</v>
      </c>
      <c r="H461" s="19" t="s">
        <v>32</v>
      </c>
      <c r="I461">
        <v>0</v>
      </c>
      <c r="J461">
        <v>21</v>
      </c>
      <c r="K461" s="1"/>
    </row>
    <row r="462" spans="1:11">
      <c r="A462" s="17" t="s">
        <v>771</v>
      </c>
      <c r="B462" s="19" t="s">
        <v>50</v>
      </c>
      <c r="C462" s="19" t="s">
        <v>1276</v>
      </c>
      <c r="D462" s="19" t="s">
        <v>1518</v>
      </c>
      <c r="E462" s="20" t="s">
        <v>32</v>
      </c>
      <c r="F462" s="19" t="s">
        <v>1276</v>
      </c>
      <c r="G462" s="19" t="s">
        <v>1519</v>
      </c>
      <c r="H462" s="19" t="s">
        <v>32</v>
      </c>
      <c r="I462">
        <v>0</v>
      </c>
      <c r="J462">
        <v>1</v>
      </c>
      <c r="K462" s="1"/>
    </row>
    <row r="463" spans="1:11">
      <c r="A463" s="17" t="s">
        <v>771</v>
      </c>
      <c r="B463" s="19" t="s">
        <v>50</v>
      </c>
      <c r="C463" s="19" t="s">
        <v>1520</v>
      </c>
      <c r="D463" s="19" t="s">
        <v>1521</v>
      </c>
      <c r="E463" s="20" t="s">
        <v>32</v>
      </c>
      <c r="F463" s="19" t="s">
        <v>1520</v>
      </c>
      <c r="G463" s="19" t="s">
        <v>1522</v>
      </c>
      <c r="H463" s="19" t="s">
        <v>32</v>
      </c>
      <c r="I463">
        <v>0</v>
      </c>
      <c r="J463">
        <v>34</v>
      </c>
      <c r="K463" s="1"/>
    </row>
    <row r="464" spans="1:11">
      <c r="A464" s="17" t="s">
        <v>771</v>
      </c>
      <c r="B464" s="19" t="s">
        <v>50</v>
      </c>
      <c r="C464" s="19" t="s">
        <v>1523</v>
      </c>
      <c r="D464" s="19" t="s">
        <v>1524</v>
      </c>
      <c r="E464" s="20" t="s">
        <v>32</v>
      </c>
      <c r="F464" s="19" t="s">
        <v>1523</v>
      </c>
      <c r="G464" s="19" t="s">
        <v>1525</v>
      </c>
      <c r="H464" s="19" t="s">
        <v>32</v>
      </c>
      <c r="I464">
        <v>0</v>
      </c>
      <c r="J464">
        <v>17</v>
      </c>
      <c r="K464" s="1"/>
    </row>
    <row r="465" spans="1:11">
      <c r="A465" s="17" t="s">
        <v>771</v>
      </c>
      <c r="B465" s="19" t="s">
        <v>50</v>
      </c>
      <c r="C465" s="19" t="s">
        <v>1526</v>
      </c>
      <c r="D465" s="19" t="s">
        <v>1527</v>
      </c>
      <c r="E465" s="20" t="s">
        <v>32</v>
      </c>
      <c r="F465" s="19" t="s">
        <v>1526</v>
      </c>
      <c r="G465" s="19" t="s">
        <v>1528</v>
      </c>
      <c r="H465" s="19" t="s">
        <v>32</v>
      </c>
      <c r="I465">
        <v>0</v>
      </c>
      <c r="J465">
        <v>60</v>
      </c>
      <c r="K465" s="1"/>
    </row>
    <row r="466" spans="1:11">
      <c r="A466" s="17" t="s">
        <v>771</v>
      </c>
      <c r="B466" s="19" t="s">
        <v>50</v>
      </c>
      <c r="C466" s="19" t="s">
        <v>1529</v>
      </c>
      <c r="D466" s="19" t="s">
        <v>1530</v>
      </c>
      <c r="E466" s="20" t="s">
        <v>32</v>
      </c>
      <c r="F466" s="19" t="s">
        <v>1529</v>
      </c>
      <c r="G466" s="19" t="s">
        <v>1531</v>
      </c>
      <c r="H466" s="19" t="s">
        <v>32</v>
      </c>
      <c r="I466">
        <v>0</v>
      </c>
      <c r="J466">
        <v>18</v>
      </c>
      <c r="K466" s="1"/>
    </row>
    <row r="467" spans="1:11">
      <c r="A467" s="17" t="s">
        <v>771</v>
      </c>
      <c r="B467" s="19" t="s">
        <v>50</v>
      </c>
      <c r="C467" s="19" t="s">
        <v>1529</v>
      </c>
      <c r="D467" s="19" t="s">
        <v>1532</v>
      </c>
      <c r="E467" s="20" t="s">
        <v>32</v>
      </c>
      <c r="F467" s="19" t="s">
        <v>1529</v>
      </c>
      <c r="G467" s="19" t="s">
        <v>1533</v>
      </c>
      <c r="H467" s="19" t="s">
        <v>32</v>
      </c>
      <c r="I467">
        <v>0</v>
      </c>
      <c r="J467">
        <v>1</v>
      </c>
      <c r="K467" s="1"/>
    </row>
    <row r="468" spans="1:11">
      <c r="A468" s="17" t="s">
        <v>771</v>
      </c>
      <c r="B468" s="19" t="s">
        <v>50</v>
      </c>
      <c r="C468" s="19" t="s">
        <v>1534</v>
      </c>
      <c r="D468" s="19" t="s">
        <v>1535</v>
      </c>
      <c r="E468" s="20" t="s">
        <v>32</v>
      </c>
      <c r="F468" s="19" t="s">
        <v>1534</v>
      </c>
      <c r="G468" s="19" t="s">
        <v>1536</v>
      </c>
      <c r="H468" s="19" t="s">
        <v>32</v>
      </c>
      <c r="I468">
        <v>0</v>
      </c>
      <c r="J468">
        <v>18</v>
      </c>
      <c r="K468" s="1"/>
    </row>
    <row r="469" spans="1:11">
      <c r="A469" s="17" t="s">
        <v>771</v>
      </c>
      <c r="B469" s="19" t="s">
        <v>50</v>
      </c>
      <c r="C469" s="19" t="s">
        <v>1537</v>
      </c>
      <c r="D469" s="19" t="s">
        <v>1538</v>
      </c>
      <c r="E469" s="20" t="s">
        <v>32</v>
      </c>
      <c r="F469" s="19" t="s">
        <v>1537</v>
      </c>
      <c r="G469" s="19" t="s">
        <v>1539</v>
      </c>
      <c r="H469" s="19" t="s">
        <v>32</v>
      </c>
      <c r="I469">
        <v>0</v>
      </c>
      <c r="J469">
        <v>11</v>
      </c>
      <c r="K469" s="1"/>
    </row>
    <row r="470" spans="1:11">
      <c r="A470" s="17" t="s">
        <v>771</v>
      </c>
      <c r="B470" s="19" t="s">
        <v>50</v>
      </c>
      <c r="C470" s="19" t="s">
        <v>1540</v>
      </c>
      <c r="D470" s="19" t="s">
        <v>1541</v>
      </c>
      <c r="E470" s="20" t="s">
        <v>32</v>
      </c>
      <c r="F470" s="19" t="s">
        <v>1540</v>
      </c>
      <c r="G470" s="19" t="s">
        <v>1542</v>
      </c>
      <c r="H470" s="19" t="s">
        <v>32</v>
      </c>
      <c r="I470">
        <v>0</v>
      </c>
      <c r="J470">
        <v>442</v>
      </c>
      <c r="K470" s="1"/>
    </row>
    <row r="471" spans="1:11">
      <c r="A471" s="17" t="s">
        <v>771</v>
      </c>
      <c r="B471" s="19" t="s">
        <v>50</v>
      </c>
      <c r="C471" s="19" t="s">
        <v>1543</v>
      </c>
      <c r="D471" s="19" t="s">
        <v>1544</v>
      </c>
      <c r="E471" s="20" t="s">
        <v>32</v>
      </c>
      <c r="F471" s="19" t="s">
        <v>1543</v>
      </c>
      <c r="G471" s="19" t="s">
        <v>1545</v>
      </c>
      <c r="H471" s="19" t="s">
        <v>32</v>
      </c>
      <c r="I471">
        <v>0</v>
      </c>
      <c r="J471">
        <v>33</v>
      </c>
      <c r="K471" s="1"/>
    </row>
    <row r="472" spans="1:11">
      <c r="A472" s="17" t="s">
        <v>771</v>
      </c>
      <c r="B472" s="19" t="s">
        <v>50</v>
      </c>
      <c r="C472" s="19" t="s">
        <v>1546</v>
      </c>
      <c r="D472" s="19" t="s">
        <v>1547</v>
      </c>
      <c r="E472" s="20" t="s">
        <v>32</v>
      </c>
      <c r="F472" s="19" t="s">
        <v>1546</v>
      </c>
      <c r="G472" s="19" t="s">
        <v>1548</v>
      </c>
      <c r="H472" s="19" t="s">
        <v>32</v>
      </c>
      <c r="I472">
        <v>0</v>
      </c>
      <c r="J472">
        <v>17</v>
      </c>
      <c r="K472" s="1"/>
    </row>
    <row r="473" spans="1:11">
      <c r="A473" s="17" t="s">
        <v>771</v>
      </c>
      <c r="B473" s="19" t="s">
        <v>50</v>
      </c>
      <c r="C473" s="19" t="s">
        <v>1549</v>
      </c>
      <c r="D473" s="19" t="s">
        <v>1550</v>
      </c>
      <c r="E473" s="20" t="s">
        <v>32</v>
      </c>
      <c r="F473" s="19" t="s">
        <v>1549</v>
      </c>
      <c r="G473" s="19" t="s">
        <v>1551</v>
      </c>
      <c r="H473" s="19" t="s">
        <v>32</v>
      </c>
      <c r="I473">
        <v>0</v>
      </c>
      <c r="J473">
        <v>35</v>
      </c>
      <c r="K473" s="1"/>
    </row>
    <row r="474" spans="1:11">
      <c r="A474" s="17" t="s">
        <v>771</v>
      </c>
      <c r="B474" s="19" t="s">
        <v>50</v>
      </c>
      <c r="C474" s="19" t="s">
        <v>1552</v>
      </c>
      <c r="D474" s="19" t="s">
        <v>497</v>
      </c>
      <c r="E474" s="20" t="s">
        <v>32</v>
      </c>
      <c r="F474" s="19" t="s">
        <v>1552</v>
      </c>
      <c r="G474" s="19" t="s">
        <v>498</v>
      </c>
      <c r="H474" s="19" t="s">
        <v>32</v>
      </c>
      <c r="I474">
        <v>0</v>
      </c>
      <c r="J474">
        <v>1</v>
      </c>
      <c r="K474" s="1"/>
    </row>
    <row r="475" spans="1:11">
      <c r="A475" s="17" t="s">
        <v>771</v>
      </c>
      <c r="B475" s="19" t="s">
        <v>50</v>
      </c>
      <c r="C475" s="19" t="s">
        <v>1553</v>
      </c>
      <c r="D475" s="19" t="s">
        <v>1554</v>
      </c>
      <c r="E475" s="20" t="s">
        <v>32</v>
      </c>
      <c r="F475" s="19" t="s">
        <v>1553</v>
      </c>
      <c r="G475" s="19" t="s">
        <v>1555</v>
      </c>
      <c r="H475" s="19" t="s">
        <v>32</v>
      </c>
      <c r="I475">
        <v>0</v>
      </c>
      <c r="J475">
        <v>36</v>
      </c>
      <c r="K475" s="1"/>
    </row>
    <row r="476" spans="1:11">
      <c r="A476" s="17" t="s">
        <v>771</v>
      </c>
      <c r="B476" s="19" t="s">
        <v>50</v>
      </c>
      <c r="C476" s="19" t="s">
        <v>1553</v>
      </c>
      <c r="D476" s="19" t="s">
        <v>1556</v>
      </c>
      <c r="E476" s="20" t="s">
        <v>32</v>
      </c>
      <c r="F476" s="19" t="s">
        <v>1553</v>
      </c>
      <c r="G476" s="19" t="s">
        <v>1557</v>
      </c>
      <c r="H476" s="19" t="s">
        <v>32</v>
      </c>
      <c r="I476">
        <v>0</v>
      </c>
      <c r="J476">
        <v>63</v>
      </c>
      <c r="K476" s="1"/>
    </row>
    <row r="477" spans="1:11">
      <c r="A477" s="17" t="s">
        <v>771</v>
      </c>
      <c r="B477" s="19" t="s">
        <v>50</v>
      </c>
      <c r="C477" s="19" t="s">
        <v>1558</v>
      </c>
      <c r="D477" s="19" t="s">
        <v>1559</v>
      </c>
      <c r="E477" s="20" t="s">
        <v>32</v>
      </c>
      <c r="F477" s="19" t="s">
        <v>1558</v>
      </c>
      <c r="G477" s="19" t="s">
        <v>1560</v>
      </c>
      <c r="H477" s="19" t="s">
        <v>32</v>
      </c>
      <c r="I477">
        <v>0</v>
      </c>
      <c r="J477">
        <v>44</v>
      </c>
      <c r="K477" s="1"/>
    </row>
    <row r="478" spans="1:11">
      <c r="A478" s="17" t="s">
        <v>771</v>
      </c>
      <c r="B478" s="19" t="s">
        <v>50</v>
      </c>
      <c r="C478" s="19" t="s">
        <v>1561</v>
      </c>
      <c r="D478" s="19" t="s">
        <v>1562</v>
      </c>
      <c r="E478" s="20" t="s">
        <v>32</v>
      </c>
      <c r="F478" s="19" t="s">
        <v>1561</v>
      </c>
      <c r="G478" s="19" t="s">
        <v>1563</v>
      </c>
      <c r="H478" s="19" t="s">
        <v>32</v>
      </c>
      <c r="I478">
        <v>0</v>
      </c>
      <c r="J478">
        <v>74</v>
      </c>
      <c r="K478" s="1"/>
    </row>
    <row r="479" spans="1:11">
      <c r="A479" s="17" t="s">
        <v>771</v>
      </c>
      <c r="B479" s="19" t="s">
        <v>50</v>
      </c>
      <c r="C479" s="19" t="s">
        <v>1564</v>
      </c>
      <c r="D479" s="19" t="s">
        <v>1565</v>
      </c>
      <c r="E479" s="20" t="s">
        <v>32</v>
      </c>
      <c r="F479" s="19" t="s">
        <v>1564</v>
      </c>
      <c r="G479" s="19" t="s">
        <v>1566</v>
      </c>
      <c r="H479" s="19" t="s">
        <v>32</v>
      </c>
      <c r="I479">
        <v>0</v>
      </c>
      <c r="J479">
        <v>55</v>
      </c>
      <c r="K479" s="1"/>
    </row>
    <row r="480" spans="1:11">
      <c r="A480" s="17" t="s">
        <v>771</v>
      </c>
      <c r="B480" s="19" t="s">
        <v>49</v>
      </c>
      <c r="C480" s="19" t="s">
        <v>1567</v>
      </c>
      <c r="D480" s="19" t="s">
        <v>1568</v>
      </c>
      <c r="E480" s="20" t="s">
        <v>12</v>
      </c>
      <c r="F480" s="19" t="s">
        <v>1567</v>
      </c>
      <c r="G480" s="19" t="s">
        <v>1569</v>
      </c>
      <c r="H480" s="19" t="s">
        <v>31</v>
      </c>
      <c r="I480">
        <v>2</v>
      </c>
      <c r="J480">
        <v>0</v>
      </c>
      <c r="K480" s="1"/>
    </row>
    <row r="481" spans="1:11">
      <c r="A481" s="17" t="s">
        <v>771</v>
      </c>
      <c r="B481" s="19" t="s">
        <v>49</v>
      </c>
      <c r="C481" s="19" t="s">
        <v>1570</v>
      </c>
      <c r="D481" s="19" t="s">
        <v>1571</v>
      </c>
      <c r="E481" s="20" t="s">
        <v>12</v>
      </c>
      <c r="F481" s="19" t="s">
        <v>1570</v>
      </c>
      <c r="G481" s="19" t="s">
        <v>1572</v>
      </c>
      <c r="H481" s="19" t="s">
        <v>31</v>
      </c>
      <c r="I481">
        <v>12</v>
      </c>
      <c r="J481">
        <v>0</v>
      </c>
      <c r="K481" s="1"/>
    </row>
    <row r="482" spans="1:11">
      <c r="A482" s="17" t="s">
        <v>771</v>
      </c>
      <c r="B482" s="19" t="s">
        <v>49</v>
      </c>
      <c r="C482" s="19" t="s">
        <v>1573</v>
      </c>
      <c r="D482" s="19" t="s">
        <v>1574</v>
      </c>
      <c r="E482" s="20" t="s">
        <v>12</v>
      </c>
      <c r="F482" s="19" t="s">
        <v>1573</v>
      </c>
      <c r="G482" s="19" t="s">
        <v>1575</v>
      </c>
      <c r="H482" s="19" t="s">
        <v>31</v>
      </c>
      <c r="I482">
        <v>1</v>
      </c>
      <c r="J482">
        <v>0</v>
      </c>
      <c r="K482" s="1"/>
    </row>
    <row r="483" spans="1:11">
      <c r="A483" s="17" t="s">
        <v>771</v>
      </c>
      <c r="B483" s="19" t="s">
        <v>49</v>
      </c>
      <c r="C483" s="19" t="s">
        <v>1576</v>
      </c>
      <c r="D483" s="19" t="s">
        <v>1577</v>
      </c>
      <c r="E483" s="20" t="s">
        <v>12</v>
      </c>
      <c r="F483" s="19" t="s">
        <v>1576</v>
      </c>
      <c r="G483" s="19" t="s">
        <v>1578</v>
      </c>
      <c r="H483" s="19" t="s">
        <v>31</v>
      </c>
      <c r="I483">
        <v>7</v>
      </c>
      <c r="J483">
        <v>0</v>
      </c>
      <c r="K483" s="1"/>
    </row>
    <row r="484" spans="1:11">
      <c r="A484" s="17" t="s">
        <v>771</v>
      </c>
      <c r="B484" s="19" t="s">
        <v>49</v>
      </c>
      <c r="C484" s="19" t="s">
        <v>1579</v>
      </c>
      <c r="D484" s="19" t="s">
        <v>1580</v>
      </c>
      <c r="E484" s="20" t="s">
        <v>12</v>
      </c>
      <c r="F484" s="19" t="s">
        <v>1579</v>
      </c>
      <c r="G484" s="19" t="s">
        <v>1581</v>
      </c>
      <c r="H484" s="19" t="s">
        <v>31</v>
      </c>
      <c r="I484">
        <v>2</v>
      </c>
      <c r="J484">
        <v>0</v>
      </c>
      <c r="K484" s="1"/>
    </row>
    <row r="485" spans="1:11">
      <c r="A485" s="17" t="s">
        <v>771</v>
      </c>
      <c r="B485" s="19" t="s">
        <v>49</v>
      </c>
      <c r="C485" s="19" t="s">
        <v>1582</v>
      </c>
      <c r="D485" s="19" t="s">
        <v>67</v>
      </c>
      <c r="E485" s="20" t="s">
        <v>12</v>
      </c>
      <c r="F485" s="19" t="s">
        <v>1582</v>
      </c>
      <c r="G485" s="19" t="s">
        <v>68</v>
      </c>
      <c r="H485" s="19" t="s">
        <v>31</v>
      </c>
      <c r="I485">
        <v>1</v>
      </c>
      <c r="J485">
        <v>0</v>
      </c>
      <c r="K485" s="1"/>
    </row>
    <row r="486" spans="1:11">
      <c r="A486" s="17" t="s">
        <v>771</v>
      </c>
      <c r="B486" s="19" t="s">
        <v>217</v>
      </c>
      <c r="C486" s="19" t="s">
        <v>1583</v>
      </c>
      <c r="D486" s="19" t="s">
        <v>218</v>
      </c>
      <c r="E486" s="20" t="s">
        <v>32</v>
      </c>
      <c r="F486" s="19" t="s">
        <v>1583</v>
      </c>
      <c r="G486" s="19" t="s">
        <v>219</v>
      </c>
      <c r="H486" s="19" t="s">
        <v>32</v>
      </c>
      <c r="I486">
        <v>0</v>
      </c>
      <c r="J486">
        <v>3</v>
      </c>
      <c r="K486" s="1"/>
    </row>
    <row r="487" spans="1:11">
      <c r="A487" s="17" t="s">
        <v>771</v>
      </c>
      <c r="B487" s="19" t="s">
        <v>111</v>
      </c>
      <c r="C487" s="19" t="s">
        <v>1584</v>
      </c>
      <c r="D487" s="19" t="s">
        <v>222</v>
      </c>
      <c r="E487" s="20" t="s">
        <v>12</v>
      </c>
      <c r="F487" s="19" t="s">
        <v>1584</v>
      </c>
      <c r="G487" s="19" t="s">
        <v>223</v>
      </c>
      <c r="H487" s="19" t="s">
        <v>31</v>
      </c>
      <c r="I487">
        <v>19</v>
      </c>
      <c r="J487">
        <v>0</v>
      </c>
      <c r="K487" s="1"/>
    </row>
    <row r="488" spans="1:11">
      <c r="A488" s="17" t="s">
        <v>771</v>
      </c>
      <c r="B488" s="19" t="s">
        <v>111</v>
      </c>
      <c r="C488" s="19" t="s">
        <v>1585</v>
      </c>
      <c r="D488" s="19" t="s">
        <v>226</v>
      </c>
      <c r="E488" s="20" t="s">
        <v>12</v>
      </c>
      <c r="F488" s="19" t="s">
        <v>1585</v>
      </c>
      <c r="G488" s="19" t="s">
        <v>227</v>
      </c>
      <c r="H488" s="19" t="s">
        <v>31</v>
      </c>
      <c r="I488">
        <v>12</v>
      </c>
      <c r="J488">
        <v>0</v>
      </c>
      <c r="K488" s="1"/>
    </row>
    <row r="489" spans="1:11">
      <c r="A489" s="17" t="s">
        <v>771</v>
      </c>
      <c r="B489" s="19" t="s">
        <v>111</v>
      </c>
      <c r="C489" s="19" t="s">
        <v>1586</v>
      </c>
      <c r="D489" s="19" t="s">
        <v>1587</v>
      </c>
      <c r="E489" s="20" t="s">
        <v>12</v>
      </c>
      <c r="F489" s="19" t="s">
        <v>1586</v>
      </c>
      <c r="G489" s="19" t="s">
        <v>1588</v>
      </c>
      <c r="H489" s="19" t="s">
        <v>31</v>
      </c>
      <c r="I489">
        <v>1</v>
      </c>
      <c r="J489">
        <v>0</v>
      </c>
      <c r="K489" s="1"/>
    </row>
    <row r="490" spans="1:11">
      <c r="A490" s="17" t="s">
        <v>771</v>
      </c>
      <c r="B490" s="19" t="s">
        <v>111</v>
      </c>
      <c r="C490" s="19" t="s">
        <v>1589</v>
      </c>
      <c r="D490" s="19" t="s">
        <v>220</v>
      </c>
      <c r="E490" s="20" t="s">
        <v>32</v>
      </c>
      <c r="F490" s="19" t="s">
        <v>1589</v>
      </c>
      <c r="G490" s="19" t="s">
        <v>221</v>
      </c>
      <c r="H490" s="19" t="s">
        <v>32</v>
      </c>
      <c r="I490">
        <v>1</v>
      </c>
      <c r="J490">
        <v>0</v>
      </c>
      <c r="K490" s="1"/>
    </row>
    <row r="491" spans="1:11">
      <c r="A491" s="17" t="s">
        <v>771</v>
      </c>
      <c r="B491" s="19" t="s">
        <v>111</v>
      </c>
      <c r="C491" s="19" t="s">
        <v>1590</v>
      </c>
      <c r="D491" s="19" t="s">
        <v>224</v>
      </c>
      <c r="E491" s="20" t="s">
        <v>12</v>
      </c>
      <c r="F491" s="19" t="s">
        <v>1590</v>
      </c>
      <c r="G491" s="19" t="s">
        <v>225</v>
      </c>
      <c r="H491" s="19" t="s">
        <v>31</v>
      </c>
      <c r="I491">
        <v>12</v>
      </c>
      <c r="J491">
        <v>0</v>
      </c>
      <c r="K491" s="1"/>
    </row>
    <row r="492" spans="1:11">
      <c r="A492" s="17" t="s">
        <v>771</v>
      </c>
      <c r="B492" s="19" t="s">
        <v>51</v>
      </c>
      <c r="C492" s="19" t="s">
        <v>1591</v>
      </c>
      <c r="D492" s="19" t="s">
        <v>1592</v>
      </c>
      <c r="E492" s="20" t="s">
        <v>32</v>
      </c>
      <c r="F492" s="19" t="s">
        <v>1591</v>
      </c>
      <c r="G492" s="19" t="s">
        <v>1593</v>
      </c>
      <c r="H492" s="19" t="s">
        <v>32</v>
      </c>
      <c r="I492">
        <v>0</v>
      </c>
      <c r="J492">
        <v>129</v>
      </c>
      <c r="K492" s="1"/>
    </row>
    <row r="493" spans="1:11">
      <c r="A493" s="17" t="s">
        <v>771</v>
      </c>
      <c r="B493" s="19" t="s">
        <v>51</v>
      </c>
      <c r="C493" s="19" t="s">
        <v>1591</v>
      </c>
      <c r="D493" s="19" t="s">
        <v>1594</v>
      </c>
      <c r="E493" s="20" t="s">
        <v>32</v>
      </c>
      <c r="F493" s="19" t="s">
        <v>1591</v>
      </c>
      <c r="G493" s="19" t="s">
        <v>1595</v>
      </c>
      <c r="H493" s="19" t="s">
        <v>32</v>
      </c>
      <c r="I493">
        <v>0</v>
      </c>
      <c r="J493">
        <v>1</v>
      </c>
      <c r="K493" s="1"/>
    </row>
    <row r="494" spans="1:11">
      <c r="A494" s="17" t="s">
        <v>771</v>
      </c>
      <c r="B494" s="19" t="s">
        <v>51</v>
      </c>
      <c r="C494" s="19" t="s">
        <v>1596</v>
      </c>
      <c r="D494" s="19" t="s">
        <v>1597</v>
      </c>
      <c r="E494" s="20" t="s">
        <v>32</v>
      </c>
      <c r="F494" s="19" t="s">
        <v>1596</v>
      </c>
      <c r="G494" s="19" t="s">
        <v>1598</v>
      </c>
      <c r="H494" s="19" t="s">
        <v>32</v>
      </c>
      <c r="I494">
        <v>0</v>
      </c>
      <c r="J494">
        <v>66</v>
      </c>
      <c r="K494" s="1"/>
    </row>
    <row r="495" spans="1:11">
      <c r="A495" s="17" t="s">
        <v>771</v>
      </c>
      <c r="B495" s="19" t="s">
        <v>51</v>
      </c>
      <c r="C495" s="19" t="s">
        <v>1596</v>
      </c>
      <c r="D495" s="19" t="s">
        <v>1599</v>
      </c>
      <c r="E495" s="20" t="s">
        <v>32</v>
      </c>
      <c r="F495" s="19" t="s">
        <v>1596</v>
      </c>
      <c r="G495" s="19" t="s">
        <v>1600</v>
      </c>
      <c r="H495" s="19" t="s">
        <v>32</v>
      </c>
      <c r="I495">
        <v>0</v>
      </c>
      <c r="J495">
        <v>1</v>
      </c>
      <c r="K495" s="1"/>
    </row>
    <row r="496" spans="1:11">
      <c r="A496" s="17" t="s">
        <v>771</v>
      </c>
      <c r="B496" s="19" t="s">
        <v>51</v>
      </c>
      <c r="C496" s="19" t="s">
        <v>1553</v>
      </c>
      <c r="D496" s="19" t="s">
        <v>1601</v>
      </c>
      <c r="E496" s="20" t="s">
        <v>32</v>
      </c>
      <c r="F496" s="19" t="s">
        <v>1553</v>
      </c>
      <c r="G496" s="19" t="s">
        <v>1602</v>
      </c>
      <c r="H496" s="19" t="s">
        <v>32</v>
      </c>
      <c r="I496">
        <v>0</v>
      </c>
      <c r="J496">
        <v>50</v>
      </c>
      <c r="K496" s="1"/>
    </row>
    <row r="497" spans="1:11">
      <c r="A497" s="17" t="s">
        <v>771</v>
      </c>
      <c r="B497" s="19" t="s">
        <v>51</v>
      </c>
      <c r="C497" s="19" t="s">
        <v>1558</v>
      </c>
      <c r="D497" s="19" t="s">
        <v>1603</v>
      </c>
      <c r="E497" s="20" t="s">
        <v>32</v>
      </c>
      <c r="F497" s="19" t="s">
        <v>1558</v>
      </c>
      <c r="G497" s="19" t="s">
        <v>1604</v>
      </c>
      <c r="H497" s="19" t="s">
        <v>32</v>
      </c>
      <c r="I497">
        <v>0</v>
      </c>
      <c r="J497">
        <v>48</v>
      </c>
      <c r="K497" s="1"/>
    </row>
    <row r="498" spans="1:11">
      <c r="A498" s="17" t="s">
        <v>771</v>
      </c>
      <c r="B498" s="19" t="s">
        <v>51</v>
      </c>
      <c r="C498" s="19" t="s">
        <v>1561</v>
      </c>
      <c r="D498" s="19" t="s">
        <v>1605</v>
      </c>
      <c r="E498" s="20" t="s">
        <v>32</v>
      </c>
      <c r="F498" s="19" t="s">
        <v>1561</v>
      </c>
      <c r="G498" s="19" t="s">
        <v>1606</v>
      </c>
      <c r="H498" s="19" t="s">
        <v>32</v>
      </c>
      <c r="I498">
        <v>0</v>
      </c>
      <c r="J498">
        <v>37</v>
      </c>
      <c r="K498" s="1"/>
    </row>
    <row r="499" spans="1:11">
      <c r="A499" s="17" t="s">
        <v>771</v>
      </c>
      <c r="B499" s="19" t="s">
        <v>51</v>
      </c>
      <c r="C499" s="19" t="s">
        <v>1607</v>
      </c>
      <c r="D499" s="19" t="s">
        <v>1608</v>
      </c>
      <c r="E499" s="20" t="s">
        <v>32</v>
      </c>
      <c r="F499" s="19" t="s">
        <v>1607</v>
      </c>
      <c r="G499" s="19" t="s">
        <v>1609</v>
      </c>
      <c r="H499" s="19" t="s">
        <v>32</v>
      </c>
      <c r="I499">
        <v>0</v>
      </c>
      <c r="J499">
        <v>229</v>
      </c>
      <c r="K499" s="1"/>
    </row>
    <row r="500" spans="1:11">
      <c r="A500" s="17" t="s">
        <v>771</v>
      </c>
      <c r="B500" s="19" t="s">
        <v>51</v>
      </c>
      <c r="C500" s="19" t="s">
        <v>1564</v>
      </c>
      <c r="D500" s="19" t="s">
        <v>1610</v>
      </c>
      <c r="E500" s="20" t="s">
        <v>32</v>
      </c>
      <c r="F500" s="19" t="s">
        <v>1564</v>
      </c>
      <c r="G500" s="19" t="s">
        <v>1611</v>
      </c>
      <c r="H500" s="19" t="s">
        <v>32</v>
      </c>
      <c r="I500">
        <v>0</v>
      </c>
      <c r="J500">
        <v>101</v>
      </c>
      <c r="K500" s="1"/>
    </row>
    <row r="501" spans="1:11">
      <c r="A501" s="17" t="s">
        <v>771</v>
      </c>
      <c r="B501" s="19" t="s">
        <v>51</v>
      </c>
      <c r="C501" s="19" t="s">
        <v>1612</v>
      </c>
      <c r="D501" s="19" t="s">
        <v>1613</v>
      </c>
      <c r="E501" s="20" t="s">
        <v>32</v>
      </c>
      <c r="F501" s="19" t="s">
        <v>1612</v>
      </c>
      <c r="G501" s="19" t="s">
        <v>1614</v>
      </c>
      <c r="H501" s="19" t="s">
        <v>32</v>
      </c>
      <c r="I501">
        <v>0</v>
      </c>
      <c r="J501">
        <v>47</v>
      </c>
      <c r="K501" s="1"/>
    </row>
    <row r="502" spans="1:11">
      <c r="A502" s="17" t="s">
        <v>771</v>
      </c>
      <c r="B502" s="19" t="s">
        <v>51</v>
      </c>
      <c r="C502" s="19" t="s">
        <v>1615</v>
      </c>
      <c r="D502" s="19" t="s">
        <v>1616</v>
      </c>
      <c r="E502" s="20" t="s">
        <v>32</v>
      </c>
      <c r="F502" s="19" t="s">
        <v>1615</v>
      </c>
      <c r="G502" s="19" t="s">
        <v>1617</v>
      </c>
      <c r="H502" s="19" t="s">
        <v>32</v>
      </c>
      <c r="I502">
        <v>0</v>
      </c>
      <c r="J502">
        <v>60</v>
      </c>
      <c r="K502" s="1"/>
    </row>
    <row r="503" spans="1:11">
      <c r="A503" s="17" t="s">
        <v>771</v>
      </c>
      <c r="B503" s="19" t="s">
        <v>51</v>
      </c>
      <c r="C503" s="19" t="s">
        <v>1618</v>
      </c>
      <c r="D503" s="19" t="s">
        <v>1619</v>
      </c>
      <c r="E503" s="20" t="s">
        <v>32</v>
      </c>
      <c r="F503" s="19" t="s">
        <v>1618</v>
      </c>
      <c r="G503" s="19" t="s">
        <v>1620</v>
      </c>
      <c r="H503" s="19" t="s">
        <v>32</v>
      </c>
      <c r="I503">
        <v>0</v>
      </c>
      <c r="J503">
        <v>173</v>
      </c>
      <c r="K503" s="1"/>
    </row>
    <row r="504" spans="1:11">
      <c r="A504" s="17" t="s">
        <v>771</v>
      </c>
      <c r="B504" s="19" t="s">
        <v>51</v>
      </c>
      <c r="C504" s="19" t="s">
        <v>1621</v>
      </c>
      <c r="D504" s="19" t="s">
        <v>1622</v>
      </c>
      <c r="E504" s="20" t="s">
        <v>32</v>
      </c>
      <c r="F504" s="19" t="s">
        <v>1621</v>
      </c>
      <c r="G504" s="19" t="s">
        <v>1623</v>
      </c>
      <c r="H504" s="19" t="s">
        <v>32</v>
      </c>
      <c r="I504">
        <v>0</v>
      </c>
      <c r="J504">
        <v>144</v>
      </c>
      <c r="K504" s="1"/>
    </row>
    <row r="505" spans="1:11">
      <c r="A505" s="17" t="s">
        <v>771</v>
      </c>
      <c r="B505" s="19" t="s">
        <v>51</v>
      </c>
      <c r="C505" s="19" t="s">
        <v>1624</v>
      </c>
      <c r="D505" s="19" t="s">
        <v>1625</v>
      </c>
      <c r="E505" s="20" t="s">
        <v>32</v>
      </c>
      <c r="F505" s="19" t="s">
        <v>1624</v>
      </c>
      <c r="G505" s="19" t="s">
        <v>1626</v>
      </c>
      <c r="H505" s="19" t="s">
        <v>32</v>
      </c>
      <c r="I505">
        <v>0</v>
      </c>
      <c r="J505">
        <v>48</v>
      </c>
      <c r="K505" s="1"/>
    </row>
    <row r="506" spans="1:11">
      <c r="A506" s="17" t="s">
        <v>771</v>
      </c>
      <c r="B506" s="19" t="s">
        <v>51</v>
      </c>
      <c r="C506" s="19" t="s">
        <v>1627</v>
      </c>
      <c r="D506" s="19" t="s">
        <v>1628</v>
      </c>
      <c r="E506" s="20" t="s">
        <v>32</v>
      </c>
      <c r="F506" s="19" t="s">
        <v>1627</v>
      </c>
      <c r="G506" s="19" t="s">
        <v>1629</v>
      </c>
      <c r="H506" s="19" t="s">
        <v>32</v>
      </c>
      <c r="I506">
        <v>0</v>
      </c>
      <c r="J506">
        <v>160</v>
      </c>
      <c r="K506" s="1"/>
    </row>
    <row r="507" spans="1:11">
      <c r="A507" s="17" t="s">
        <v>771</v>
      </c>
      <c r="B507" s="19" t="s">
        <v>51</v>
      </c>
      <c r="C507" s="19" t="s">
        <v>1630</v>
      </c>
      <c r="D507" s="19" t="s">
        <v>1631</v>
      </c>
      <c r="E507" s="20" t="s">
        <v>32</v>
      </c>
      <c r="F507" s="19" t="s">
        <v>1630</v>
      </c>
      <c r="G507" s="19" t="s">
        <v>1632</v>
      </c>
      <c r="H507" s="19" t="s">
        <v>32</v>
      </c>
      <c r="I507">
        <v>0</v>
      </c>
      <c r="J507">
        <v>32</v>
      </c>
      <c r="K507" s="1"/>
    </row>
    <row r="508" spans="1:11">
      <c r="A508" s="17" t="s">
        <v>771</v>
      </c>
      <c r="B508" s="19" t="s">
        <v>51</v>
      </c>
      <c r="C508" s="19" t="s">
        <v>1633</v>
      </c>
      <c r="D508" s="19" t="s">
        <v>1634</v>
      </c>
      <c r="E508" s="20" t="s">
        <v>32</v>
      </c>
      <c r="F508" s="19" t="s">
        <v>1633</v>
      </c>
      <c r="G508" s="19" t="s">
        <v>1635</v>
      </c>
      <c r="H508" s="19" t="s">
        <v>32</v>
      </c>
      <c r="I508">
        <v>0</v>
      </c>
      <c r="J508">
        <v>47</v>
      </c>
      <c r="K508" s="1"/>
    </row>
    <row r="509" spans="1:11">
      <c r="A509" s="17" t="s">
        <v>771</v>
      </c>
      <c r="B509" s="19" t="s">
        <v>51</v>
      </c>
      <c r="C509" s="19" t="s">
        <v>1636</v>
      </c>
      <c r="D509" s="19" t="s">
        <v>1637</v>
      </c>
      <c r="E509" s="20" t="s">
        <v>32</v>
      </c>
      <c r="F509" s="19" t="s">
        <v>1636</v>
      </c>
      <c r="G509" s="19" t="s">
        <v>1638</v>
      </c>
      <c r="H509" s="19" t="s">
        <v>32</v>
      </c>
      <c r="I509">
        <v>0</v>
      </c>
      <c r="J509">
        <v>13</v>
      </c>
      <c r="K509" s="1"/>
    </row>
    <row r="510" spans="1:11">
      <c r="A510" s="17" t="s">
        <v>771</v>
      </c>
      <c r="B510" s="19" t="s">
        <v>51</v>
      </c>
      <c r="C510" s="19" t="s">
        <v>1639</v>
      </c>
      <c r="D510" s="19" t="s">
        <v>1640</v>
      </c>
      <c r="E510" s="20" t="s">
        <v>32</v>
      </c>
      <c r="F510" s="19" t="s">
        <v>1639</v>
      </c>
      <c r="G510" s="19" t="s">
        <v>1641</v>
      </c>
      <c r="H510" s="19" t="s">
        <v>32</v>
      </c>
      <c r="I510">
        <v>0</v>
      </c>
      <c r="J510">
        <v>63</v>
      </c>
      <c r="K510" s="1"/>
    </row>
    <row r="511" spans="1:11">
      <c r="A511" s="17" t="s">
        <v>771</v>
      </c>
      <c r="B511" s="19" t="s">
        <v>51</v>
      </c>
      <c r="C511" s="19" t="s">
        <v>1642</v>
      </c>
      <c r="D511" s="19" t="s">
        <v>1643</v>
      </c>
      <c r="E511" s="20" t="s">
        <v>32</v>
      </c>
      <c r="F511" s="19" t="s">
        <v>1642</v>
      </c>
      <c r="G511" s="19" t="s">
        <v>1644</v>
      </c>
      <c r="H511" s="19" t="s">
        <v>32</v>
      </c>
      <c r="I511">
        <v>0</v>
      </c>
      <c r="J511">
        <v>211</v>
      </c>
      <c r="K511" s="1"/>
    </row>
    <row r="512" spans="1:11">
      <c r="A512" s="17" t="s">
        <v>771</v>
      </c>
      <c r="B512" s="19" t="s">
        <v>51</v>
      </c>
      <c r="C512" s="19" t="s">
        <v>1645</v>
      </c>
      <c r="D512" s="19" t="s">
        <v>1646</v>
      </c>
      <c r="E512" s="20" t="s">
        <v>32</v>
      </c>
      <c r="F512" s="19" t="s">
        <v>1645</v>
      </c>
      <c r="G512" s="19" t="s">
        <v>1647</v>
      </c>
      <c r="H512" s="19" t="s">
        <v>32</v>
      </c>
      <c r="I512">
        <v>0</v>
      </c>
      <c r="J512">
        <v>96</v>
      </c>
      <c r="K512" s="1"/>
    </row>
    <row r="513" spans="1:11">
      <c r="A513" s="17" t="s">
        <v>771</v>
      </c>
      <c r="B513" s="19" t="s">
        <v>51</v>
      </c>
      <c r="C513" s="19" t="s">
        <v>1648</v>
      </c>
      <c r="D513" s="19" t="s">
        <v>1649</v>
      </c>
      <c r="E513" s="20" t="s">
        <v>32</v>
      </c>
      <c r="F513" s="19" t="s">
        <v>1648</v>
      </c>
      <c r="G513" s="19" t="s">
        <v>1650</v>
      </c>
      <c r="H513" s="19" t="s">
        <v>32</v>
      </c>
      <c r="I513">
        <v>0</v>
      </c>
      <c r="J513">
        <v>37</v>
      </c>
      <c r="K513" s="1"/>
    </row>
    <row r="514" spans="1:11">
      <c r="A514" s="17" t="s">
        <v>771</v>
      </c>
      <c r="B514" s="19" t="s">
        <v>51</v>
      </c>
      <c r="C514" s="19" t="s">
        <v>1651</v>
      </c>
      <c r="D514" s="19" t="s">
        <v>1652</v>
      </c>
      <c r="E514" s="20" t="s">
        <v>32</v>
      </c>
      <c r="F514" s="19" t="s">
        <v>1651</v>
      </c>
      <c r="G514" s="19" t="s">
        <v>1653</v>
      </c>
      <c r="H514" s="19" t="s">
        <v>32</v>
      </c>
      <c r="I514">
        <v>0</v>
      </c>
      <c r="J514">
        <v>95</v>
      </c>
      <c r="K514" s="1"/>
    </row>
    <row r="515" spans="1:11">
      <c r="A515" s="17" t="s">
        <v>771</v>
      </c>
      <c r="B515" s="19" t="s">
        <v>51</v>
      </c>
      <c r="C515" s="19" t="s">
        <v>1654</v>
      </c>
      <c r="D515" s="19" t="s">
        <v>1655</v>
      </c>
      <c r="E515" s="20" t="s">
        <v>32</v>
      </c>
      <c r="F515" s="19" t="s">
        <v>1654</v>
      </c>
      <c r="G515" s="19" t="s">
        <v>1656</v>
      </c>
      <c r="H515" s="19" t="s">
        <v>32</v>
      </c>
      <c r="I515">
        <v>0</v>
      </c>
      <c r="J515">
        <v>19</v>
      </c>
      <c r="K515" s="1"/>
    </row>
    <row r="516" spans="1:11">
      <c r="A516" s="17" t="s">
        <v>771</v>
      </c>
      <c r="B516" s="19" t="s">
        <v>51</v>
      </c>
      <c r="C516" s="19" t="s">
        <v>1657</v>
      </c>
      <c r="D516" s="19" t="s">
        <v>1658</v>
      </c>
      <c r="E516" s="20" t="s">
        <v>32</v>
      </c>
      <c r="F516" s="19" t="s">
        <v>1657</v>
      </c>
      <c r="G516" s="19" t="s">
        <v>1659</v>
      </c>
      <c r="H516" s="19" t="s">
        <v>32</v>
      </c>
      <c r="I516">
        <v>0</v>
      </c>
      <c r="J516">
        <v>33</v>
      </c>
      <c r="K516" s="1"/>
    </row>
    <row r="517" spans="1:11">
      <c r="A517" s="17" t="s">
        <v>771</v>
      </c>
      <c r="B517" s="19" t="s">
        <v>51</v>
      </c>
      <c r="C517" s="19" t="s">
        <v>1660</v>
      </c>
      <c r="D517" s="19" t="s">
        <v>1661</v>
      </c>
      <c r="E517" s="20" t="s">
        <v>32</v>
      </c>
      <c r="F517" s="19" t="s">
        <v>1660</v>
      </c>
      <c r="G517" s="19" t="s">
        <v>1662</v>
      </c>
      <c r="H517" s="19" t="s">
        <v>32</v>
      </c>
      <c r="I517">
        <v>0</v>
      </c>
      <c r="J517">
        <v>32</v>
      </c>
      <c r="K517" s="1"/>
    </row>
    <row r="518" spans="1:11">
      <c r="A518" s="17" t="s">
        <v>771</v>
      </c>
      <c r="B518" s="19" t="s">
        <v>51</v>
      </c>
      <c r="C518" s="19" t="s">
        <v>1663</v>
      </c>
      <c r="D518" s="19" t="s">
        <v>1664</v>
      </c>
      <c r="E518" s="20" t="s">
        <v>32</v>
      </c>
      <c r="F518" s="19" t="s">
        <v>1663</v>
      </c>
      <c r="G518" s="19" t="s">
        <v>1665</v>
      </c>
      <c r="H518" s="19" t="s">
        <v>32</v>
      </c>
      <c r="I518">
        <v>0</v>
      </c>
      <c r="J518">
        <v>30</v>
      </c>
      <c r="K518" s="1"/>
    </row>
    <row r="519" spans="1:11">
      <c r="A519" s="17" t="s">
        <v>771</v>
      </c>
      <c r="B519" s="19" t="s">
        <v>51</v>
      </c>
      <c r="C519" s="19" t="s">
        <v>1666</v>
      </c>
      <c r="D519" s="19" t="s">
        <v>1667</v>
      </c>
      <c r="E519" s="20" t="s">
        <v>32</v>
      </c>
      <c r="F519" s="19" t="s">
        <v>1666</v>
      </c>
      <c r="G519" s="19" t="s">
        <v>1668</v>
      </c>
      <c r="H519" s="19" t="s">
        <v>32</v>
      </c>
      <c r="I519">
        <v>0</v>
      </c>
      <c r="J519">
        <v>80</v>
      </c>
      <c r="K519" s="1"/>
    </row>
    <row r="520" spans="1:11">
      <c r="A520" s="17" t="s">
        <v>771</v>
      </c>
      <c r="B520" s="19" t="s">
        <v>51</v>
      </c>
      <c r="C520" s="19" t="s">
        <v>1669</v>
      </c>
      <c r="D520" s="19" t="s">
        <v>1670</v>
      </c>
      <c r="E520" s="20" t="s">
        <v>32</v>
      </c>
      <c r="F520" s="19" t="s">
        <v>1669</v>
      </c>
      <c r="G520" s="19" t="s">
        <v>1671</v>
      </c>
      <c r="H520" s="19" t="s">
        <v>32</v>
      </c>
      <c r="I520">
        <v>0</v>
      </c>
      <c r="J520">
        <v>152</v>
      </c>
      <c r="K520" s="1"/>
    </row>
    <row r="521" spans="1:11">
      <c r="A521" s="17" t="s">
        <v>771</v>
      </c>
      <c r="B521" s="19" t="s">
        <v>51</v>
      </c>
      <c r="C521" s="19" t="s">
        <v>1672</v>
      </c>
      <c r="D521" s="19" t="s">
        <v>1673</v>
      </c>
      <c r="E521" s="20" t="s">
        <v>32</v>
      </c>
      <c r="F521" s="19" t="s">
        <v>1672</v>
      </c>
      <c r="G521" s="19" t="s">
        <v>1674</v>
      </c>
      <c r="H521" s="19" t="s">
        <v>32</v>
      </c>
      <c r="I521">
        <v>0</v>
      </c>
      <c r="J521">
        <v>62</v>
      </c>
      <c r="K521" s="1"/>
    </row>
    <row r="522" spans="1:11">
      <c r="A522" s="17" t="s">
        <v>771</v>
      </c>
      <c r="B522" s="19" t="s">
        <v>51</v>
      </c>
      <c r="C522" s="19" t="s">
        <v>1675</v>
      </c>
      <c r="D522" s="19" t="s">
        <v>1676</v>
      </c>
      <c r="E522" s="20" t="s">
        <v>32</v>
      </c>
      <c r="F522" s="19" t="s">
        <v>1675</v>
      </c>
      <c r="G522" s="19" t="s">
        <v>1677</v>
      </c>
      <c r="H522" s="19" t="s">
        <v>32</v>
      </c>
      <c r="I522">
        <v>0</v>
      </c>
      <c r="J522">
        <v>37</v>
      </c>
      <c r="K522" s="1"/>
    </row>
    <row r="523" spans="1:11">
      <c r="A523" s="17" t="s">
        <v>771</v>
      </c>
      <c r="B523" s="19" t="s">
        <v>51</v>
      </c>
      <c r="C523" s="19" t="s">
        <v>1678</v>
      </c>
      <c r="D523" s="19" t="s">
        <v>1679</v>
      </c>
      <c r="E523" s="20" t="s">
        <v>32</v>
      </c>
      <c r="F523" s="19" t="s">
        <v>1678</v>
      </c>
      <c r="G523" s="19" t="s">
        <v>1680</v>
      </c>
      <c r="H523" s="19" t="s">
        <v>32</v>
      </c>
      <c r="I523">
        <v>0</v>
      </c>
      <c r="J523">
        <v>87</v>
      </c>
      <c r="K523" s="1"/>
    </row>
    <row r="524" spans="1:11">
      <c r="A524" s="17" t="s">
        <v>771</v>
      </c>
      <c r="B524" s="19" t="s">
        <v>51</v>
      </c>
      <c r="C524" s="19" t="s">
        <v>1681</v>
      </c>
      <c r="D524" s="19" t="s">
        <v>1682</v>
      </c>
      <c r="E524" s="20" t="s">
        <v>32</v>
      </c>
      <c r="F524" s="19" t="s">
        <v>1681</v>
      </c>
      <c r="G524" s="19" t="s">
        <v>1683</v>
      </c>
      <c r="H524" s="19" t="s">
        <v>32</v>
      </c>
      <c r="I524">
        <v>0</v>
      </c>
      <c r="J524">
        <v>459</v>
      </c>
      <c r="K524" s="1"/>
    </row>
    <row r="525" spans="1:11">
      <c r="A525" s="17" t="s">
        <v>771</v>
      </c>
      <c r="B525" s="19" t="s">
        <v>51</v>
      </c>
      <c r="C525" s="19" t="s">
        <v>1684</v>
      </c>
      <c r="D525" s="19" t="s">
        <v>1685</v>
      </c>
      <c r="E525" s="20" t="s">
        <v>32</v>
      </c>
      <c r="F525" s="19" t="s">
        <v>1684</v>
      </c>
      <c r="G525" s="19" t="s">
        <v>1686</v>
      </c>
      <c r="H525" s="19" t="s">
        <v>32</v>
      </c>
      <c r="I525">
        <v>0</v>
      </c>
      <c r="J525">
        <v>398</v>
      </c>
      <c r="K525" s="1"/>
    </row>
    <row r="526" spans="1:11">
      <c r="A526" s="17" t="s">
        <v>771</v>
      </c>
      <c r="B526" s="19" t="s">
        <v>51</v>
      </c>
      <c r="C526" s="19" t="s">
        <v>1687</v>
      </c>
      <c r="D526" s="19" t="s">
        <v>1688</v>
      </c>
      <c r="E526" s="20" t="s">
        <v>32</v>
      </c>
      <c r="F526" s="19" t="s">
        <v>1687</v>
      </c>
      <c r="G526" s="19" t="s">
        <v>1689</v>
      </c>
      <c r="H526" s="19" t="s">
        <v>32</v>
      </c>
      <c r="I526">
        <v>0</v>
      </c>
      <c r="J526">
        <v>51</v>
      </c>
      <c r="K526" s="1"/>
    </row>
    <row r="527" spans="1:11">
      <c r="A527" s="17" t="s">
        <v>771</v>
      </c>
      <c r="B527" s="19" t="s">
        <v>51</v>
      </c>
      <c r="C527" s="19" t="s">
        <v>1690</v>
      </c>
      <c r="D527" s="19" t="s">
        <v>1691</v>
      </c>
      <c r="E527" s="20" t="s">
        <v>32</v>
      </c>
      <c r="F527" s="19" t="s">
        <v>1690</v>
      </c>
      <c r="G527" s="19" t="s">
        <v>1692</v>
      </c>
      <c r="H527" s="19" t="s">
        <v>32</v>
      </c>
      <c r="I527">
        <v>0</v>
      </c>
      <c r="J527">
        <v>119</v>
      </c>
      <c r="K527" s="1"/>
    </row>
    <row r="528" spans="1:11">
      <c r="A528" s="17" t="s">
        <v>771</v>
      </c>
      <c r="B528" s="19" t="s">
        <v>51</v>
      </c>
      <c r="C528" s="19" t="s">
        <v>1693</v>
      </c>
      <c r="D528" s="19" t="s">
        <v>1694</v>
      </c>
      <c r="E528" s="20" t="s">
        <v>32</v>
      </c>
      <c r="F528" s="19" t="s">
        <v>1693</v>
      </c>
      <c r="G528" s="19" t="s">
        <v>1695</v>
      </c>
      <c r="H528" s="19" t="s">
        <v>32</v>
      </c>
      <c r="I528">
        <v>0</v>
      </c>
      <c r="J528">
        <v>29</v>
      </c>
      <c r="K528" s="1"/>
    </row>
    <row r="529" spans="1:11">
      <c r="A529" s="17" t="s">
        <v>771</v>
      </c>
      <c r="B529" s="19" t="s">
        <v>51</v>
      </c>
      <c r="C529" s="19" t="s">
        <v>1693</v>
      </c>
      <c r="D529" s="19" t="s">
        <v>1696</v>
      </c>
      <c r="E529" s="20" t="s">
        <v>32</v>
      </c>
      <c r="F529" s="19" t="s">
        <v>1693</v>
      </c>
      <c r="G529" s="19" t="s">
        <v>1697</v>
      </c>
      <c r="H529" s="19" t="s">
        <v>32</v>
      </c>
      <c r="I529">
        <v>0</v>
      </c>
      <c r="J529">
        <v>1</v>
      </c>
      <c r="K529" s="1"/>
    </row>
    <row r="530" spans="1:11">
      <c r="A530" s="17" t="s">
        <v>771</v>
      </c>
      <c r="B530" s="19" t="s">
        <v>51</v>
      </c>
      <c r="C530" s="19" t="s">
        <v>1698</v>
      </c>
      <c r="D530" s="19" t="s">
        <v>1699</v>
      </c>
      <c r="E530" s="20" t="s">
        <v>32</v>
      </c>
      <c r="F530" s="19" t="s">
        <v>1698</v>
      </c>
      <c r="G530" s="19" t="s">
        <v>1700</v>
      </c>
      <c r="H530" s="19" t="s">
        <v>32</v>
      </c>
      <c r="I530">
        <v>0</v>
      </c>
      <c r="J530">
        <v>124</v>
      </c>
      <c r="K530" s="1"/>
    </row>
    <row r="531" spans="1:11">
      <c r="A531" s="17" t="s">
        <v>771</v>
      </c>
      <c r="B531" s="19" t="s">
        <v>51</v>
      </c>
      <c r="C531" s="19" t="s">
        <v>1701</v>
      </c>
      <c r="D531" s="19" t="s">
        <v>1702</v>
      </c>
      <c r="E531" s="20" t="s">
        <v>32</v>
      </c>
      <c r="F531" s="19" t="s">
        <v>1701</v>
      </c>
      <c r="G531" s="19" t="s">
        <v>1703</v>
      </c>
      <c r="H531" s="19" t="s">
        <v>32</v>
      </c>
      <c r="I531">
        <v>0</v>
      </c>
      <c r="J531">
        <v>103</v>
      </c>
      <c r="K531" s="1"/>
    </row>
    <row r="532" spans="1:11">
      <c r="A532" s="17" t="s">
        <v>771</v>
      </c>
      <c r="B532" s="19" t="s">
        <v>51</v>
      </c>
      <c r="C532" s="19" t="s">
        <v>1704</v>
      </c>
      <c r="D532" s="19" t="s">
        <v>1705</v>
      </c>
      <c r="E532" s="20" t="s">
        <v>32</v>
      </c>
      <c r="F532" s="19" t="s">
        <v>1704</v>
      </c>
      <c r="G532" s="19" t="s">
        <v>1706</v>
      </c>
      <c r="H532" s="19" t="s">
        <v>32</v>
      </c>
      <c r="I532">
        <v>0</v>
      </c>
      <c r="J532">
        <v>47</v>
      </c>
      <c r="K532" s="1"/>
    </row>
    <row r="533" spans="1:11">
      <c r="A533" s="17" t="s">
        <v>771</v>
      </c>
      <c r="B533" s="19" t="s">
        <v>51</v>
      </c>
      <c r="C533" s="19" t="s">
        <v>1707</v>
      </c>
      <c r="D533" s="19" t="s">
        <v>1708</v>
      </c>
      <c r="E533" s="20" t="s">
        <v>32</v>
      </c>
      <c r="F533" s="19" t="s">
        <v>1707</v>
      </c>
      <c r="G533" s="19" t="s">
        <v>1709</v>
      </c>
      <c r="H533" s="19" t="s">
        <v>32</v>
      </c>
      <c r="I533">
        <v>0</v>
      </c>
      <c r="J533">
        <v>26</v>
      </c>
      <c r="K533" s="1"/>
    </row>
    <row r="534" spans="1:11">
      <c r="A534" s="17" t="s">
        <v>771</v>
      </c>
      <c r="B534" s="19" t="s">
        <v>51</v>
      </c>
      <c r="C534" s="19" t="s">
        <v>1710</v>
      </c>
      <c r="D534" s="19" t="s">
        <v>1711</v>
      </c>
      <c r="E534" s="20" t="s">
        <v>32</v>
      </c>
      <c r="F534" s="19" t="s">
        <v>1710</v>
      </c>
      <c r="G534" s="19" t="s">
        <v>1712</v>
      </c>
      <c r="H534" s="19" t="s">
        <v>32</v>
      </c>
      <c r="I534">
        <v>0</v>
      </c>
      <c r="J534">
        <v>38</v>
      </c>
      <c r="K534" s="1"/>
    </row>
    <row r="535" spans="1:11">
      <c r="A535" s="17" t="s">
        <v>771</v>
      </c>
      <c r="B535" s="19" t="s">
        <v>51</v>
      </c>
      <c r="C535" s="19" t="s">
        <v>1713</v>
      </c>
      <c r="D535" s="19" t="s">
        <v>1714</v>
      </c>
      <c r="E535" s="20" t="s">
        <v>32</v>
      </c>
      <c r="F535" s="19" t="s">
        <v>1713</v>
      </c>
      <c r="G535" s="19" t="s">
        <v>1715</v>
      </c>
      <c r="H535" s="19" t="s">
        <v>32</v>
      </c>
      <c r="I535">
        <v>0</v>
      </c>
      <c r="J535">
        <v>46</v>
      </c>
      <c r="K535" s="1"/>
    </row>
    <row r="536" spans="1:11">
      <c r="A536" s="17" t="s">
        <v>771</v>
      </c>
      <c r="B536" s="19" t="s">
        <v>51</v>
      </c>
      <c r="C536" s="19" t="s">
        <v>1716</v>
      </c>
      <c r="D536" s="19" t="s">
        <v>1717</v>
      </c>
      <c r="E536" s="20" t="s">
        <v>32</v>
      </c>
      <c r="F536" s="19" t="s">
        <v>1716</v>
      </c>
      <c r="G536" s="19" t="s">
        <v>1718</v>
      </c>
      <c r="H536" s="19" t="s">
        <v>32</v>
      </c>
      <c r="I536">
        <v>0</v>
      </c>
      <c r="J536">
        <v>75</v>
      </c>
      <c r="K536" s="1"/>
    </row>
    <row r="537" spans="1:11">
      <c r="A537" s="17" t="s">
        <v>771</v>
      </c>
      <c r="B537" s="19" t="s">
        <v>51</v>
      </c>
      <c r="C537" s="19" t="s">
        <v>1719</v>
      </c>
      <c r="D537" s="19" t="s">
        <v>1720</v>
      </c>
      <c r="E537" s="20" t="s">
        <v>32</v>
      </c>
      <c r="F537" s="19" t="s">
        <v>1719</v>
      </c>
      <c r="G537" s="19" t="s">
        <v>1721</v>
      </c>
      <c r="H537" s="19" t="s">
        <v>32</v>
      </c>
      <c r="I537">
        <v>0</v>
      </c>
      <c r="J537">
        <v>114</v>
      </c>
      <c r="K537" s="1"/>
    </row>
    <row r="538" spans="1:11">
      <c r="A538" s="17" t="s">
        <v>771</v>
      </c>
      <c r="B538" s="19" t="s">
        <v>51</v>
      </c>
      <c r="C538" s="19" t="s">
        <v>1722</v>
      </c>
      <c r="D538" s="19" t="s">
        <v>1723</v>
      </c>
      <c r="E538" s="20" t="s">
        <v>32</v>
      </c>
      <c r="F538" s="19" t="s">
        <v>1722</v>
      </c>
      <c r="G538" s="19" t="s">
        <v>1724</v>
      </c>
      <c r="H538" s="19" t="s">
        <v>32</v>
      </c>
      <c r="I538">
        <v>0</v>
      </c>
      <c r="J538">
        <v>162</v>
      </c>
      <c r="K538" s="1"/>
    </row>
    <row r="539" spans="1:11">
      <c r="A539" s="17" t="s">
        <v>771</v>
      </c>
      <c r="B539" s="19" t="s">
        <v>51</v>
      </c>
      <c r="C539" s="19" t="s">
        <v>1725</v>
      </c>
      <c r="D539" s="19" t="s">
        <v>1726</v>
      </c>
      <c r="E539" s="20" t="s">
        <v>32</v>
      </c>
      <c r="F539" s="19" t="s">
        <v>1725</v>
      </c>
      <c r="G539" s="19" t="s">
        <v>1727</v>
      </c>
      <c r="H539" s="19" t="s">
        <v>32</v>
      </c>
      <c r="I539">
        <v>0</v>
      </c>
      <c r="J539">
        <v>72</v>
      </c>
      <c r="K539" s="1"/>
    </row>
    <row r="540" spans="1:11">
      <c r="A540" s="17" t="s">
        <v>771</v>
      </c>
      <c r="B540" s="19" t="s">
        <v>51</v>
      </c>
      <c r="C540" s="19" t="s">
        <v>1728</v>
      </c>
      <c r="D540" s="19" t="s">
        <v>1729</v>
      </c>
      <c r="E540" s="20" t="s">
        <v>32</v>
      </c>
      <c r="F540" s="19" t="s">
        <v>1728</v>
      </c>
      <c r="G540" s="19" t="s">
        <v>1730</v>
      </c>
      <c r="H540" s="19" t="s">
        <v>32</v>
      </c>
      <c r="I540">
        <v>0</v>
      </c>
      <c r="J540">
        <v>762</v>
      </c>
      <c r="K540" s="1"/>
    </row>
    <row r="541" spans="1:11">
      <c r="A541" s="17" t="s">
        <v>771</v>
      </c>
      <c r="B541" s="19" t="s">
        <v>51</v>
      </c>
      <c r="C541" s="19" t="s">
        <v>1731</v>
      </c>
      <c r="D541" s="19" t="s">
        <v>1732</v>
      </c>
      <c r="E541" s="20" t="s">
        <v>32</v>
      </c>
      <c r="F541" s="19" t="s">
        <v>1731</v>
      </c>
      <c r="G541" s="19" t="s">
        <v>1733</v>
      </c>
      <c r="H541" s="19" t="s">
        <v>32</v>
      </c>
      <c r="I541">
        <v>0</v>
      </c>
      <c r="J541">
        <v>54</v>
      </c>
      <c r="K541" s="1"/>
    </row>
    <row r="542" spans="1:11">
      <c r="A542" s="17" t="s">
        <v>771</v>
      </c>
      <c r="B542" s="19" t="s">
        <v>51</v>
      </c>
      <c r="C542" s="19" t="s">
        <v>1734</v>
      </c>
      <c r="D542" s="19" t="s">
        <v>1735</v>
      </c>
      <c r="E542" s="20" t="s">
        <v>32</v>
      </c>
      <c r="F542" s="19" t="s">
        <v>1734</v>
      </c>
      <c r="G542" s="19" t="s">
        <v>1736</v>
      </c>
      <c r="H542" s="19" t="s">
        <v>32</v>
      </c>
      <c r="I542">
        <v>0</v>
      </c>
      <c r="J542">
        <v>37</v>
      </c>
      <c r="K542" s="1"/>
    </row>
    <row r="543" spans="1:11">
      <c r="A543" s="17" t="s">
        <v>771</v>
      </c>
      <c r="B543" s="19" t="s">
        <v>51</v>
      </c>
      <c r="C543" s="19" t="s">
        <v>1737</v>
      </c>
      <c r="D543" s="19" t="s">
        <v>1738</v>
      </c>
      <c r="E543" s="20" t="s">
        <v>32</v>
      </c>
      <c r="F543" s="19" t="s">
        <v>1737</v>
      </c>
      <c r="G543" s="19" t="s">
        <v>1739</v>
      </c>
      <c r="H543" s="19" t="s">
        <v>32</v>
      </c>
      <c r="I543">
        <v>0</v>
      </c>
      <c r="J543">
        <v>385</v>
      </c>
      <c r="K543" s="1"/>
    </row>
    <row r="544" spans="1:11">
      <c r="A544" s="17" t="s">
        <v>771</v>
      </c>
      <c r="B544" s="19" t="s">
        <v>51</v>
      </c>
      <c r="C544" s="19" t="s">
        <v>1740</v>
      </c>
      <c r="D544" s="19" t="s">
        <v>1741</v>
      </c>
      <c r="E544" s="20" t="s">
        <v>32</v>
      </c>
      <c r="F544" s="19" t="s">
        <v>1740</v>
      </c>
      <c r="G544" s="19" t="s">
        <v>1742</v>
      </c>
      <c r="H544" s="19" t="s">
        <v>32</v>
      </c>
      <c r="I544">
        <v>0</v>
      </c>
      <c r="J544">
        <v>35</v>
      </c>
      <c r="K544" s="1"/>
    </row>
    <row r="545" spans="1:11">
      <c r="A545" s="17" t="s">
        <v>771</v>
      </c>
      <c r="B545" s="19" t="s">
        <v>51</v>
      </c>
      <c r="C545" s="19" t="s">
        <v>1743</v>
      </c>
      <c r="D545" s="19" t="s">
        <v>1744</v>
      </c>
      <c r="E545" s="20" t="s">
        <v>32</v>
      </c>
      <c r="F545" s="19" t="s">
        <v>1743</v>
      </c>
      <c r="G545" s="19" t="s">
        <v>1745</v>
      </c>
      <c r="H545" s="19" t="s">
        <v>32</v>
      </c>
      <c r="I545">
        <v>0</v>
      </c>
      <c r="J545">
        <v>65</v>
      </c>
      <c r="K545" s="1"/>
    </row>
    <row r="546" spans="1:11">
      <c r="A546" s="17" t="s">
        <v>771</v>
      </c>
      <c r="B546" s="19" t="s">
        <v>51</v>
      </c>
      <c r="C546" s="19" t="s">
        <v>1746</v>
      </c>
      <c r="D546" s="19" t="s">
        <v>1747</v>
      </c>
      <c r="E546" s="20" t="s">
        <v>32</v>
      </c>
      <c r="F546" s="19" t="s">
        <v>1746</v>
      </c>
      <c r="G546" s="19" t="s">
        <v>1748</v>
      </c>
      <c r="H546" s="19" t="s">
        <v>32</v>
      </c>
      <c r="I546">
        <v>0</v>
      </c>
      <c r="J546">
        <v>28</v>
      </c>
      <c r="K546" s="1"/>
    </row>
    <row r="547" spans="1:11">
      <c r="A547" s="17" t="s">
        <v>771</v>
      </c>
      <c r="B547" s="19" t="s">
        <v>51</v>
      </c>
      <c r="C547" s="19" t="s">
        <v>1749</v>
      </c>
      <c r="D547" s="19" t="s">
        <v>1750</v>
      </c>
      <c r="E547" s="20" t="s">
        <v>32</v>
      </c>
      <c r="F547" s="19" t="s">
        <v>1749</v>
      </c>
      <c r="G547" s="19" t="s">
        <v>1751</v>
      </c>
      <c r="H547" s="19" t="s">
        <v>32</v>
      </c>
      <c r="I547">
        <v>0</v>
      </c>
      <c r="J547">
        <v>325</v>
      </c>
      <c r="K547" s="1"/>
    </row>
    <row r="548" spans="1:11">
      <c r="A548" s="17" t="s">
        <v>771</v>
      </c>
      <c r="B548" s="19" t="s">
        <v>51</v>
      </c>
      <c r="C548" s="19" t="s">
        <v>1752</v>
      </c>
      <c r="D548" s="19" t="s">
        <v>1753</v>
      </c>
      <c r="E548" s="20" t="s">
        <v>32</v>
      </c>
      <c r="F548" s="19" t="s">
        <v>1752</v>
      </c>
      <c r="G548" s="19" t="s">
        <v>1754</v>
      </c>
      <c r="H548" s="19" t="s">
        <v>32</v>
      </c>
      <c r="I548">
        <v>0</v>
      </c>
      <c r="J548">
        <v>138</v>
      </c>
      <c r="K548" s="1"/>
    </row>
    <row r="549" spans="1:11">
      <c r="A549" s="17" t="s">
        <v>771</v>
      </c>
      <c r="B549" s="19" t="s">
        <v>51</v>
      </c>
      <c r="C549" s="19" t="s">
        <v>1755</v>
      </c>
      <c r="D549" s="19" t="s">
        <v>1756</v>
      </c>
      <c r="E549" s="20" t="s">
        <v>32</v>
      </c>
      <c r="F549" s="19" t="s">
        <v>1755</v>
      </c>
      <c r="G549" s="19" t="s">
        <v>1757</v>
      </c>
      <c r="H549" s="19" t="s">
        <v>32</v>
      </c>
      <c r="I549">
        <v>0</v>
      </c>
      <c r="J549">
        <v>30</v>
      </c>
      <c r="K549" s="1"/>
    </row>
    <row r="550" spans="1:11">
      <c r="A550" s="17" t="s">
        <v>771</v>
      </c>
      <c r="B550" s="19" t="s">
        <v>51</v>
      </c>
      <c r="C550" s="19" t="s">
        <v>1758</v>
      </c>
      <c r="D550" s="19" t="s">
        <v>1759</v>
      </c>
      <c r="E550" s="20" t="s">
        <v>32</v>
      </c>
      <c r="F550" s="19" t="s">
        <v>1758</v>
      </c>
      <c r="G550" s="19" t="s">
        <v>1760</v>
      </c>
      <c r="H550" s="19" t="s">
        <v>32</v>
      </c>
      <c r="I550">
        <v>0</v>
      </c>
      <c r="J550">
        <v>122</v>
      </c>
      <c r="K550" s="1"/>
    </row>
    <row r="551" spans="1:11">
      <c r="A551" s="17" t="s">
        <v>771</v>
      </c>
      <c r="B551" s="19" t="s">
        <v>51</v>
      </c>
      <c r="C551" s="19" t="s">
        <v>1761</v>
      </c>
      <c r="D551" s="19" t="s">
        <v>499</v>
      </c>
      <c r="E551" s="20" t="s">
        <v>32</v>
      </c>
      <c r="F551" s="19" t="s">
        <v>1761</v>
      </c>
      <c r="G551" s="19" t="s">
        <v>500</v>
      </c>
      <c r="H551" s="19" t="s">
        <v>32</v>
      </c>
      <c r="I551">
        <v>0</v>
      </c>
      <c r="J551">
        <v>3</v>
      </c>
      <c r="K551" s="1"/>
    </row>
    <row r="552" spans="1:11">
      <c r="A552" s="17" t="s">
        <v>1762</v>
      </c>
      <c r="B552" s="19" t="s">
        <v>66</v>
      </c>
      <c r="C552" s="19" t="s">
        <v>1763</v>
      </c>
      <c r="D552" s="19" t="s">
        <v>69</v>
      </c>
      <c r="E552" s="20" t="s">
        <v>32</v>
      </c>
      <c r="F552" s="19" t="s">
        <v>1763</v>
      </c>
      <c r="G552" s="19" t="s">
        <v>70</v>
      </c>
      <c r="H552" s="19" t="s">
        <v>32</v>
      </c>
      <c r="I552">
        <v>0</v>
      </c>
      <c r="J552">
        <v>1</v>
      </c>
      <c r="K552" s="1"/>
    </row>
    <row r="553" spans="1:11">
      <c r="A553" s="17" t="s">
        <v>1762</v>
      </c>
      <c r="B553" s="19" t="s">
        <v>50</v>
      </c>
      <c r="C553" s="19" t="s">
        <v>1764</v>
      </c>
      <c r="D553" s="19" t="s">
        <v>129</v>
      </c>
      <c r="E553" s="20" t="s">
        <v>32</v>
      </c>
      <c r="F553" s="19" t="s">
        <v>1764</v>
      </c>
      <c r="G553" s="19" t="s">
        <v>130</v>
      </c>
      <c r="H553" s="19" t="s">
        <v>32</v>
      </c>
      <c r="I553">
        <v>0</v>
      </c>
      <c r="J553">
        <v>2</v>
      </c>
      <c r="K553" s="1"/>
    </row>
    <row r="554" spans="1:11">
      <c r="A554" s="17" t="s">
        <v>1762</v>
      </c>
      <c r="B554" s="19" t="s">
        <v>50</v>
      </c>
      <c r="C554" s="19" t="s">
        <v>1765</v>
      </c>
      <c r="D554" s="19" t="s">
        <v>248</v>
      </c>
      <c r="E554" s="20" t="s">
        <v>32</v>
      </c>
      <c r="F554" s="19" t="s">
        <v>1765</v>
      </c>
      <c r="G554" s="19" t="s">
        <v>249</v>
      </c>
      <c r="H554" s="19" t="s">
        <v>32</v>
      </c>
      <c r="I554">
        <v>0</v>
      </c>
      <c r="J554">
        <v>9</v>
      </c>
      <c r="K554" s="1"/>
    </row>
    <row r="555" spans="1:11">
      <c r="A555" s="17" t="s">
        <v>1762</v>
      </c>
      <c r="B555" s="19" t="s">
        <v>50</v>
      </c>
      <c r="C555" s="19" t="s">
        <v>1766</v>
      </c>
      <c r="D555" s="19" t="s">
        <v>250</v>
      </c>
      <c r="E555" s="20" t="s">
        <v>32</v>
      </c>
      <c r="F555" s="19" t="s">
        <v>1766</v>
      </c>
      <c r="G555" s="19" t="s">
        <v>251</v>
      </c>
      <c r="H555" s="19" t="s">
        <v>32</v>
      </c>
      <c r="I555">
        <v>0</v>
      </c>
      <c r="J555">
        <v>1823</v>
      </c>
      <c r="K555" s="1"/>
    </row>
    <row r="556" spans="1:11">
      <c r="A556" s="17" t="s">
        <v>1762</v>
      </c>
      <c r="B556" s="19" t="s">
        <v>50</v>
      </c>
      <c r="C556" s="19" t="s">
        <v>1767</v>
      </c>
      <c r="D556" s="19" t="s">
        <v>1768</v>
      </c>
      <c r="E556" s="20" t="s">
        <v>32</v>
      </c>
      <c r="F556" s="19" t="s">
        <v>1767</v>
      </c>
      <c r="G556" s="19" t="s">
        <v>1769</v>
      </c>
      <c r="H556" s="19" t="s">
        <v>32</v>
      </c>
      <c r="I556">
        <v>0</v>
      </c>
      <c r="J556">
        <v>1</v>
      </c>
      <c r="K556" s="1"/>
    </row>
    <row r="557" spans="1:11">
      <c r="A557" s="17" t="s">
        <v>1762</v>
      </c>
      <c r="B557" s="19" t="s">
        <v>50</v>
      </c>
      <c r="C557" s="19" t="s">
        <v>1770</v>
      </c>
      <c r="D557" s="19" t="s">
        <v>1771</v>
      </c>
      <c r="E557" s="20" t="s">
        <v>32</v>
      </c>
      <c r="F557" s="19" t="s">
        <v>1770</v>
      </c>
      <c r="G557" s="19" t="s">
        <v>1772</v>
      </c>
      <c r="H557" s="19" t="s">
        <v>32</v>
      </c>
      <c r="I557">
        <v>0</v>
      </c>
      <c r="J557">
        <v>1177</v>
      </c>
      <c r="K557" s="1"/>
    </row>
    <row r="558" spans="1:11">
      <c r="A558" s="17" t="s">
        <v>1762</v>
      </c>
      <c r="B558" s="19" t="s">
        <v>50</v>
      </c>
      <c r="C558" s="19" t="s">
        <v>1773</v>
      </c>
      <c r="D558" s="19" t="s">
        <v>91</v>
      </c>
      <c r="E558" s="20" t="s">
        <v>32</v>
      </c>
      <c r="F558" s="19" t="s">
        <v>1773</v>
      </c>
      <c r="G558" s="19" t="s">
        <v>92</v>
      </c>
      <c r="H558" s="19" t="s">
        <v>32</v>
      </c>
      <c r="I558">
        <v>0</v>
      </c>
      <c r="J558">
        <v>6</v>
      </c>
      <c r="K558" s="1"/>
    </row>
    <row r="559" spans="1:11">
      <c r="A559" s="17" t="s">
        <v>1762</v>
      </c>
      <c r="B559" s="19" t="s">
        <v>50</v>
      </c>
      <c r="C559" s="19" t="s">
        <v>1774</v>
      </c>
      <c r="D559" s="19" t="s">
        <v>131</v>
      </c>
      <c r="E559" s="20" t="s">
        <v>32</v>
      </c>
      <c r="F559" s="19" t="s">
        <v>1774</v>
      </c>
      <c r="G559" s="19" t="s">
        <v>132</v>
      </c>
      <c r="H559" s="19" t="s">
        <v>32</v>
      </c>
      <c r="I559">
        <v>0</v>
      </c>
      <c r="J559">
        <v>6</v>
      </c>
      <c r="K559" s="1"/>
    </row>
    <row r="560" spans="1:11">
      <c r="A560" s="17" t="s">
        <v>1762</v>
      </c>
      <c r="B560" s="19" t="s">
        <v>50</v>
      </c>
      <c r="C560" s="19" t="s">
        <v>1775</v>
      </c>
      <c r="D560" s="19" t="s">
        <v>89</v>
      </c>
      <c r="E560" s="20" t="s">
        <v>32</v>
      </c>
      <c r="F560" s="19" t="s">
        <v>1775</v>
      </c>
      <c r="G560" s="19" t="s">
        <v>90</v>
      </c>
      <c r="H560" s="19" t="s">
        <v>32</v>
      </c>
      <c r="I560">
        <v>0</v>
      </c>
      <c r="J560">
        <v>4</v>
      </c>
      <c r="K560" s="1"/>
    </row>
    <row r="561" spans="1:11">
      <c r="A561" s="17" t="s">
        <v>1762</v>
      </c>
      <c r="B561" s="19" t="s">
        <v>50</v>
      </c>
      <c r="C561" s="19" t="s">
        <v>1776</v>
      </c>
      <c r="D561" s="19" t="s">
        <v>256</v>
      </c>
      <c r="E561" s="20" t="s">
        <v>32</v>
      </c>
      <c r="F561" s="19" t="s">
        <v>1776</v>
      </c>
      <c r="G561" s="19" t="s">
        <v>257</v>
      </c>
      <c r="H561" s="19" t="s">
        <v>32</v>
      </c>
      <c r="I561">
        <v>0</v>
      </c>
      <c r="J561">
        <v>3</v>
      </c>
      <c r="K561" s="1"/>
    </row>
    <row r="562" spans="1:11">
      <c r="A562" s="17" t="s">
        <v>1762</v>
      </c>
      <c r="B562" s="19" t="s">
        <v>50</v>
      </c>
      <c r="C562" s="19" t="s">
        <v>1777</v>
      </c>
      <c r="D562" s="19" t="s">
        <v>252</v>
      </c>
      <c r="E562" s="20" t="s">
        <v>32</v>
      </c>
      <c r="F562" s="19" t="s">
        <v>1777</v>
      </c>
      <c r="G562" s="19" t="s">
        <v>253</v>
      </c>
      <c r="H562" s="19" t="s">
        <v>32</v>
      </c>
      <c r="I562">
        <v>0</v>
      </c>
      <c r="J562">
        <v>807</v>
      </c>
      <c r="K562" s="1"/>
    </row>
    <row r="563" spans="1:11">
      <c r="A563" s="17" t="s">
        <v>1762</v>
      </c>
      <c r="B563" s="19" t="s">
        <v>50</v>
      </c>
      <c r="C563" s="19" t="s">
        <v>1778</v>
      </c>
      <c r="D563" s="19" t="s">
        <v>254</v>
      </c>
      <c r="E563" s="20" t="s">
        <v>32</v>
      </c>
      <c r="F563" s="19" t="s">
        <v>1778</v>
      </c>
      <c r="G563" s="19" t="s">
        <v>255</v>
      </c>
      <c r="H563" s="19" t="s">
        <v>32</v>
      </c>
      <c r="I563">
        <v>0</v>
      </c>
      <c r="J563">
        <v>1</v>
      </c>
      <c r="K563" s="1"/>
    </row>
    <row r="564" spans="1:11">
      <c r="A564" s="17" t="s">
        <v>1762</v>
      </c>
      <c r="B564" s="19" t="s">
        <v>50</v>
      </c>
      <c r="C564" s="19" t="s">
        <v>1779</v>
      </c>
      <c r="D564" s="19" t="s">
        <v>1780</v>
      </c>
      <c r="E564" s="20" t="s">
        <v>32</v>
      </c>
      <c r="F564" s="19" t="s">
        <v>1779</v>
      </c>
      <c r="G564" s="19" t="s">
        <v>1781</v>
      </c>
      <c r="H564" s="19" t="s">
        <v>32</v>
      </c>
      <c r="I564">
        <v>0</v>
      </c>
      <c r="J564">
        <v>597</v>
      </c>
      <c r="K564" s="1"/>
    </row>
    <row r="565" spans="1:11">
      <c r="A565" s="17" t="s">
        <v>1762</v>
      </c>
      <c r="B565" s="19" t="s">
        <v>50</v>
      </c>
      <c r="C565" s="19" t="s">
        <v>1782</v>
      </c>
      <c r="D565" s="19" t="s">
        <v>1783</v>
      </c>
      <c r="E565" s="20" t="s">
        <v>32</v>
      </c>
      <c r="F565" s="19" t="s">
        <v>1782</v>
      </c>
      <c r="G565" s="19" t="s">
        <v>1784</v>
      </c>
      <c r="H565" s="19" t="s">
        <v>32</v>
      </c>
      <c r="I565">
        <v>0</v>
      </c>
      <c r="J565">
        <v>193</v>
      </c>
      <c r="K565" s="1"/>
    </row>
    <row r="566" spans="1:11">
      <c r="A566" s="17" t="s">
        <v>1762</v>
      </c>
      <c r="B566" s="19" t="s">
        <v>50</v>
      </c>
      <c r="C566" s="19" t="s">
        <v>1785</v>
      </c>
      <c r="D566" s="19" t="s">
        <v>1786</v>
      </c>
      <c r="E566" s="20" t="s">
        <v>32</v>
      </c>
      <c r="F566" s="19" t="s">
        <v>1785</v>
      </c>
      <c r="G566" s="19" t="s">
        <v>1787</v>
      </c>
      <c r="H566" s="19" t="s">
        <v>32</v>
      </c>
      <c r="I566">
        <v>0</v>
      </c>
      <c r="J566">
        <v>129</v>
      </c>
      <c r="K566" s="1"/>
    </row>
    <row r="567" spans="1:11">
      <c r="A567" s="17" t="s">
        <v>1762</v>
      </c>
      <c r="B567" s="19" t="s">
        <v>50</v>
      </c>
      <c r="C567" s="19" t="s">
        <v>1788</v>
      </c>
      <c r="D567" s="19" t="s">
        <v>1789</v>
      </c>
      <c r="E567" s="20" t="s">
        <v>32</v>
      </c>
      <c r="F567" s="19" t="s">
        <v>1788</v>
      </c>
      <c r="G567" s="19" t="s">
        <v>1790</v>
      </c>
      <c r="H567" s="19" t="s">
        <v>32</v>
      </c>
      <c r="I567">
        <v>0</v>
      </c>
      <c r="J567">
        <v>1673</v>
      </c>
      <c r="K567" s="1"/>
    </row>
    <row r="568" spans="1:11">
      <c r="A568" s="17" t="s">
        <v>1762</v>
      </c>
      <c r="B568" s="19" t="s">
        <v>50</v>
      </c>
      <c r="C568" s="19" t="s">
        <v>1791</v>
      </c>
      <c r="D568" s="19" t="s">
        <v>1792</v>
      </c>
      <c r="E568" s="20" t="s">
        <v>32</v>
      </c>
      <c r="F568" s="19" t="s">
        <v>1791</v>
      </c>
      <c r="G568" s="19" t="s">
        <v>1793</v>
      </c>
      <c r="H568" s="19" t="s">
        <v>32</v>
      </c>
      <c r="I568">
        <v>0</v>
      </c>
      <c r="J568">
        <v>1463</v>
      </c>
      <c r="K568" s="1"/>
    </row>
    <row r="569" spans="1:11">
      <c r="A569" s="17" t="s">
        <v>1762</v>
      </c>
      <c r="B569" s="19" t="s">
        <v>50</v>
      </c>
      <c r="C569" s="19" t="s">
        <v>1794</v>
      </c>
      <c r="D569" s="19" t="s">
        <v>1795</v>
      </c>
      <c r="E569" s="20" t="s">
        <v>32</v>
      </c>
      <c r="F569" s="19" t="s">
        <v>1794</v>
      </c>
      <c r="G569" s="19" t="s">
        <v>1796</v>
      </c>
      <c r="H569" s="19" t="s">
        <v>32</v>
      </c>
      <c r="I569">
        <v>0</v>
      </c>
      <c r="J569">
        <v>149</v>
      </c>
      <c r="K569" s="1"/>
    </row>
    <row r="570" spans="1:11">
      <c r="A570" s="17" t="s">
        <v>1762</v>
      </c>
      <c r="B570" s="19" t="s">
        <v>50</v>
      </c>
      <c r="C570" s="19" t="s">
        <v>1797</v>
      </c>
      <c r="D570" s="19" t="s">
        <v>258</v>
      </c>
      <c r="E570" s="20" t="s">
        <v>32</v>
      </c>
      <c r="F570" s="19" t="s">
        <v>1797</v>
      </c>
      <c r="G570" s="19" t="s">
        <v>259</v>
      </c>
      <c r="H570" s="19" t="s">
        <v>32</v>
      </c>
      <c r="I570">
        <v>0</v>
      </c>
      <c r="J570">
        <v>1</v>
      </c>
      <c r="K570" s="1"/>
    </row>
    <row r="571" spans="1:11">
      <c r="A571" s="17" t="s">
        <v>1762</v>
      </c>
      <c r="B571" s="19" t="s">
        <v>50</v>
      </c>
      <c r="C571" s="19" t="s">
        <v>1798</v>
      </c>
      <c r="D571" s="19" t="s">
        <v>93</v>
      </c>
      <c r="E571" s="20" t="s">
        <v>32</v>
      </c>
      <c r="F571" s="19" t="s">
        <v>1798</v>
      </c>
      <c r="G571" s="19" t="s">
        <v>94</v>
      </c>
      <c r="H571" s="19" t="s">
        <v>32</v>
      </c>
      <c r="I571">
        <v>0</v>
      </c>
      <c r="J571">
        <v>4</v>
      </c>
      <c r="K571" s="1"/>
    </row>
    <row r="572" spans="1:11">
      <c r="A572" s="17" t="s">
        <v>1762</v>
      </c>
      <c r="B572" s="19" t="s">
        <v>50</v>
      </c>
      <c r="C572" s="19" t="s">
        <v>1799</v>
      </c>
      <c r="D572" s="19" t="s">
        <v>260</v>
      </c>
      <c r="E572" s="20" t="s">
        <v>32</v>
      </c>
      <c r="F572" s="19" t="s">
        <v>1799</v>
      </c>
      <c r="G572" s="19" t="s">
        <v>261</v>
      </c>
      <c r="H572" s="19" t="s">
        <v>32</v>
      </c>
      <c r="I572">
        <v>0</v>
      </c>
      <c r="J572">
        <v>267</v>
      </c>
      <c r="K572" s="1"/>
    </row>
    <row r="573" spans="1:11">
      <c r="A573" s="17" t="s">
        <v>1762</v>
      </c>
      <c r="B573" s="19" t="s">
        <v>50</v>
      </c>
      <c r="C573" s="19" t="s">
        <v>1800</v>
      </c>
      <c r="D573" s="19" t="s">
        <v>1801</v>
      </c>
      <c r="E573" s="20" t="s">
        <v>32</v>
      </c>
      <c r="F573" s="19" t="s">
        <v>1800</v>
      </c>
      <c r="G573" s="19" t="s">
        <v>1802</v>
      </c>
      <c r="H573" s="19" t="s">
        <v>32</v>
      </c>
      <c r="I573">
        <v>0</v>
      </c>
      <c r="J573">
        <v>3677</v>
      </c>
      <c r="K573" s="1"/>
    </row>
    <row r="574" spans="1:11">
      <c r="A574" s="17" t="s">
        <v>1762</v>
      </c>
      <c r="B574" s="19" t="s">
        <v>50</v>
      </c>
      <c r="C574" s="19" t="s">
        <v>1803</v>
      </c>
      <c r="D574" s="19" t="s">
        <v>133</v>
      </c>
      <c r="E574" s="20" t="s">
        <v>32</v>
      </c>
      <c r="F574" s="19" t="s">
        <v>1803</v>
      </c>
      <c r="G574" s="19" t="s">
        <v>134</v>
      </c>
      <c r="H574" s="19" t="s">
        <v>32</v>
      </c>
      <c r="I574">
        <v>0</v>
      </c>
      <c r="J574">
        <v>8</v>
      </c>
      <c r="K574" s="1"/>
    </row>
    <row r="575" spans="1:11">
      <c r="A575" s="17" t="s">
        <v>1762</v>
      </c>
      <c r="B575" s="19" t="s">
        <v>50</v>
      </c>
      <c r="C575" s="19" t="s">
        <v>1804</v>
      </c>
      <c r="D575" s="19" t="s">
        <v>262</v>
      </c>
      <c r="E575" s="20" t="s">
        <v>32</v>
      </c>
      <c r="F575" s="19" t="s">
        <v>1804</v>
      </c>
      <c r="G575" s="19" t="s">
        <v>263</v>
      </c>
      <c r="H575" s="19" t="s">
        <v>32</v>
      </c>
      <c r="I575">
        <v>0</v>
      </c>
      <c r="J575">
        <v>36</v>
      </c>
      <c r="K575" s="1"/>
    </row>
    <row r="576" spans="1:11">
      <c r="A576" s="17" t="s">
        <v>1762</v>
      </c>
      <c r="B576" s="19" t="s">
        <v>50</v>
      </c>
      <c r="C576" s="19" t="s">
        <v>1805</v>
      </c>
      <c r="D576" s="19" t="s">
        <v>1806</v>
      </c>
      <c r="E576" s="20" t="s">
        <v>32</v>
      </c>
      <c r="F576" s="19" t="s">
        <v>1805</v>
      </c>
      <c r="G576" s="19" t="s">
        <v>1807</v>
      </c>
      <c r="H576" s="19" t="s">
        <v>32</v>
      </c>
      <c r="I576">
        <v>0</v>
      </c>
      <c r="J576">
        <v>884</v>
      </c>
      <c r="K576" s="1"/>
    </row>
    <row r="577" spans="1:11">
      <c r="A577" s="17" t="s">
        <v>1762</v>
      </c>
      <c r="B577" s="19" t="s">
        <v>50</v>
      </c>
      <c r="C577" s="19" t="s">
        <v>1808</v>
      </c>
      <c r="D577" s="19" t="s">
        <v>264</v>
      </c>
      <c r="E577" s="20" t="s">
        <v>32</v>
      </c>
      <c r="F577" s="19" t="s">
        <v>1808</v>
      </c>
      <c r="G577" s="19" t="s">
        <v>265</v>
      </c>
      <c r="H577" s="19" t="s">
        <v>32</v>
      </c>
      <c r="I577">
        <v>0</v>
      </c>
      <c r="J577">
        <v>4765</v>
      </c>
      <c r="K577" s="1"/>
    </row>
    <row r="578" spans="1:11">
      <c r="A578" s="17" t="s">
        <v>1762</v>
      </c>
      <c r="B578" s="19" t="s">
        <v>50</v>
      </c>
      <c r="C578" s="19" t="s">
        <v>1809</v>
      </c>
      <c r="D578" s="19" t="s">
        <v>266</v>
      </c>
      <c r="E578" s="20" t="s">
        <v>32</v>
      </c>
      <c r="F578" s="19" t="s">
        <v>1809</v>
      </c>
      <c r="G578" s="19" t="s">
        <v>267</v>
      </c>
      <c r="H578" s="19" t="s">
        <v>32</v>
      </c>
      <c r="I578">
        <v>0</v>
      </c>
      <c r="J578">
        <v>551</v>
      </c>
      <c r="K578" s="1"/>
    </row>
    <row r="579" spans="1:11">
      <c r="A579" s="17" t="s">
        <v>1762</v>
      </c>
      <c r="B579" s="19" t="s">
        <v>50</v>
      </c>
      <c r="C579" s="19" t="s">
        <v>1810</v>
      </c>
      <c r="D579" s="19" t="s">
        <v>95</v>
      </c>
      <c r="E579" s="20" t="s">
        <v>32</v>
      </c>
      <c r="F579" s="19" t="s">
        <v>1810</v>
      </c>
      <c r="G579" s="19" t="s">
        <v>96</v>
      </c>
      <c r="H579" s="19" t="s">
        <v>32</v>
      </c>
      <c r="I579">
        <v>0</v>
      </c>
      <c r="J579">
        <v>3</v>
      </c>
      <c r="K579" s="1"/>
    </row>
    <row r="580" spans="1:11">
      <c r="A580" s="17" t="s">
        <v>1762</v>
      </c>
      <c r="B580" s="19" t="s">
        <v>50</v>
      </c>
      <c r="C580" s="19" t="s">
        <v>1811</v>
      </c>
      <c r="D580" s="19" t="s">
        <v>137</v>
      </c>
      <c r="E580" s="20" t="s">
        <v>32</v>
      </c>
      <c r="F580" s="19" t="s">
        <v>1811</v>
      </c>
      <c r="G580" s="19" t="s">
        <v>138</v>
      </c>
      <c r="H580" s="19" t="s">
        <v>32</v>
      </c>
      <c r="I580">
        <v>0</v>
      </c>
      <c r="J580">
        <v>2</v>
      </c>
      <c r="K580" s="1"/>
    </row>
    <row r="581" spans="1:11">
      <c r="A581" s="17" t="s">
        <v>1762</v>
      </c>
      <c r="B581" s="19" t="s">
        <v>50</v>
      </c>
      <c r="C581" s="19" t="s">
        <v>1812</v>
      </c>
      <c r="D581" s="19" t="s">
        <v>1813</v>
      </c>
      <c r="E581" s="20" t="s">
        <v>32</v>
      </c>
      <c r="F581" s="19" t="s">
        <v>1812</v>
      </c>
      <c r="G581" s="19" t="s">
        <v>1814</v>
      </c>
      <c r="H581" s="19" t="s">
        <v>32</v>
      </c>
      <c r="I581">
        <v>0</v>
      </c>
      <c r="J581">
        <v>115</v>
      </c>
      <c r="K581" s="1"/>
    </row>
    <row r="582" spans="1:11">
      <c r="A582" s="17" t="s">
        <v>1762</v>
      </c>
      <c r="B582" s="19" t="s">
        <v>50</v>
      </c>
      <c r="C582" s="19" t="s">
        <v>1815</v>
      </c>
      <c r="D582" s="19" t="s">
        <v>1816</v>
      </c>
      <c r="E582" s="20" t="s">
        <v>32</v>
      </c>
      <c r="F582" s="19" t="s">
        <v>1815</v>
      </c>
      <c r="G582" s="19" t="s">
        <v>1817</v>
      </c>
      <c r="H582" s="19" t="s">
        <v>32</v>
      </c>
      <c r="I582">
        <v>0</v>
      </c>
      <c r="J582">
        <v>1153</v>
      </c>
      <c r="K582" s="1"/>
    </row>
    <row r="583" spans="1:11">
      <c r="A583" s="17" t="s">
        <v>1762</v>
      </c>
      <c r="B583" s="19" t="s">
        <v>50</v>
      </c>
      <c r="C583" s="19" t="s">
        <v>1818</v>
      </c>
      <c r="D583" s="19" t="s">
        <v>268</v>
      </c>
      <c r="E583" s="20" t="s">
        <v>32</v>
      </c>
      <c r="F583" s="19" t="s">
        <v>1818</v>
      </c>
      <c r="G583" s="19" t="s">
        <v>269</v>
      </c>
      <c r="H583" s="19" t="s">
        <v>32</v>
      </c>
      <c r="I583">
        <v>0</v>
      </c>
      <c r="J583">
        <v>292</v>
      </c>
      <c r="K583" s="1"/>
    </row>
    <row r="584" spans="1:11">
      <c r="A584" s="17" t="s">
        <v>1762</v>
      </c>
      <c r="B584" s="19" t="s">
        <v>50</v>
      </c>
      <c r="C584" s="19" t="s">
        <v>1819</v>
      </c>
      <c r="D584" s="19" t="s">
        <v>1820</v>
      </c>
      <c r="E584" s="20" t="s">
        <v>32</v>
      </c>
      <c r="F584" s="19" t="s">
        <v>1819</v>
      </c>
      <c r="G584" s="19" t="s">
        <v>1821</v>
      </c>
      <c r="H584" s="19" t="s">
        <v>32</v>
      </c>
      <c r="I584">
        <v>0</v>
      </c>
      <c r="J584">
        <v>12658</v>
      </c>
      <c r="K584" s="1"/>
    </row>
    <row r="585" spans="1:11">
      <c r="A585" s="17" t="s">
        <v>1762</v>
      </c>
      <c r="B585" s="19" t="s">
        <v>50</v>
      </c>
      <c r="C585" s="19" t="s">
        <v>1822</v>
      </c>
      <c r="D585" s="19" t="s">
        <v>270</v>
      </c>
      <c r="E585" s="20" t="s">
        <v>32</v>
      </c>
      <c r="F585" s="19" t="s">
        <v>1822</v>
      </c>
      <c r="G585" s="19" t="s">
        <v>271</v>
      </c>
      <c r="H585" s="19" t="s">
        <v>32</v>
      </c>
      <c r="I585">
        <v>0</v>
      </c>
      <c r="J585">
        <v>1</v>
      </c>
      <c r="K585" s="1"/>
    </row>
    <row r="586" spans="1:11">
      <c r="A586" s="17" t="s">
        <v>1762</v>
      </c>
      <c r="B586" s="19" t="s">
        <v>50</v>
      </c>
      <c r="C586" s="19" t="s">
        <v>1823</v>
      </c>
      <c r="D586" s="19" t="s">
        <v>135</v>
      </c>
      <c r="E586" s="20" t="s">
        <v>32</v>
      </c>
      <c r="F586" s="19" t="s">
        <v>1823</v>
      </c>
      <c r="G586" s="19" t="s">
        <v>136</v>
      </c>
      <c r="H586" s="19" t="s">
        <v>32</v>
      </c>
      <c r="I586">
        <v>0</v>
      </c>
      <c r="J586">
        <v>1</v>
      </c>
      <c r="K586" s="1"/>
    </row>
    <row r="587" spans="1:11">
      <c r="A587" s="17" t="s">
        <v>1762</v>
      </c>
      <c r="B587" s="19" t="s">
        <v>50</v>
      </c>
      <c r="C587" s="19" t="s">
        <v>1824</v>
      </c>
      <c r="D587" s="19" t="s">
        <v>1825</v>
      </c>
      <c r="E587" s="20" t="s">
        <v>32</v>
      </c>
      <c r="F587" s="19" t="s">
        <v>1824</v>
      </c>
      <c r="G587" s="19" t="s">
        <v>1826</v>
      </c>
      <c r="H587" s="19" t="s">
        <v>32</v>
      </c>
      <c r="I587">
        <v>0</v>
      </c>
      <c r="J587">
        <v>36776</v>
      </c>
      <c r="K587" s="1"/>
    </row>
    <row r="588" spans="1:11">
      <c r="A588" s="17" t="s">
        <v>1762</v>
      </c>
      <c r="B588" s="19" t="s">
        <v>50</v>
      </c>
      <c r="C588" s="19" t="s">
        <v>1827</v>
      </c>
      <c r="D588" s="19" t="s">
        <v>1828</v>
      </c>
      <c r="E588" s="20" t="s">
        <v>32</v>
      </c>
      <c r="F588" s="19" t="s">
        <v>1827</v>
      </c>
      <c r="G588" s="19" t="s">
        <v>1829</v>
      </c>
      <c r="H588" s="19" t="s">
        <v>32</v>
      </c>
      <c r="I588">
        <v>0</v>
      </c>
      <c r="J588">
        <v>1</v>
      </c>
      <c r="K588" s="1"/>
    </row>
    <row r="589" spans="1:11">
      <c r="A589" s="17" t="s">
        <v>1762</v>
      </c>
      <c r="B589" s="19" t="s">
        <v>50</v>
      </c>
      <c r="C589" s="19" t="s">
        <v>1830</v>
      </c>
      <c r="D589" s="19" t="s">
        <v>272</v>
      </c>
      <c r="E589" s="20" t="s">
        <v>32</v>
      </c>
      <c r="F589" s="19" t="s">
        <v>1830</v>
      </c>
      <c r="G589" s="19" t="s">
        <v>273</v>
      </c>
      <c r="H589" s="19" t="s">
        <v>32</v>
      </c>
      <c r="I589">
        <v>0</v>
      </c>
      <c r="J589">
        <v>13610</v>
      </c>
      <c r="K589" s="1"/>
    </row>
    <row r="590" spans="1:11">
      <c r="A590" s="17" t="s">
        <v>1762</v>
      </c>
      <c r="B590" s="19" t="s">
        <v>50</v>
      </c>
      <c r="C590" s="19" t="s">
        <v>1831</v>
      </c>
      <c r="D590" s="19" t="s">
        <v>1832</v>
      </c>
      <c r="E590" s="20" t="s">
        <v>32</v>
      </c>
      <c r="F590" s="19" t="s">
        <v>1831</v>
      </c>
      <c r="G590" s="19" t="s">
        <v>1833</v>
      </c>
      <c r="H590" s="19" t="s">
        <v>32</v>
      </c>
      <c r="I590">
        <v>0</v>
      </c>
      <c r="J590">
        <v>1</v>
      </c>
      <c r="K590" s="1"/>
    </row>
    <row r="591" spans="1:11">
      <c r="A591" s="17" t="s">
        <v>1762</v>
      </c>
      <c r="B591" s="19" t="s">
        <v>50</v>
      </c>
      <c r="C591" s="19" t="s">
        <v>1834</v>
      </c>
      <c r="D591" s="19" t="s">
        <v>71</v>
      </c>
      <c r="E591" s="20" t="s">
        <v>32</v>
      </c>
      <c r="F591" s="19" t="s">
        <v>1834</v>
      </c>
      <c r="G591" s="19" t="s">
        <v>72</v>
      </c>
      <c r="H591" s="19" t="s">
        <v>32</v>
      </c>
      <c r="I591">
        <v>0</v>
      </c>
      <c r="J591">
        <v>1</v>
      </c>
      <c r="K591" s="1"/>
    </row>
    <row r="592" spans="1:11">
      <c r="A592" s="17" t="s">
        <v>1762</v>
      </c>
      <c r="B592" s="19" t="s">
        <v>50</v>
      </c>
      <c r="C592" s="19" t="s">
        <v>1835</v>
      </c>
      <c r="D592" s="19" t="s">
        <v>1836</v>
      </c>
      <c r="E592" s="20" t="s">
        <v>32</v>
      </c>
      <c r="F592" s="19" t="s">
        <v>1835</v>
      </c>
      <c r="G592" s="19" t="s">
        <v>1837</v>
      </c>
      <c r="H592" s="19" t="s">
        <v>32</v>
      </c>
      <c r="I592">
        <v>0</v>
      </c>
      <c r="J592">
        <v>1</v>
      </c>
      <c r="K592" s="1"/>
    </row>
    <row r="593" spans="1:11">
      <c r="A593" s="17" t="s">
        <v>1762</v>
      </c>
      <c r="B593" s="19" t="s">
        <v>50</v>
      </c>
      <c r="C593" s="19" t="s">
        <v>1838</v>
      </c>
      <c r="D593" s="19" t="s">
        <v>274</v>
      </c>
      <c r="E593" s="20" t="s">
        <v>32</v>
      </c>
      <c r="F593" s="19" t="s">
        <v>1838</v>
      </c>
      <c r="G593" s="19" t="s">
        <v>275</v>
      </c>
      <c r="H593" s="19" t="s">
        <v>32</v>
      </c>
      <c r="I593">
        <v>0</v>
      </c>
      <c r="J593">
        <v>793</v>
      </c>
      <c r="K593" s="1"/>
    </row>
    <row r="594" spans="1:11">
      <c r="A594" s="17" t="s">
        <v>1762</v>
      </c>
      <c r="B594" s="19" t="s">
        <v>50</v>
      </c>
      <c r="C594" s="19" t="s">
        <v>1839</v>
      </c>
      <c r="D594" s="19" t="s">
        <v>1840</v>
      </c>
      <c r="E594" s="20" t="s">
        <v>32</v>
      </c>
      <c r="F594" s="19" t="s">
        <v>1839</v>
      </c>
      <c r="G594" s="19" t="s">
        <v>1841</v>
      </c>
      <c r="H594" s="19" t="s">
        <v>32</v>
      </c>
      <c r="I594">
        <v>0</v>
      </c>
      <c r="J594">
        <v>1054</v>
      </c>
      <c r="K594" s="1"/>
    </row>
    <row r="595" spans="1:11">
      <c r="A595" s="17" t="s">
        <v>1762</v>
      </c>
      <c r="B595" s="19" t="s">
        <v>50</v>
      </c>
      <c r="C595" s="19" t="s">
        <v>1842</v>
      </c>
      <c r="D595" s="19" t="s">
        <v>276</v>
      </c>
      <c r="E595" s="20" t="s">
        <v>32</v>
      </c>
      <c r="F595" s="19" t="s">
        <v>1842</v>
      </c>
      <c r="G595" s="19" t="s">
        <v>277</v>
      </c>
      <c r="H595" s="19" t="s">
        <v>32</v>
      </c>
      <c r="I595">
        <v>0</v>
      </c>
      <c r="J595">
        <v>2246</v>
      </c>
      <c r="K595" s="1"/>
    </row>
    <row r="596" spans="1:11">
      <c r="A596" s="17" t="s">
        <v>1762</v>
      </c>
      <c r="B596" s="19" t="s">
        <v>50</v>
      </c>
      <c r="C596" s="19" t="s">
        <v>1843</v>
      </c>
      <c r="D596" s="19" t="s">
        <v>73</v>
      </c>
      <c r="E596" s="20" t="s">
        <v>32</v>
      </c>
      <c r="F596" s="19" t="s">
        <v>1843</v>
      </c>
      <c r="G596" s="19" t="s">
        <v>74</v>
      </c>
      <c r="H596" s="19" t="s">
        <v>32</v>
      </c>
      <c r="I596">
        <v>0</v>
      </c>
      <c r="J596">
        <v>1</v>
      </c>
      <c r="K596" s="1"/>
    </row>
    <row r="597" spans="1:11">
      <c r="A597" s="17" t="s">
        <v>1762</v>
      </c>
      <c r="B597" s="19" t="s">
        <v>50</v>
      </c>
      <c r="C597" s="19" t="s">
        <v>1844</v>
      </c>
      <c r="D597" s="19" t="s">
        <v>1845</v>
      </c>
      <c r="E597" s="20" t="s">
        <v>32</v>
      </c>
      <c r="F597" s="19" t="s">
        <v>1844</v>
      </c>
      <c r="G597" s="19" t="s">
        <v>1846</v>
      </c>
      <c r="H597" s="19" t="s">
        <v>32</v>
      </c>
      <c r="I597">
        <v>0</v>
      </c>
      <c r="J597">
        <v>792</v>
      </c>
      <c r="K597" s="1"/>
    </row>
    <row r="598" spans="1:11">
      <c r="A598" s="17" t="s">
        <v>1762</v>
      </c>
      <c r="B598" s="19" t="s">
        <v>50</v>
      </c>
      <c r="C598" s="19" t="s">
        <v>1847</v>
      </c>
      <c r="D598" s="19" t="s">
        <v>1848</v>
      </c>
      <c r="E598" s="20" t="s">
        <v>32</v>
      </c>
      <c r="F598" s="19" t="s">
        <v>1847</v>
      </c>
      <c r="G598" s="19" t="s">
        <v>1849</v>
      </c>
      <c r="H598" s="19" t="s">
        <v>32</v>
      </c>
      <c r="I598">
        <v>0</v>
      </c>
      <c r="J598">
        <v>1046</v>
      </c>
      <c r="K598" s="1"/>
    </row>
    <row r="599" spans="1:11">
      <c r="A599" s="17" t="s">
        <v>1762</v>
      </c>
      <c r="B599" s="19" t="s">
        <v>50</v>
      </c>
      <c r="C599" s="19" t="s">
        <v>1850</v>
      </c>
      <c r="D599" s="19" t="s">
        <v>145</v>
      </c>
      <c r="E599" s="20" t="s">
        <v>32</v>
      </c>
      <c r="F599" s="19" t="s">
        <v>1850</v>
      </c>
      <c r="G599" s="19" t="s">
        <v>146</v>
      </c>
      <c r="H599" s="19" t="s">
        <v>32</v>
      </c>
      <c r="I599">
        <v>0</v>
      </c>
      <c r="J599">
        <v>13</v>
      </c>
      <c r="K599" s="1"/>
    </row>
    <row r="600" spans="1:11">
      <c r="A600" s="17" t="s">
        <v>1762</v>
      </c>
      <c r="B600" s="19" t="s">
        <v>50</v>
      </c>
      <c r="C600" s="19" t="s">
        <v>1851</v>
      </c>
      <c r="D600" s="19" t="s">
        <v>147</v>
      </c>
      <c r="E600" s="20" t="s">
        <v>32</v>
      </c>
      <c r="F600" s="19" t="s">
        <v>1851</v>
      </c>
      <c r="G600" s="19" t="s">
        <v>148</v>
      </c>
      <c r="H600" s="19" t="s">
        <v>32</v>
      </c>
      <c r="I600">
        <v>0</v>
      </c>
      <c r="J600">
        <v>8</v>
      </c>
      <c r="K600" s="1"/>
    </row>
    <row r="601" spans="1:11">
      <c r="A601" s="17" t="s">
        <v>1762</v>
      </c>
      <c r="B601" s="19" t="s">
        <v>50</v>
      </c>
      <c r="C601" s="19" t="s">
        <v>1852</v>
      </c>
      <c r="D601" s="19" t="s">
        <v>282</v>
      </c>
      <c r="E601" s="20" t="s">
        <v>32</v>
      </c>
      <c r="F601" s="19" t="s">
        <v>1852</v>
      </c>
      <c r="G601" s="19" t="s">
        <v>283</v>
      </c>
      <c r="H601" s="19" t="s">
        <v>32</v>
      </c>
      <c r="I601">
        <v>0</v>
      </c>
      <c r="J601">
        <v>8</v>
      </c>
      <c r="K601" s="1"/>
    </row>
    <row r="602" spans="1:11">
      <c r="A602" s="17" t="s">
        <v>1762</v>
      </c>
      <c r="B602" s="19" t="s">
        <v>50</v>
      </c>
      <c r="C602" s="19" t="s">
        <v>1853</v>
      </c>
      <c r="D602" s="19" t="s">
        <v>284</v>
      </c>
      <c r="E602" s="20" t="s">
        <v>32</v>
      </c>
      <c r="F602" s="19" t="s">
        <v>1853</v>
      </c>
      <c r="G602" s="19" t="s">
        <v>285</v>
      </c>
      <c r="H602" s="19" t="s">
        <v>32</v>
      </c>
      <c r="I602">
        <v>0</v>
      </c>
      <c r="J602">
        <v>2</v>
      </c>
      <c r="K602" s="1"/>
    </row>
    <row r="603" spans="1:11">
      <c r="A603" s="17" t="s">
        <v>1762</v>
      </c>
      <c r="B603" s="19" t="s">
        <v>50</v>
      </c>
      <c r="C603" s="19" t="s">
        <v>1854</v>
      </c>
      <c r="D603" s="19" t="s">
        <v>139</v>
      </c>
      <c r="E603" s="20" t="s">
        <v>32</v>
      </c>
      <c r="F603" s="19" t="s">
        <v>1854</v>
      </c>
      <c r="G603" s="19" t="s">
        <v>140</v>
      </c>
      <c r="H603" s="19" t="s">
        <v>32</v>
      </c>
      <c r="I603">
        <v>0</v>
      </c>
      <c r="J603">
        <v>108</v>
      </c>
      <c r="K603" s="1"/>
    </row>
    <row r="604" spans="1:11">
      <c r="A604" s="17" t="s">
        <v>1762</v>
      </c>
      <c r="B604" s="19" t="s">
        <v>50</v>
      </c>
      <c r="C604" s="19" t="s">
        <v>1855</v>
      </c>
      <c r="D604" s="19" t="s">
        <v>141</v>
      </c>
      <c r="E604" s="20" t="s">
        <v>32</v>
      </c>
      <c r="F604" s="19" t="s">
        <v>1855</v>
      </c>
      <c r="G604" s="19" t="s">
        <v>142</v>
      </c>
      <c r="H604" s="19" t="s">
        <v>32</v>
      </c>
      <c r="I604">
        <v>0</v>
      </c>
      <c r="J604">
        <v>96</v>
      </c>
      <c r="K604" s="1"/>
    </row>
    <row r="605" spans="1:11">
      <c r="A605" s="17" t="s">
        <v>1762</v>
      </c>
      <c r="B605" s="19" t="s">
        <v>50</v>
      </c>
      <c r="C605" s="19" t="s">
        <v>1856</v>
      </c>
      <c r="D605" s="19" t="s">
        <v>143</v>
      </c>
      <c r="E605" s="20" t="s">
        <v>32</v>
      </c>
      <c r="F605" s="19" t="s">
        <v>1856</v>
      </c>
      <c r="G605" s="19" t="s">
        <v>144</v>
      </c>
      <c r="H605" s="19" t="s">
        <v>32</v>
      </c>
      <c r="I605">
        <v>0</v>
      </c>
      <c r="J605">
        <v>2</v>
      </c>
      <c r="K605" s="1"/>
    </row>
    <row r="606" spans="1:11">
      <c r="A606" s="17" t="s">
        <v>1762</v>
      </c>
      <c r="B606" s="19" t="s">
        <v>50</v>
      </c>
      <c r="C606" s="19" t="s">
        <v>1857</v>
      </c>
      <c r="D606" s="19" t="s">
        <v>280</v>
      </c>
      <c r="E606" s="20" t="s">
        <v>32</v>
      </c>
      <c r="F606" s="19" t="s">
        <v>1857</v>
      </c>
      <c r="G606" s="19" t="s">
        <v>281</v>
      </c>
      <c r="H606" s="19" t="s">
        <v>32</v>
      </c>
      <c r="I606">
        <v>0</v>
      </c>
      <c r="J606">
        <v>122</v>
      </c>
      <c r="K606" s="1"/>
    </row>
    <row r="607" spans="1:11">
      <c r="A607" s="17" t="s">
        <v>1762</v>
      </c>
      <c r="B607" s="19" t="s">
        <v>50</v>
      </c>
      <c r="C607" s="19" t="s">
        <v>1858</v>
      </c>
      <c r="D607" s="19" t="s">
        <v>79</v>
      </c>
      <c r="E607" s="20" t="s">
        <v>32</v>
      </c>
      <c r="F607" s="19" t="s">
        <v>1858</v>
      </c>
      <c r="G607" s="19" t="s">
        <v>80</v>
      </c>
      <c r="H607" s="19" t="s">
        <v>32</v>
      </c>
      <c r="I607">
        <v>0</v>
      </c>
      <c r="J607">
        <v>3027</v>
      </c>
      <c r="K607" s="1"/>
    </row>
    <row r="608" spans="1:11">
      <c r="A608" s="17" t="s">
        <v>1762</v>
      </c>
      <c r="B608" s="19" t="s">
        <v>50</v>
      </c>
      <c r="C608" s="19" t="s">
        <v>1859</v>
      </c>
      <c r="D608" s="19" t="s">
        <v>1860</v>
      </c>
      <c r="E608" s="20" t="s">
        <v>32</v>
      </c>
      <c r="F608" s="19" t="s">
        <v>1859</v>
      </c>
      <c r="G608" s="19" t="s">
        <v>1861</v>
      </c>
      <c r="H608" s="19" t="s">
        <v>32</v>
      </c>
      <c r="I608">
        <v>0</v>
      </c>
      <c r="J608">
        <v>130</v>
      </c>
      <c r="K608" s="1"/>
    </row>
    <row r="609" spans="1:11">
      <c r="A609" s="17" t="s">
        <v>1762</v>
      </c>
      <c r="B609" s="19" t="s">
        <v>50</v>
      </c>
      <c r="C609" s="19" t="s">
        <v>1862</v>
      </c>
      <c r="D609" s="19" t="s">
        <v>1863</v>
      </c>
      <c r="E609" s="20" t="s">
        <v>32</v>
      </c>
      <c r="F609" s="19" t="s">
        <v>1862</v>
      </c>
      <c r="G609" s="19" t="s">
        <v>1864</v>
      </c>
      <c r="H609" s="19" t="s">
        <v>32</v>
      </c>
      <c r="I609">
        <v>0</v>
      </c>
      <c r="J609">
        <v>1442</v>
      </c>
      <c r="K609" s="1"/>
    </row>
    <row r="610" spans="1:11">
      <c r="A610" s="17" t="s">
        <v>1762</v>
      </c>
      <c r="B610" s="19" t="s">
        <v>50</v>
      </c>
      <c r="C610" s="19" t="s">
        <v>1865</v>
      </c>
      <c r="D610" s="19" t="s">
        <v>1866</v>
      </c>
      <c r="E610" s="20" t="s">
        <v>32</v>
      </c>
      <c r="F610" s="19" t="s">
        <v>1865</v>
      </c>
      <c r="G610" s="19" t="s">
        <v>1867</v>
      </c>
      <c r="H610" s="19" t="s">
        <v>32</v>
      </c>
      <c r="I610">
        <v>0</v>
      </c>
      <c r="J610">
        <v>5075</v>
      </c>
      <c r="K610" s="1"/>
    </row>
    <row r="611" spans="1:11">
      <c r="A611" s="17" t="s">
        <v>1762</v>
      </c>
      <c r="B611" s="19" t="s">
        <v>50</v>
      </c>
      <c r="C611" s="19" t="s">
        <v>1868</v>
      </c>
      <c r="D611" s="19" t="s">
        <v>1869</v>
      </c>
      <c r="E611" s="20" t="s">
        <v>32</v>
      </c>
      <c r="F611" s="19" t="s">
        <v>1868</v>
      </c>
      <c r="G611" s="19" t="s">
        <v>1870</v>
      </c>
      <c r="H611" s="19" t="s">
        <v>32</v>
      </c>
      <c r="I611">
        <v>0</v>
      </c>
      <c r="J611">
        <v>1</v>
      </c>
      <c r="K611" s="1"/>
    </row>
    <row r="612" spans="1:11">
      <c r="A612" s="17" t="s">
        <v>1762</v>
      </c>
      <c r="B612" s="19" t="s">
        <v>50</v>
      </c>
      <c r="C612" s="19" t="s">
        <v>1871</v>
      </c>
      <c r="D612" s="19" t="s">
        <v>1872</v>
      </c>
      <c r="E612" s="20" t="s">
        <v>32</v>
      </c>
      <c r="F612" s="19" t="s">
        <v>1871</v>
      </c>
      <c r="G612" s="19" t="s">
        <v>1873</v>
      </c>
      <c r="H612" s="19" t="s">
        <v>32</v>
      </c>
      <c r="I612">
        <v>0</v>
      </c>
      <c r="J612">
        <v>5623</v>
      </c>
      <c r="K612" s="1"/>
    </row>
    <row r="613" spans="1:11">
      <c r="A613" s="17" t="s">
        <v>1762</v>
      </c>
      <c r="B613" s="19" t="s">
        <v>50</v>
      </c>
      <c r="C613" s="19" t="s">
        <v>1874</v>
      </c>
      <c r="D613" s="19" t="s">
        <v>1875</v>
      </c>
      <c r="E613" s="20" t="s">
        <v>32</v>
      </c>
      <c r="F613" s="19" t="s">
        <v>1874</v>
      </c>
      <c r="G613" s="19" t="s">
        <v>1876</v>
      </c>
      <c r="H613" s="19" t="s">
        <v>32</v>
      </c>
      <c r="I613">
        <v>0</v>
      </c>
      <c r="J613">
        <v>5714</v>
      </c>
      <c r="K613" s="1"/>
    </row>
    <row r="614" spans="1:11">
      <c r="A614" s="17" t="s">
        <v>1762</v>
      </c>
      <c r="B614" s="19" t="s">
        <v>50</v>
      </c>
      <c r="C614" s="19" t="s">
        <v>1877</v>
      </c>
      <c r="D614" s="19" t="s">
        <v>1878</v>
      </c>
      <c r="E614" s="20" t="s">
        <v>32</v>
      </c>
      <c r="F614" s="19" t="s">
        <v>1877</v>
      </c>
      <c r="G614" s="19" t="s">
        <v>1879</v>
      </c>
      <c r="H614" s="19" t="s">
        <v>32</v>
      </c>
      <c r="I614">
        <v>0</v>
      </c>
      <c r="J614">
        <v>245</v>
      </c>
      <c r="K614" s="1"/>
    </row>
    <row r="615" spans="1:11">
      <c r="A615" s="17" t="s">
        <v>1762</v>
      </c>
      <c r="B615" s="19" t="s">
        <v>50</v>
      </c>
      <c r="C615" s="19" t="s">
        <v>1880</v>
      </c>
      <c r="D615" s="19" t="s">
        <v>278</v>
      </c>
      <c r="E615" s="20" t="s">
        <v>32</v>
      </c>
      <c r="F615" s="19" t="s">
        <v>1880</v>
      </c>
      <c r="G615" s="19" t="s">
        <v>279</v>
      </c>
      <c r="H615" s="19" t="s">
        <v>32</v>
      </c>
      <c r="I615">
        <v>0</v>
      </c>
      <c r="J615">
        <v>1831</v>
      </c>
      <c r="K615" s="1"/>
    </row>
    <row r="616" spans="1:11">
      <c r="A616" s="17" t="s">
        <v>1762</v>
      </c>
      <c r="B616" s="19" t="s">
        <v>50</v>
      </c>
      <c r="C616" s="19" t="s">
        <v>1881</v>
      </c>
      <c r="D616" s="19" t="s">
        <v>1882</v>
      </c>
      <c r="E616" s="20" t="s">
        <v>32</v>
      </c>
      <c r="F616" s="19" t="s">
        <v>1881</v>
      </c>
      <c r="G616" s="19" t="s">
        <v>1883</v>
      </c>
      <c r="H616" s="19" t="s">
        <v>32</v>
      </c>
      <c r="I616">
        <v>0</v>
      </c>
      <c r="J616">
        <v>3019</v>
      </c>
      <c r="K616" s="1"/>
    </row>
    <row r="617" spans="1:11">
      <c r="A617" s="17" t="s">
        <v>1762</v>
      </c>
      <c r="B617" s="19" t="s">
        <v>50</v>
      </c>
      <c r="C617" s="19" t="s">
        <v>1884</v>
      </c>
      <c r="D617" s="19" t="s">
        <v>97</v>
      </c>
      <c r="E617" s="20" t="s">
        <v>32</v>
      </c>
      <c r="F617" s="19" t="s">
        <v>1884</v>
      </c>
      <c r="G617" s="19" t="s">
        <v>98</v>
      </c>
      <c r="H617" s="19" t="s">
        <v>32</v>
      </c>
      <c r="I617">
        <v>0</v>
      </c>
      <c r="J617">
        <v>1</v>
      </c>
      <c r="K617" s="1"/>
    </row>
    <row r="618" spans="1:11">
      <c r="A618" s="17" t="s">
        <v>1762</v>
      </c>
      <c r="B618" s="19" t="s">
        <v>50</v>
      </c>
      <c r="C618" s="19" t="s">
        <v>1885</v>
      </c>
      <c r="D618" s="19" t="s">
        <v>286</v>
      </c>
      <c r="E618" s="20" t="s">
        <v>32</v>
      </c>
      <c r="F618" s="19" t="s">
        <v>1885</v>
      </c>
      <c r="G618" s="19" t="s">
        <v>287</v>
      </c>
      <c r="H618" s="19" t="s">
        <v>32</v>
      </c>
      <c r="I618">
        <v>0</v>
      </c>
      <c r="J618">
        <v>1</v>
      </c>
      <c r="K618" s="1"/>
    </row>
    <row r="619" spans="1:11">
      <c r="A619" s="17" t="s">
        <v>1762</v>
      </c>
      <c r="B619" s="19" t="s">
        <v>50</v>
      </c>
      <c r="C619" s="19" t="s">
        <v>1886</v>
      </c>
      <c r="D619" s="19" t="s">
        <v>1887</v>
      </c>
      <c r="E619" s="20" t="s">
        <v>32</v>
      </c>
      <c r="F619" s="19" t="s">
        <v>1886</v>
      </c>
      <c r="G619" s="19" t="s">
        <v>1888</v>
      </c>
      <c r="H619" s="19" t="s">
        <v>32</v>
      </c>
      <c r="I619">
        <v>0</v>
      </c>
      <c r="J619">
        <v>3230</v>
      </c>
      <c r="K619" s="1"/>
    </row>
    <row r="620" spans="1:11">
      <c r="A620" s="17" t="s">
        <v>1762</v>
      </c>
      <c r="B620" s="19" t="s">
        <v>50</v>
      </c>
      <c r="C620" s="19" t="s">
        <v>1889</v>
      </c>
      <c r="D620" s="19" t="s">
        <v>1890</v>
      </c>
      <c r="E620" s="20" t="s">
        <v>32</v>
      </c>
      <c r="F620" s="19" t="s">
        <v>1889</v>
      </c>
      <c r="G620" s="19" t="s">
        <v>1891</v>
      </c>
      <c r="H620" s="19" t="s">
        <v>32</v>
      </c>
      <c r="I620">
        <v>0</v>
      </c>
      <c r="J620">
        <v>140</v>
      </c>
      <c r="K620" s="1"/>
    </row>
    <row r="621" spans="1:11">
      <c r="A621" s="17" t="s">
        <v>1762</v>
      </c>
      <c r="B621" s="19" t="s">
        <v>50</v>
      </c>
      <c r="C621" s="19" t="s">
        <v>1892</v>
      </c>
      <c r="D621" s="19" t="s">
        <v>149</v>
      </c>
      <c r="E621" s="20" t="s">
        <v>32</v>
      </c>
      <c r="F621" s="19" t="s">
        <v>1892</v>
      </c>
      <c r="G621" s="19" t="s">
        <v>150</v>
      </c>
      <c r="H621" s="19" t="s">
        <v>32</v>
      </c>
      <c r="I621">
        <v>0</v>
      </c>
      <c r="J621">
        <v>1</v>
      </c>
      <c r="K621" s="1"/>
    </row>
    <row r="622" spans="1:11">
      <c r="A622" s="17" t="s">
        <v>1762</v>
      </c>
      <c r="B622" s="19" t="s">
        <v>83</v>
      </c>
      <c r="C622" s="19" t="s">
        <v>1893</v>
      </c>
      <c r="D622" s="19" t="s">
        <v>1894</v>
      </c>
      <c r="E622" s="20" t="s">
        <v>32</v>
      </c>
      <c r="F622" s="19" t="s">
        <v>1893</v>
      </c>
      <c r="G622" s="19" t="s">
        <v>1895</v>
      </c>
      <c r="H622" s="19" t="s">
        <v>32</v>
      </c>
      <c r="I622">
        <v>1475168</v>
      </c>
      <c r="J622">
        <v>174780</v>
      </c>
      <c r="K622" s="1"/>
    </row>
    <row r="623" spans="1:11">
      <c r="A623" s="17" t="s">
        <v>1762</v>
      </c>
      <c r="B623" s="19" t="s">
        <v>83</v>
      </c>
      <c r="C623" s="19" t="s">
        <v>1896</v>
      </c>
      <c r="D623" s="19" t="s">
        <v>1897</v>
      </c>
      <c r="E623" s="20" t="s">
        <v>32</v>
      </c>
      <c r="F623" s="19" t="s">
        <v>1896</v>
      </c>
      <c r="G623" s="19" t="s">
        <v>1898</v>
      </c>
      <c r="H623" s="19" t="s">
        <v>32</v>
      </c>
      <c r="I623">
        <v>0</v>
      </c>
      <c r="J623">
        <v>1</v>
      </c>
      <c r="K623" s="1"/>
    </row>
    <row r="624" spans="1:11">
      <c r="A624" s="17" t="s">
        <v>1762</v>
      </c>
      <c r="B624" s="19" t="s">
        <v>83</v>
      </c>
      <c r="C624" s="19" t="s">
        <v>1899</v>
      </c>
      <c r="D624" s="19" t="s">
        <v>151</v>
      </c>
      <c r="E624" s="20" t="s">
        <v>32</v>
      </c>
      <c r="F624" s="19" t="s">
        <v>1899</v>
      </c>
      <c r="G624" s="19" t="s">
        <v>152</v>
      </c>
      <c r="H624" s="19" t="s">
        <v>32</v>
      </c>
      <c r="I624">
        <v>0</v>
      </c>
      <c r="J624">
        <v>6</v>
      </c>
      <c r="K624" s="1"/>
    </row>
    <row r="625" spans="1:11">
      <c r="A625" s="17" t="s">
        <v>1762</v>
      </c>
      <c r="B625" s="19" t="s">
        <v>83</v>
      </c>
      <c r="C625" s="19" t="s">
        <v>1900</v>
      </c>
      <c r="D625" s="19" t="s">
        <v>99</v>
      </c>
      <c r="E625" s="20" t="s">
        <v>32</v>
      </c>
      <c r="F625" s="19" t="s">
        <v>1900</v>
      </c>
      <c r="G625" s="19" t="s">
        <v>100</v>
      </c>
      <c r="H625" s="19" t="s">
        <v>32</v>
      </c>
      <c r="I625">
        <v>0</v>
      </c>
      <c r="J625">
        <v>5960</v>
      </c>
      <c r="K625" s="1"/>
    </row>
    <row r="626" spans="1:11">
      <c r="A626" s="17" t="s">
        <v>1762</v>
      </c>
      <c r="B626" s="19" t="s">
        <v>83</v>
      </c>
      <c r="C626" s="19" t="s">
        <v>1901</v>
      </c>
      <c r="D626" s="19" t="s">
        <v>1902</v>
      </c>
      <c r="E626" s="20" t="s">
        <v>84</v>
      </c>
      <c r="F626" s="19" t="s">
        <v>1901</v>
      </c>
      <c r="G626" s="19" t="s">
        <v>1903</v>
      </c>
      <c r="H626" s="19" t="s">
        <v>84</v>
      </c>
      <c r="I626">
        <v>2</v>
      </c>
      <c r="J626">
        <v>0</v>
      </c>
      <c r="K626" s="1"/>
    </row>
    <row r="627" spans="1:11">
      <c r="A627" s="17" t="s">
        <v>1762</v>
      </c>
      <c r="B627" s="19" t="s">
        <v>83</v>
      </c>
      <c r="C627" s="19" t="s">
        <v>1904</v>
      </c>
      <c r="D627" s="19" t="s">
        <v>1905</v>
      </c>
      <c r="E627" s="20" t="s">
        <v>32</v>
      </c>
      <c r="F627" s="19" t="s">
        <v>1904</v>
      </c>
      <c r="G627" s="19" t="s">
        <v>1906</v>
      </c>
      <c r="H627" s="19" t="s">
        <v>32</v>
      </c>
      <c r="I627">
        <v>1417003</v>
      </c>
      <c r="J627">
        <v>6653</v>
      </c>
      <c r="K627" s="1"/>
    </row>
    <row r="628" spans="1:11">
      <c r="A628" s="17" t="s">
        <v>1762</v>
      </c>
      <c r="B628" s="19" t="s">
        <v>49</v>
      </c>
      <c r="C628" s="19" t="s">
        <v>1907</v>
      </c>
      <c r="D628" s="19" t="s">
        <v>288</v>
      </c>
      <c r="E628" s="20" t="s">
        <v>12</v>
      </c>
      <c r="F628" s="19" t="s">
        <v>1907</v>
      </c>
      <c r="G628" s="19" t="s">
        <v>289</v>
      </c>
      <c r="H628" s="19" t="s">
        <v>31</v>
      </c>
      <c r="I628">
        <v>4</v>
      </c>
      <c r="J628">
        <v>0</v>
      </c>
      <c r="K628" s="1"/>
    </row>
    <row r="629" spans="1:11">
      <c r="A629" s="17" t="s">
        <v>1762</v>
      </c>
      <c r="B629" s="19" t="s">
        <v>49</v>
      </c>
      <c r="C629" s="19" t="s">
        <v>1908</v>
      </c>
      <c r="D629" s="19" t="s">
        <v>290</v>
      </c>
      <c r="E629" s="20" t="s">
        <v>12</v>
      </c>
      <c r="F629" s="19" t="s">
        <v>1908</v>
      </c>
      <c r="G629" s="19" t="s">
        <v>291</v>
      </c>
      <c r="H629" s="19" t="s">
        <v>31</v>
      </c>
      <c r="I629">
        <v>1</v>
      </c>
      <c r="J629">
        <v>1</v>
      </c>
      <c r="K629" s="1"/>
    </row>
    <row r="630" spans="1:11">
      <c r="A630" s="17" t="s">
        <v>1762</v>
      </c>
      <c r="B630" s="19" t="s">
        <v>49</v>
      </c>
      <c r="C630" s="19" t="s">
        <v>1909</v>
      </c>
      <c r="D630" s="19" t="s">
        <v>292</v>
      </c>
      <c r="E630" s="20" t="s">
        <v>12</v>
      </c>
      <c r="F630" s="19" t="s">
        <v>1909</v>
      </c>
      <c r="G630" s="19" t="s">
        <v>293</v>
      </c>
      <c r="H630" s="19" t="s">
        <v>31</v>
      </c>
      <c r="I630">
        <v>5236</v>
      </c>
      <c r="J630">
        <v>331</v>
      </c>
      <c r="K630" s="1"/>
    </row>
    <row r="631" spans="1:11">
      <c r="A631" s="17" t="s">
        <v>1762</v>
      </c>
      <c r="B631" s="19" t="s">
        <v>49</v>
      </c>
      <c r="C631" s="19" t="s">
        <v>1910</v>
      </c>
      <c r="D631" s="19" t="s">
        <v>294</v>
      </c>
      <c r="E631" s="20" t="s">
        <v>12</v>
      </c>
      <c r="F631" s="19" t="s">
        <v>1910</v>
      </c>
      <c r="G631" s="19" t="s">
        <v>295</v>
      </c>
      <c r="H631" s="19" t="s">
        <v>31</v>
      </c>
      <c r="I631">
        <v>967407</v>
      </c>
      <c r="J631">
        <v>33049</v>
      </c>
      <c r="K631" s="1"/>
    </row>
    <row r="632" spans="1:11">
      <c r="A632" s="17" t="s">
        <v>1762</v>
      </c>
      <c r="B632" s="19" t="s">
        <v>49</v>
      </c>
      <c r="C632" s="19" t="s">
        <v>1911</v>
      </c>
      <c r="D632" s="19" t="s">
        <v>296</v>
      </c>
      <c r="E632" s="20" t="s">
        <v>12</v>
      </c>
      <c r="F632" s="19" t="s">
        <v>1911</v>
      </c>
      <c r="G632" s="19" t="s">
        <v>297</v>
      </c>
      <c r="H632" s="19" t="s">
        <v>31</v>
      </c>
      <c r="I632">
        <v>166258</v>
      </c>
      <c r="J632">
        <v>6410</v>
      </c>
      <c r="K632" s="1"/>
    </row>
    <row r="633" spans="1:11">
      <c r="A633" s="17" t="s">
        <v>1762</v>
      </c>
      <c r="B633" s="19" t="s">
        <v>49</v>
      </c>
      <c r="C633" s="19" t="s">
        <v>1912</v>
      </c>
      <c r="D633" s="19" t="s">
        <v>298</v>
      </c>
      <c r="E633" s="20" t="s">
        <v>12</v>
      </c>
      <c r="F633" s="19" t="s">
        <v>1912</v>
      </c>
      <c r="G633" s="19" t="s">
        <v>299</v>
      </c>
      <c r="H633" s="19" t="s">
        <v>31</v>
      </c>
      <c r="I633">
        <v>13520</v>
      </c>
      <c r="J633">
        <v>88</v>
      </c>
      <c r="K633" s="1"/>
    </row>
    <row r="634" spans="1:11">
      <c r="A634" s="17" t="s">
        <v>1762</v>
      </c>
      <c r="B634" s="19" t="s">
        <v>49</v>
      </c>
      <c r="C634" s="19" t="s">
        <v>1913</v>
      </c>
      <c r="D634" s="19" t="s">
        <v>153</v>
      </c>
      <c r="E634" s="20" t="s">
        <v>12</v>
      </c>
      <c r="F634" s="19" t="s">
        <v>1913</v>
      </c>
      <c r="G634" s="19" t="s">
        <v>154</v>
      </c>
      <c r="H634" s="19" t="s">
        <v>31</v>
      </c>
      <c r="I634">
        <v>36266</v>
      </c>
      <c r="J634">
        <v>120</v>
      </c>
      <c r="K634" s="1"/>
    </row>
    <row r="635" spans="1:11">
      <c r="A635" s="17" t="s">
        <v>1762</v>
      </c>
      <c r="B635" s="19" t="s">
        <v>49</v>
      </c>
      <c r="C635" s="19" t="s">
        <v>1914</v>
      </c>
      <c r="D635" s="19" t="s">
        <v>161</v>
      </c>
      <c r="E635" s="20" t="s">
        <v>12</v>
      </c>
      <c r="F635" s="19" t="s">
        <v>1914</v>
      </c>
      <c r="G635" s="19" t="s">
        <v>162</v>
      </c>
      <c r="H635" s="19" t="s">
        <v>31</v>
      </c>
      <c r="I635">
        <v>27271</v>
      </c>
      <c r="J635">
        <v>137</v>
      </c>
      <c r="K635" s="1"/>
    </row>
    <row r="636" spans="1:11">
      <c r="A636" s="17" t="s">
        <v>1762</v>
      </c>
      <c r="B636" s="19" t="s">
        <v>49</v>
      </c>
      <c r="C636" s="19" t="s">
        <v>1915</v>
      </c>
      <c r="D636" s="19" t="s">
        <v>155</v>
      </c>
      <c r="E636" s="20" t="s">
        <v>12</v>
      </c>
      <c r="F636" s="19" t="s">
        <v>1915</v>
      </c>
      <c r="G636" s="19" t="s">
        <v>156</v>
      </c>
      <c r="H636" s="19" t="s">
        <v>31</v>
      </c>
      <c r="I636">
        <v>5199479</v>
      </c>
      <c r="J636">
        <v>144708</v>
      </c>
      <c r="K636" s="1"/>
    </row>
    <row r="637" spans="1:11">
      <c r="A637" s="17" t="s">
        <v>1762</v>
      </c>
      <c r="B637" s="19" t="s">
        <v>49</v>
      </c>
      <c r="C637" s="19" t="s">
        <v>1916</v>
      </c>
      <c r="D637" s="19" t="s">
        <v>163</v>
      </c>
      <c r="E637" s="20" t="s">
        <v>12</v>
      </c>
      <c r="F637" s="19" t="s">
        <v>1916</v>
      </c>
      <c r="G637" s="19" t="s">
        <v>164</v>
      </c>
      <c r="H637" s="19" t="s">
        <v>31</v>
      </c>
      <c r="I637">
        <v>579559</v>
      </c>
      <c r="J637">
        <v>7191</v>
      </c>
      <c r="K637" s="1"/>
    </row>
    <row r="638" spans="1:11">
      <c r="A638" s="17" t="s">
        <v>1762</v>
      </c>
      <c r="B638" s="19" t="s">
        <v>49</v>
      </c>
      <c r="C638" s="19" t="s">
        <v>1917</v>
      </c>
      <c r="D638" s="19" t="s">
        <v>157</v>
      </c>
      <c r="E638" s="20" t="s">
        <v>12</v>
      </c>
      <c r="F638" s="19" t="s">
        <v>1917</v>
      </c>
      <c r="G638" s="19" t="s">
        <v>158</v>
      </c>
      <c r="H638" s="19" t="s">
        <v>31</v>
      </c>
      <c r="I638">
        <v>6123928</v>
      </c>
      <c r="J638">
        <v>276103</v>
      </c>
      <c r="K638" s="1"/>
    </row>
    <row r="639" spans="1:11">
      <c r="A639" s="17" t="s">
        <v>1762</v>
      </c>
      <c r="B639" s="19" t="s">
        <v>49</v>
      </c>
      <c r="C639" s="19" t="s">
        <v>1918</v>
      </c>
      <c r="D639" s="19" t="s">
        <v>165</v>
      </c>
      <c r="E639" s="20" t="s">
        <v>12</v>
      </c>
      <c r="F639" s="19" t="s">
        <v>1918</v>
      </c>
      <c r="G639" s="19" t="s">
        <v>166</v>
      </c>
      <c r="H639" s="19" t="s">
        <v>31</v>
      </c>
      <c r="I639">
        <v>269679</v>
      </c>
      <c r="J639">
        <v>4193</v>
      </c>
      <c r="K639" s="1"/>
    </row>
    <row r="640" spans="1:11">
      <c r="A640" s="17" t="s">
        <v>1762</v>
      </c>
      <c r="B640" s="19" t="s">
        <v>49</v>
      </c>
      <c r="C640" s="19" t="s">
        <v>1919</v>
      </c>
      <c r="D640" s="19" t="s">
        <v>159</v>
      </c>
      <c r="E640" s="20" t="s">
        <v>12</v>
      </c>
      <c r="F640" s="19" t="s">
        <v>1919</v>
      </c>
      <c r="G640" s="19" t="s">
        <v>160</v>
      </c>
      <c r="H640" s="19" t="s">
        <v>31</v>
      </c>
      <c r="I640">
        <v>162546</v>
      </c>
      <c r="J640">
        <v>4287</v>
      </c>
      <c r="K640" s="1"/>
    </row>
    <row r="641" spans="1:11">
      <c r="A641" s="17" t="s">
        <v>1762</v>
      </c>
      <c r="B641" s="19" t="s">
        <v>49</v>
      </c>
      <c r="C641" s="19" t="s">
        <v>1920</v>
      </c>
      <c r="D641" s="19" t="s">
        <v>167</v>
      </c>
      <c r="E641" s="20" t="s">
        <v>12</v>
      </c>
      <c r="F641" s="19" t="s">
        <v>1920</v>
      </c>
      <c r="G641" s="19" t="s">
        <v>168</v>
      </c>
      <c r="H641" s="19" t="s">
        <v>31</v>
      </c>
      <c r="I641">
        <v>12056</v>
      </c>
      <c r="J641">
        <v>112</v>
      </c>
      <c r="K641" s="1"/>
    </row>
    <row r="642" spans="1:11">
      <c r="A642" s="17" t="s">
        <v>1762</v>
      </c>
      <c r="B642" s="19" t="s">
        <v>52</v>
      </c>
      <c r="C642" s="19" t="s">
        <v>1921</v>
      </c>
      <c r="D642" s="19" t="s">
        <v>171</v>
      </c>
      <c r="E642" s="20" t="s">
        <v>12</v>
      </c>
      <c r="F642" s="19" t="s">
        <v>1921</v>
      </c>
      <c r="G642" s="19" t="s">
        <v>172</v>
      </c>
      <c r="H642" s="19" t="s">
        <v>31</v>
      </c>
      <c r="I642">
        <v>10</v>
      </c>
      <c r="J642">
        <v>0</v>
      </c>
      <c r="K642" s="1"/>
    </row>
    <row r="643" spans="1:11">
      <c r="A643" s="17" t="s">
        <v>1762</v>
      </c>
      <c r="B643" s="19" t="s">
        <v>52</v>
      </c>
      <c r="C643" s="19" t="s">
        <v>1922</v>
      </c>
      <c r="D643" s="19" t="s">
        <v>1923</v>
      </c>
      <c r="E643" s="20" t="s">
        <v>32</v>
      </c>
      <c r="F643" s="19" t="s">
        <v>1922</v>
      </c>
      <c r="G643" s="19" t="s">
        <v>1924</v>
      </c>
      <c r="H643" s="19" t="s">
        <v>32</v>
      </c>
      <c r="I643">
        <v>0</v>
      </c>
      <c r="J643">
        <v>1</v>
      </c>
      <c r="K643" s="1"/>
    </row>
    <row r="644" spans="1:11">
      <c r="A644" s="17" t="s">
        <v>1762</v>
      </c>
      <c r="B644" s="19" t="s">
        <v>52</v>
      </c>
      <c r="C644" s="19" t="s">
        <v>1925</v>
      </c>
      <c r="D644" s="19" t="s">
        <v>101</v>
      </c>
      <c r="E644" s="20" t="s">
        <v>32</v>
      </c>
      <c r="F644" s="19" t="s">
        <v>1925</v>
      </c>
      <c r="G644" s="19" t="s">
        <v>102</v>
      </c>
      <c r="H644" s="19" t="s">
        <v>32</v>
      </c>
      <c r="I644">
        <v>0</v>
      </c>
      <c r="J644">
        <v>25</v>
      </c>
      <c r="K644" s="1"/>
    </row>
    <row r="645" spans="1:11">
      <c r="A645" s="17" t="s">
        <v>1762</v>
      </c>
      <c r="B645" s="19" t="s">
        <v>52</v>
      </c>
      <c r="C645" s="19" t="s">
        <v>1926</v>
      </c>
      <c r="D645" s="19" t="s">
        <v>175</v>
      </c>
      <c r="E645" s="20" t="s">
        <v>32</v>
      </c>
      <c r="F645" s="19" t="s">
        <v>1926</v>
      </c>
      <c r="G645" s="19" t="s">
        <v>176</v>
      </c>
      <c r="H645" s="19" t="s">
        <v>32</v>
      </c>
      <c r="I645">
        <v>0</v>
      </c>
      <c r="J645">
        <v>9</v>
      </c>
      <c r="K645" s="1"/>
    </row>
    <row r="646" spans="1:11">
      <c r="A646" s="17" t="s">
        <v>1762</v>
      </c>
      <c r="B646" s="19" t="s">
        <v>52</v>
      </c>
      <c r="C646" s="19" t="s">
        <v>1927</v>
      </c>
      <c r="D646" s="19" t="s">
        <v>177</v>
      </c>
      <c r="E646" s="20" t="s">
        <v>32</v>
      </c>
      <c r="F646" s="19" t="s">
        <v>1927</v>
      </c>
      <c r="G646" s="19" t="s">
        <v>178</v>
      </c>
      <c r="H646" s="19" t="s">
        <v>32</v>
      </c>
      <c r="I646">
        <v>0</v>
      </c>
      <c r="J646">
        <v>2</v>
      </c>
      <c r="K646" s="1"/>
    </row>
    <row r="647" spans="1:11">
      <c r="A647" s="17" t="s">
        <v>1762</v>
      </c>
      <c r="B647" s="19" t="s">
        <v>52</v>
      </c>
      <c r="C647" s="19" t="s">
        <v>1928</v>
      </c>
      <c r="D647" s="19" t="s">
        <v>169</v>
      </c>
      <c r="E647" s="20" t="s">
        <v>12</v>
      </c>
      <c r="F647" s="19" t="s">
        <v>1928</v>
      </c>
      <c r="G647" s="19" t="s">
        <v>170</v>
      </c>
      <c r="H647" s="19" t="s">
        <v>31</v>
      </c>
      <c r="I647">
        <v>6</v>
      </c>
      <c r="J647">
        <v>0</v>
      </c>
      <c r="K647" s="1"/>
    </row>
    <row r="648" spans="1:11">
      <c r="A648" s="17" t="s">
        <v>1762</v>
      </c>
      <c r="B648" s="19" t="s">
        <v>52</v>
      </c>
      <c r="C648" s="19" t="s">
        <v>1929</v>
      </c>
      <c r="D648" s="19" t="s">
        <v>173</v>
      </c>
      <c r="E648" s="20" t="s">
        <v>12</v>
      </c>
      <c r="F648" s="19" t="s">
        <v>1929</v>
      </c>
      <c r="G648" s="19" t="s">
        <v>174</v>
      </c>
      <c r="H648" s="19" t="s">
        <v>31</v>
      </c>
      <c r="I648">
        <v>2</v>
      </c>
      <c r="J648">
        <v>0</v>
      </c>
      <c r="K648" s="1"/>
    </row>
    <row r="649" spans="1:11">
      <c r="A649" s="17" t="s">
        <v>1762</v>
      </c>
      <c r="B649" s="19" t="s">
        <v>111</v>
      </c>
      <c r="C649" s="19" t="s">
        <v>1930</v>
      </c>
      <c r="D649" s="19" t="s">
        <v>300</v>
      </c>
      <c r="E649" s="20" t="s">
        <v>12</v>
      </c>
      <c r="F649" s="19" t="s">
        <v>1930</v>
      </c>
      <c r="G649" s="19" t="s">
        <v>301</v>
      </c>
      <c r="H649" s="19" t="s">
        <v>31</v>
      </c>
      <c r="I649">
        <v>1</v>
      </c>
      <c r="J649">
        <v>0</v>
      </c>
      <c r="K649" s="1"/>
    </row>
    <row r="650" spans="1:11">
      <c r="A650" s="17" t="s">
        <v>1762</v>
      </c>
      <c r="B650" s="19" t="s">
        <v>111</v>
      </c>
      <c r="C650" s="19" t="s">
        <v>1931</v>
      </c>
      <c r="D650" s="19" t="s">
        <v>308</v>
      </c>
      <c r="E650" s="20" t="s">
        <v>12</v>
      </c>
      <c r="F650" s="19" t="s">
        <v>1931</v>
      </c>
      <c r="G650" s="19" t="s">
        <v>309</v>
      </c>
      <c r="H650" s="19" t="s">
        <v>31</v>
      </c>
      <c r="I650">
        <v>2</v>
      </c>
      <c r="J650">
        <v>0</v>
      </c>
      <c r="K650" s="1"/>
    </row>
    <row r="651" spans="1:11">
      <c r="A651" s="17" t="s">
        <v>1762</v>
      </c>
      <c r="B651" s="19" t="s">
        <v>111</v>
      </c>
      <c r="C651" s="19" t="s">
        <v>1932</v>
      </c>
      <c r="D651" s="19" t="s">
        <v>316</v>
      </c>
      <c r="E651" s="20" t="s">
        <v>12</v>
      </c>
      <c r="F651" s="19" t="s">
        <v>1932</v>
      </c>
      <c r="G651" s="19" t="s">
        <v>317</v>
      </c>
      <c r="H651" s="19" t="s">
        <v>31</v>
      </c>
      <c r="I651">
        <v>1</v>
      </c>
      <c r="J651">
        <v>0</v>
      </c>
      <c r="K651" s="1"/>
    </row>
    <row r="652" spans="1:11">
      <c r="A652" s="17" t="s">
        <v>1762</v>
      </c>
      <c r="B652" s="19" t="s">
        <v>111</v>
      </c>
      <c r="C652" s="19" t="s">
        <v>1933</v>
      </c>
      <c r="D652" s="19" t="s">
        <v>302</v>
      </c>
      <c r="E652" s="20" t="s">
        <v>12</v>
      </c>
      <c r="F652" s="19" t="s">
        <v>1933</v>
      </c>
      <c r="G652" s="19" t="s">
        <v>303</v>
      </c>
      <c r="H652" s="19" t="s">
        <v>31</v>
      </c>
      <c r="I652">
        <v>5</v>
      </c>
      <c r="J652">
        <v>0</v>
      </c>
      <c r="K652" s="1"/>
    </row>
    <row r="653" spans="1:11">
      <c r="A653" s="17" t="s">
        <v>1762</v>
      </c>
      <c r="B653" s="19" t="s">
        <v>111</v>
      </c>
      <c r="C653" s="19" t="s">
        <v>1934</v>
      </c>
      <c r="D653" s="19" t="s">
        <v>310</v>
      </c>
      <c r="E653" s="20" t="s">
        <v>12</v>
      </c>
      <c r="F653" s="19" t="s">
        <v>1934</v>
      </c>
      <c r="G653" s="19" t="s">
        <v>311</v>
      </c>
      <c r="H653" s="19" t="s">
        <v>31</v>
      </c>
      <c r="I653">
        <v>6</v>
      </c>
      <c r="J653">
        <v>0</v>
      </c>
      <c r="K653" s="1"/>
    </row>
    <row r="654" spans="1:11">
      <c r="A654" s="17" t="s">
        <v>1762</v>
      </c>
      <c r="B654" s="19" t="s">
        <v>111</v>
      </c>
      <c r="C654" s="19" t="s">
        <v>1935</v>
      </c>
      <c r="D654" s="19" t="s">
        <v>318</v>
      </c>
      <c r="E654" s="20" t="s">
        <v>12</v>
      </c>
      <c r="F654" s="19" t="s">
        <v>1935</v>
      </c>
      <c r="G654" s="19" t="s">
        <v>319</v>
      </c>
      <c r="H654" s="19" t="s">
        <v>31</v>
      </c>
      <c r="I654">
        <v>4</v>
      </c>
      <c r="J654">
        <v>0</v>
      </c>
      <c r="K654" s="1"/>
    </row>
    <row r="655" spans="1:11">
      <c r="A655" s="17" t="s">
        <v>1762</v>
      </c>
      <c r="B655" s="19" t="s">
        <v>111</v>
      </c>
      <c r="C655" s="19" t="s">
        <v>1936</v>
      </c>
      <c r="D655" s="19" t="s">
        <v>304</v>
      </c>
      <c r="E655" s="20" t="s">
        <v>12</v>
      </c>
      <c r="F655" s="19" t="s">
        <v>1936</v>
      </c>
      <c r="G655" s="19" t="s">
        <v>305</v>
      </c>
      <c r="H655" s="19" t="s">
        <v>31</v>
      </c>
      <c r="I655">
        <v>2</v>
      </c>
      <c r="J655">
        <v>0</v>
      </c>
      <c r="K655" s="1"/>
    </row>
    <row r="656" spans="1:11">
      <c r="A656" s="17" t="s">
        <v>1762</v>
      </c>
      <c r="B656" s="19" t="s">
        <v>111</v>
      </c>
      <c r="C656" s="19" t="s">
        <v>1937</v>
      </c>
      <c r="D656" s="19" t="s">
        <v>312</v>
      </c>
      <c r="E656" s="20" t="s">
        <v>12</v>
      </c>
      <c r="F656" s="19" t="s">
        <v>1937</v>
      </c>
      <c r="G656" s="19" t="s">
        <v>313</v>
      </c>
      <c r="H656" s="19" t="s">
        <v>31</v>
      </c>
      <c r="I656">
        <v>2</v>
      </c>
      <c r="J656">
        <v>0</v>
      </c>
      <c r="K656" s="1"/>
    </row>
    <row r="657" spans="1:11">
      <c r="A657" s="17" t="s">
        <v>1762</v>
      </c>
      <c r="B657" s="19" t="s">
        <v>111</v>
      </c>
      <c r="C657" s="19" t="s">
        <v>1938</v>
      </c>
      <c r="D657" s="19" t="s">
        <v>320</v>
      </c>
      <c r="E657" s="20" t="s">
        <v>12</v>
      </c>
      <c r="F657" s="19" t="s">
        <v>1938</v>
      </c>
      <c r="G657" s="19" t="s">
        <v>321</v>
      </c>
      <c r="H657" s="19" t="s">
        <v>31</v>
      </c>
      <c r="I657">
        <v>2</v>
      </c>
      <c r="J657">
        <v>0</v>
      </c>
      <c r="K657" s="1"/>
    </row>
    <row r="658" spans="1:11">
      <c r="A658" s="17" t="s">
        <v>1762</v>
      </c>
      <c r="B658" s="19" t="s">
        <v>111</v>
      </c>
      <c r="C658" s="19" t="s">
        <v>1939</v>
      </c>
      <c r="D658" s="19" t="s">
        <v>306</v>
      </c>
      <c r="E658" s="20" t="s">
        <v>12</v>
      </c>
      <c r="F658" s="19" t="s">
        <v>1939</v>
      </c>
      <c r="G658" s="19" t="s">
        <v>307</v>
      </c>
      <c r="H658" s="19" t="s">
        <v>31</v>
      </c>
      <c r="I658">
        <v>1</v>
      </c>
      <c r="J658">
        <v>0</v>
      </c>
      <c r="K658" s="1"/>
    </row>
    <row r="659" spans="1:11">
      <c r="A659" s="17" t="s">
        <v>1762</v>
      </c>
      <c r="B659" s="19" t="s">
        <v>111</v>
      </c>
      <c r="C659" s="19" t="s">
        <v>1940</v>
      </c>
      <c r="D659" s="19" t="s">
        <v>314</v>
      </c>
      <c r="E659" s="20" t="s">
        <v>12</v>
      </c>
      <c r="F659" s="19" t="s">
        <v>1940</v>
      </c>
      <c r="G659" s="19" t="s">
        <v>315</v>
      </c>
      <c r="H659" s="19" t="s">
        <v>31</v>
      </c>
      <c r="I659">
        <v>1</v>
      </c>
      <c r="J659">
        <v>0</v>
      </c>
      <c r="K659" s="1"/>
    </row>
    <row r="660" spans="1:11">
      <c r="A660" s="17" t="s">
        <v>1762</v>
      </c>
      <c r="B660" s="19" t="s">
        <v>111</v>
      </c>
      <c r="C660" s="19" t="s">
        <v>1941</v>
      </c>
      <c r="D660" s="19" t="s">
        <v>322</v>
      </c>
      <c r="E660" s="20" t="s">
        <v>12</v>
      </c>
      <c r="F660" s="19" t="s">
        <v>1941</v>
      </c>
      <c r="G660" s="19" t="s">
        <v>323</v>
      </c>
      <c r="H660" s="19" t="s">
        <v>31</v>
      </c>
      <c r="I660">
        <v>2</v>
      </c>
      <c r="J660">
        <v>0</v>
      </c>
      <c r="K660" s="1"/>
    </row>
    <row r="661" spans="1:11">
      <c r="A661" s="17" t="s">
        <v>1762</v>
      </c>
      <c r="B661" s="19" t="s">
        <v>111</v>
      </c>
      <c r="C661" s="19" t="s">
        <v>1942</v>
      </c>
      <c r="D661" s="19" t="s">
        <v>1943</v>
      </c>
      <c r="E661" s="20" t="s">
        <v>12</v>
      </c>
      <c r="F661" s="19" t="s">
        <v>1942</v>
      </c>
      <c r="G661" s="19" t="s">
        <v>1944</v>
      </c>
      <c r="H661" s="19" t="s">
        <v>31</v>
      </c>
      <c r="I661">
        <v>1</v>
      </c>
      <c r="J661">
        <v>1</v>
      </c>
      <c r="K661" s="1"/>
    </row>
    <row r="662" spans="1:11">
      <c r="A662" s="17" t="s">
        <v>1762</v>
      </c>
      <c r="B662" s="19" t="s">
        <v>111</v>
      </c>
      <c r="C662" s="19" t="s">
        <v>1945</v>
      </c>
      <c r="D662" s="19" t="s">
        <v>1946</v>
      </c>
      <c r="E662" s="20" t="s">
        <v>12</v>
      </c>
      <c r="F662" s="19" t="s">
        <v>1945</v>
      </c>
      <c r="G662" s="19" t="s">
        <v>1947</v>
      </c>
      <c r="H662" s="19" t="s">
        <v>31</v>
      </c>
      <c r="I662">
        <v>1</v>
      </c>
      <c r="J662">
        <v>1</v>
      </c>
      <c r="K662" s="1"/>
    </row>
    <row r="663" spans="1:11">
      <c r="A663" s="17" t="s">
        <v>1762</v>
      </c>
      <c r="B663" s="19" t="s">
        <v>111</v>
      </c>
      <c r="C663" s="19" t="s">
        <v>1948</v>
      </c>
      <c r="D663" s="19" t="s">
        <v>326</v>
      </c>
      <c r="E663" s="20" t="s">
        <v>32</v>
      </c>
      <c r="F663" s="19" t="s">
        <v>1948</v>
      </c>
      <c r="G663" s="19" t="s">
        <v>327</v>
      </c>
      <c r="H663" s="19" t="s">
        <v>32</v>
      </c>
      <c r="I663">
        <v>33567164</v>
      </c>
      <c r="J663">
        <v>327192</v>
      </c>
      <c r="K663" s="1"/>
    </row>
    <row r="664" spans="1:11">
      <c r="A664" s="17" t="s">
        <v>1762</v>
      </c>
      <c r="B664" s="19" t="s">
        <v>111</v>
      </c>
      <c r="C664" s="19" t="s">
        <v>1949</v>
      </c>
      <c r="D664" s="19" t="s">
        <v>1950</v>
      </c>
      <c r="E664" s="20" t="s">
        <v>32</v>
      </c>
      <c r="F664" s="19" t="s">
        <v>1949</v>
      </c>
      <c r="G664" s="19" t="s">
        <v>1951</v>
      </c>
      <c r="H664" s="19" t="s">
        <v>32</v>
      </c>
      <c r="I664">
        <v>249943</v>
      </c>
      <c r="J664">
        <v>2220</v>
      </c>
      <c r="K664" s="1"/>
    </row>
    <row r="665" spans="1:11">
      <c r="A665" s="17" t="s">
        <v>1762</v>
      </c>
      <c r="B665" s="19" t="s">
        <v>111</v>
      </c>
      <c r="C665" s="19" t="s">
        <v>1952</v>
      </c>
      <c r="D665" s="19" t="s">
        <v>328</v>
      </c>
      <c r="E665" s="20" t="s">
        <v>32</v>
      </c>
      <c r="F665" s="19" t="s">
        <v>1952</v>
      </c>
      <c r="G665" s="19" t="s">
        <v>329</v>
      </c>
      <c r="H665" s="19" t="s">
        <v>32</v>
      </c>
      <c r="I665">
        <v>621938</v>
      </c>
      <c r="J665">
        <v>12571</v>
      </c>
      <c r="K665" s="1"/>
    </row>
    <row r="666" spans="1:11">
      <c r="A666" s="17" t="s">
        <v>1762</v>
      </c>
      <c r="B666" s="19" t="s">
        <v>111</v>
      </c>
      <c r="C666" s="19" t="s">
        <v>1953</v>
      </c>
      <c r="D666" s="19" t="s">
        <v>1954</v>
      </c>
      <c r="E666" s="20" t="s">
        <v>32</v>
      </c>
      <c r="F666" s="19" t="s">
        <v>1953</v>
      </c>
      <c r="G666" s="19" t="s">
        <v>1955</v>
      </c>
      <c r="H666" s="19" t="s">
        <v>32</v>
      </c>
      <c r="I666">
        <v>0</v>
      </c>
      <c r="J666">
        <v>2</v>
      </c>
      <c r="K666" s="1"/>
    </row>
    <row r="667" spans="1:11">
      <c r="A667" s="17" t="s">
        <v>1762</v>
      </c>
      <c r="B667" s="19" t="s">
        <v>111</v>
      </c>
      <c r="C667" s="19" t="s">
        <v>1956</v>
      </c>
      <c r="D667" s="19" t="s">
        <v>1957</v>
      </c>
      <c r="E667" s="20" t="s">
        <v>32</v>
      </c>
      <c r="F667" s="19" t="s">
        <v>1956</v>
      </c>
      <c r="G667" s="19" t="s">
        <v>1958</v>
      </c>
      <c r="H667" s="19" t="s">
        <v>32</v>
      </c>
      <c r="I667">
        <v>0</v>
      </c>
      <c r="J667">
        <v>2</v>
      </c>
      <c r="K667" s="1"/>
    </row>
    <row r="668" spans="1:11">
      <c r="A668" s="17" t="s">
        <v>1762</v>
      </c>
      <c r="B668" s="19" t="s">
        <v>111</v>
      </c>
      <c r="C668" s="19" t="s">
        <v>1959</v>
      </c>
      <c r="D668" s="19" t="s">
        <v>324</v>
      </c>
      <c r="E668" s="20" t="s">
        <v>32</v>
      </c>
      <c r="F668" s="19" t="s">
        <v>1959</v>
      </c>
      <c r="G668" s="19" t="s">
        <v>325</v>
      </c>
      <c r="H668" s="19" t="s">
        <v>32</v>
      </c>
      <c r="I668">
        <v>1021</v>
      </c>
      <c r="J668">
        <v>121</v>
      </c>
      <c r="K668" s="1"/>
    </row>
    <row r="669" spans="1:11">
      <c r="A669" s="17" t="s">
        <v>1762</v>
      </c>
      <c r="B669" s="19" t="s">
        <v>111</v>
      </c>
      <c r="C669" s="19" t="s">
        <v>1960</v>
      </c>
      <c r="D669" s="19" t="s">
        <v>1961</v>
      </c>
      <c r="E669" s="20" t="s">
        <v>84</v>
      </c>
      <c r="F669" s="19" t="s">
        <v>1960</v>
      </c>
      <c r="G669" s="19" t="s">
        <v>1962</v>
      </c>
      <c r="H669" s="19" t="s">
        <v>84</v>
      </c>
      <c r="I669">
        <v>955959</v>
      </c>
      <c r="J669">
        <v>8134</v>
      </c>
      <c r="K669" s="1"/>
    </row>
    <row r="670" spans="1:11">
      <c r="A670" s="17" t="s">
        <v>1762</v>
      </c>
      <c r="B670" s="19" t="s">
        <v>51</v>
      </c>
      <c r="C670" s="19" t="s">
        <v>1963</v>
      </c>
      <c r="D670" s="19" t="s">
        <v>1964</v>
      </c>
      <c r="E670" s="20" t="s">
        <v>32</v>
      </c>
      <c r="F670" s="19" t="s">
        <v>1963</v>
      </c>
      <c r="G670" s="19" t="s">
        <v>1965</v>
      </c>
      <c r="H670" s="19" t="s">
        <v>32</v>
      </c>
      <c r="I670">
        <v>0</v>
      </c>
      <c r="J670">
        <v>193</v>
      </c>
      <c r="K670" s="1"/>
    </row>
    <row r="671" spans="1:11">
      <c r="A671" s="17" t="s">
        <v>1762</v>
      </c>
      <c r="B671" s="19" t="s">
        <v>51</v>
      </c>
      <c r="C671" s="19" t="s">
        <v>1966</v>
      </c>
      <c r="D671" s="19" t="s">
        <v>1967</v>
      </c>
      <c r="E671" s="20" t="s">
        <v>32</v>
      </c>
      <c r="F671" s="19" t="s">
        <v>1966</v>
      </c>
      <c r="G671" s="19" t="s">
        <v>1968</v>
      </c>
      <c r="H671" s="19" t="s">
        <v>32</v>
      </c>
      <c r="I671">
        <v>0</v>
      </c>
      <c r="J671">
        <v>178</v>
      </c>
      <c r="K671" s="1"/>
    </row>
    <row r="672" spans="1:11">
      <c r="A672" s="17" t="s">
        <v>1762</v>
      </c>
      <c r="B672" s="19" t="s">
        <v>51</v>
      </c>
      <c r="C672" s="19" t="s">
        <v>1969</v>
      </c>
      <c r="D672" s="19" t="s">
        <v>1970</v>
      </c>
      <c r="E672" s="20" t="s">
        <v>32</v>
      </c>
      <c r="F672" s="19" t="s">
        <v>1969</v>
      </c>
      <c r="G672" s="19" t="s">
        <v>1971</v>
      </c>
      <c r="H672" s="19" t="s">
        <v>32</v>
      </c>
      <c r="I672">
        <v>0</v>
      </c>
      <c r="J672">
        <v>3676</v>
      </c>
      <c r="K672" s="1"/>
    </row>
    <row r="673" spans="1:11">
      <c r="A673" s="17" t="s">
        <v>1762</v>
      </c>
      <c r="B673" s="19" t="s">
        <v>51</v>
      </c>
      <c r="C673" s="19" t="s">
        <v>1972</v>
      </c>
      <c r="D673" s="19" t="s">
        <v>1973</v>
      </c>
      <c r="E673" s="20" t="s">
        <v>32</v>
      </c>
      <c r="F673" s="19" t="s">
        <v>1972</v>
      </c>
      <c r="G673" s="19" t="s">
        <v>1974</v>
      </c>
      <c r="H673" s="19" t="s">
        <v>32</v>
      </c>
      <c r="I673">
        <v>0</v>
      </c>
      <c r="J673">
        <v>130</v>
      </c>
      <c r="K673" s="1"/>
    </row>
    <row r="674" spans="1:11">
      <c r="A674" s="17" t="s">
        <v>1762</v>
      </c>
      <c r="B674" s="19" t="s">
        <v>51</v>
      </c>
      <c r="C674" s="19" t="s">
        <v>1975</v>
      </c>
      <c r="D674" s="19" t="s">
        <v>1976</v>
      </c>
      <c r="E674" s="20" t="s">
        <v>32</v>
      </c>
      <c r="F674" s="19" t="s">
        <v>1975</v>
      </c>
      <c r="G674" s="19" t="s">
        <v>1977</v>
      </c>
      <c r="H674" s="19" t="s">
        <v>32</v>
      </c>
      <c r="I674">
        <v>0</v>
      </c>
      <c r="J674">
        <v>909</v>
      </c>
      <c r="K674" s="1"/>
    </row>
    <row r="675" spans="1:11">
      <c r="A675" s="17" t="s">
        <v>1762</v>
      </c>
      <c r="B675" s="19" t="s">
        <v>51</v>
      </c>
      <c r="C675" s="19" t="s">
        <v>1978</v>
      </c>
      <c r="D675" s="19" t="s">
        <v>1979</v>
      </c>
      <c r="E675" s="20" t="s">
        <v>32</v>
      </c>
      <c r="F675" s="19" t="s">
        <v>1978</v>
      </c>
      <c r="G675" s="19" t="s">
        <v>1980</v>
      </c>
      <c r="H675" s="19" t="s">
        <v>32</v>
      </c>
      <c r="I675">
        <v>0</v>
      </c>
      <c r="J675">
        <v>164</v>
      </c>
      <c r="K675" s="1"/>
    </row>
    <row r="676" spans="1:11">
      <c r="A676" s="17" t="s">
        <v>1762</v>
      </c>
      <c r="B676" s="19" t="s">
        <v>51</v>
      </c>
      <c r="C676" s="19" t="s">
        <v>1981</v>
      </c>
      <c r="D676" s="19" t="s">
        <v>1982</v>
      </c>
      <c r="E676" s="20" t="s">
        <v>32</v>
      </c>
      <c r="F676" s="19" t="s">
        <v>1981</v>
      </c>
      <c r="G676" s="19" t="s">
        <v>1983</v>
      </c>
      <c r="H676" s="19" t="s">
        <v>32</v>
      </c>
      <c r="I676">
        <v>0</v>
      </c>
      <c r="J676">
        <v>1255</v>
      </c>
      <c r="K676" s="1"/>
    </row>
    <row r="677" spans="1:11">
      <c r="A677" s="17" t="s">
        <v>1762</v>
      </c>
      <c r="B677" s="19" t="s">
        <v>51</v>
      </c>
      <c r="C677" s="19" t="s">
        <v>1984</v>
      </c>
      <c r="D677" s="19" t="s">
        <v>1985</v>
      </c>
      <c r="E677" s="20" t="s">
        <v>32</v>
      </c>
      <c r="F677" s="19" t="s">
        <v>1984</v>
      </c>
      <c r="G677" s="19" t="s">
        <v>1986</v>
      </c>
      <c r="H677" s="19" t="s">
        <v>32</v>
      </c>
      <c r="I677">
        <v>0</v>
      </c>
      <c r="J677">
        <v>2105</v>
      </c>
      <c r="K677" s="1"/>
    </row>
    <row r="678" spans="1:11">
      <c r="A678" s="17" t="s">
        <v>1762</v>
      </c>
      <c r="B678" s="19" t="s">
        <v>51</v>
      </c>
      <c r="C678" s="19" t="s">
        <v>1987</v>
      </c>
      <c r="D678" s="19" t="s">
        <v>1988</v>
      </c>
      <c r="E678" s="20" t="s">
        <v>32</v>
      </c>
      <c r="F678" s="19" t="s">
        <v>1987</v>
      </c>
      <c r="G678" s="19" t="s">
        <v>1989</v>
      </c>
      <c r="H678" s="19" t="s">
        <v>32</v>
      </c>
      <c r="I678">
        <v>0</v>
      </c>
      <c r="J678">
        <v>8</v>
      </c>
      <c r="K678" s="1"/>
    </row>
    <row r="679" spans="1:11">
      <c r="A679" s="17" t="s">
        <v>1762</v>
      </c>
      <c r="B679" s="19" t="s">
        <v>51</v>
      </c>
      <c r="C679" s="19" t="s">
        <v>1990</v>
      </c>
      <c r="D679" s="19" t="s">
        <v>181</v>
      </c>
      <c r="E679" s="20" t="s">
        <v>32</v>
      </c>
      <c r="F679" s="19" t="s">
        <v>1990</v>
      </c>
      <c r="G679" s="19" t="s">
        <v>182</v>
      </c>
      <c r="H679" s="19" t="s">
        <v>32</v>
      </c>
      <c r="I679">
        <v>0</v>
      </c>
      <c r="J679">
        <v>1</v>
      </c>
      <c r="K679" s="1"/>
    </row>
    <row r="680" spans="1:11">
      <c r="A680" s="17" t="s">
        <v>1762</v>
      </c>
      <c r="B680" s="19" t="s">
        <v>51</v>
      </c>
      <c r="C680" s="19" t="s">
        <v>1991</v>
      </c>
      <c r="D680" s="19" t="s">
        <v>183</v>
      </c>
      <c r="E680" s="20" t="s">
        <v>32</v>
      </c>
      <c r="F680" s="19" t="s">
        <v>1991</v>
      </c>
      <c r="G680" s="19" t="s">
        <v>184</v>
      </c>
      <c r="H680" s="19" t="s">
        <v>32</v>
      </c>
      <c r="I680">
        <v>0</v>
      </c>
      <c r="J680">
        <v>1</v>
      </c>
      <c r="K680" s="1"/>
    </row>
    <row r="681" spans="1:11">
      <c r="A681" s="17" t="s">
        <v>1762</v>
      </c>
      <c r="B681" s="19" t="s">
        <v>51</v>
      </c>
      <c r="C681" s="19" t="s">
        <v>1992</v>
      </c>
      <c r="D681" s="19" t="s">
        <v>185</v>
      </c>
      <c r="E681" s="20" t="s">
        <v>32</v>
      </c>
      <c r="F681" s="19" t="s">
        <v>1992</v>
      </c>
      <c r="G681" s="19" t="s">
        <v>186</v>
      </c>
      <c r="H681" s="19" t="s">
        <v>32</v>
      </c>
      <c r="I681">
        <v>0</v>
      </c>
      <c r="J681">
        <v>3</v>
      </c>
      <c r="K681" s="1"/>
    </row>
    <row r="682" spans="1:11">
      <c r="A682" s="17" t="s">
        <v>1762</v>
      </c>
      <c r="B682" s="19" t="s">
        <v>51</v>
      </c>
      <c r="C682" s="19" t="s">
        <v>1993</v>
      </c>
      <c r="D682" s="19" t="s">
        <v>330</v>
      </c>
      <c r="E682" s="20" t="s">
        <v>32</v>
      </c>
      <c r="F682" s="19" t="s">
        <v>1993</v>
      </c>
      <c r="G682" s="19" t="s">
        <v>331</v>
      </c>
      <c r="H682" s="19" t="s">
        <v>32</v>
      </c>
      <c r="I682">
        <v>0</v>
      </c>
      <c r="J682">
        <v>61</v>
      </c>
      <c r="K682" s="1"/>
    </row>
    <row r="683" spans="1:11">
      <c r="A683" s="17" t="s">
        <v>1762</v>
      </c>
      <c r="B683" s="19" t="s">
        <v>51</v>
      </c>
      <c r="C683" s="19" t="s">
        <v>1994</v>
      </c>
      <c r="D683" s="19" t="s">
        <v>332</v>
      </c>
      <c r="E683" s="20" t="s">
        <v>32</v>
      </c>
      <c r="F683" s="19" t="s">
        <v>1994</v>
      </c>
      <c r="G683" s="19" t="s">
        <v>333</v>
      </c>
      <c r="H683" s="19" t="s">
        <v>32</v>
      </c>
      <c r="I683">
        <v>0</v>
      </c>
      <c r="J683">
        <v>411</v>
      </c>
      <c r="K683" s="1"/>
    </row>
    <row r="684" spans="1:11">
      <c r="A684" s="17" t="s">
        <v>1762</v>
      </c>
      <c r="B684" s="19" t="s">
        <v>51</v>
      </c>
      <c r="C684" s="19" t="s">
        <v>1995</v>
      </c>
      <c r="D684" s="19" t="s">
        <v>187</v>
      </c>
      <c r="E684" s="20" t="s">
        <v>32</v>
      </c>
      <c r="F684" s="19" t="s">
        <v>1995</v>
      </c>
      <c r="G684" s="19" t="s">
        <v>188</v>
      </c>
      <c r="H684" s="19" t="s">
        <v>32</v>
      </c>
      <c r="I684">
        <v>0</v>
      </c>
      <c r="J684">
        <v>1</v>
      </c>
      <c r="K684" s="1"/>
    </row>
    <row r="685" spans="1:11">
      <c r="A685" s="17" t="s">
        <v>1762</v>
      </c>
      <c r="B685" s="19" t="s">
        <v>51</v>
      </c>
      <c r="C685" s="19" t="s">
        <v>1996</v>
      </c>
      <c r="D685" s="19" t="s">
        <v>334</v>
      </c>
      <c r="E685" s="20" t="s">
        <v>32</v>
      </c>
      <c r="F685" s="19" t="s">
        <v>1996</v>
      </c>
      <c r="G685" s="19" t="s">
        <v>335</v>
      </c>
      <c r="H685" s="19" t="s">
        <v>32</v>
      </c>
      <c r="I685">
        <v>0</v>
      </c>
      <c r="J685">
        <v>1383</v>
      </c>
      <c r="K685" s="1"/>
    </row>
    <row r="686" spans="1:11">
      <c r="A686" s="17" t="s">
        <v>1762</v>
      </c>
      <c r="B686" s="19" t="s">
        <v>51</v>
      </c>
      <c r="C686" s="19" t="s">
        <v>1997</v>
      </c>
      <c r="D686" s="19" t="s">
        <v>179</v>
      </c>
      <c r="E686" s="20" t="s">
        <v>32</v>
      </c>
      <c r="F686" s="19" t="s">
        <v>1997</v>
      </c>
      <c r="G686" s="19" t="s">
        <v>180</v>
      </c>
      <c r="H686" s="19" t="s">
        <v>32</v>
      </c>
      <c r="I686">
        <v>0</v>
      </c>
      <c r="J686">
        <v>79</v>
      </c>
      <c r="K686" s="1"/>
    </row>
    <row r="687" spans="1:11">
      <c r="A687" s="17" t="s">
        <v>1762</v>
      </c>
      <c r="B687" s="19" t="s">
        <v>51</v>
      </c>
      <c r="C687" s="19" t="s">
        <v>1998</v>
      </c>
      <c r="D687" s="19" t="s">
        <v>338</v>
      </c>
      <c r="E687" s="20" t="s">
        <v>32</v>
      </c>
      <c r="F687" s="19" t="s">
        <v>1998</v>
      </c>
      <c r="G687" s="19" t="s">
        <v>339</v>
      </c>
      <c r="H687" s="19" t="s">
        <v>32</v>
      </c>
      <c r="I687">
        <v>0</v>
      </c>
      <c r="J687">
        <v>101</v>
      </c>
      <c r="K687" s="1"/>
    </row>
    <row r="688" spans="1:11">
      <c r="A688" s="17" t="s">
        <v>1762</v>
      </c>
      <c r="B688" s="19" t="s">
        <v>51</v>
      </c>
      <c r="C688" s="19" t="s">
        <v>1999</v>
      </c>
      <c r="D688" s="19" t="s">
        <v>2000</v>
      </c>
      <c r="E688" s="20" t="s">
        <v>32</v>
      </c>
      <c r="F688" s="19" t="s">
        <v>1999</v>
      </c>
      <c r="G688" s="19" t="s">
        <v>2001</v>
      </c>
      <c r="H688" s="19" t="s">
        <v>32</v>
      </c>
      <c r="I688">
        <v>0</v>
      </c>
      <c r="J688">
        <v>427</v>
      </c>
      <c r="K688" s="1"/>
    </row>
    <row r="689" spans="1:11">
      <c r="A689" s="17" t="s">
        <v>1762</v>
      </c>
      <c r="B689" s="19" t="s">
        <v>51</v>
      </c>
      <c r="C689" s="19" t="s">
        <v>2002</v>
      </c>
      <c r="D689" s="19" t="s">
        <v>2003</v>
      </c>
      <c r="E689" s="20" t="s">
        <v>32</v>
      </c>
      <c r="F689" s="19" t="s">
        <v>2002</v>
      </c>
      <c r="G689" s="19" t="s">
        <v>2004</v>
      </c>
      <c r="H689" s="19" t="s">
        <v>32</v>
      </c>
      <c r="I689">
        <v>0</v>
      </c>
      <c r="J689">
        <v>316</v>
      </c>
      <c r="K689" s="1"/>
    </row>
    <row r="690" spans="1:11">
      <c r="A690" s="17" t="s">
        <v>1762</v>
      </c>
      <c r="B690" s="19" t="s">
        <v>51</v>
      </c>
      <c r="C690" s="19" t="s">
        <v>2005</v>
      </c>
      <c r="D690" s="19" t="s">
        <v>336</v>
      </c>
      <c r="E690" s="20" t="s">
        <v>32</v>
      </c>
      <c r="F690" s="19" t="s">
        <v>2005</v>
      </c>
      <c r="G690" s="19" t="s">
        <v>337</v>
      </c>
      <c r="H690" s="19" t="s">
        <v>32</v>
      </c>
      <c r="I690">
        <v>0</v>
      </c>
      <c r="J690">
        <v>3144</v>
      </c>
      <c r="K690" s="1"/>
    </row>
    <row r="691" spans="1:11">
      <c r="A691" s="17" t="s">
        <v>1762</v>
      </c>
      <c r="B691" s="19" t="s">
        <v>51</v>
      </c>
      <c r="C691" s="19" t="s">
        <v>2006</v>
      </c>
      <c r="D691" s="19" t="s">
        <v>103</v>
      </c>
      <c r="E691" s="20" t="s">
        <v>32</v>
      </c>
      <c r="F691" s="19" t="s">
        <v>2006</v>
      </c>
      <c r="G691" s="19" t="s">
        <v>104</v>
      </c>
      <c r="H691" s="19" t="s">
        <v>32</v>
      </c>
      <c r="I691">
        <v>0</v>
      </c>
      <c r="J691">
        <v>952</v>
      </c>
      <c r="K691" s="1"/>
    </row>
    <row r="692" spans="1:11">
      <c r="A692" s="17" t="s">
        <v>1762</v>
      </c>
      <c r="B692" s="19" t="s">
        <v>51</v>
      </c>
      <c r="C692" s="19" t="s">
        <v>2007</v>
      </c>
      <c r="D692" s="19" t="s">
        <v>340</v>
      </c>
      <c r="E692" s="20" t="s">
        <v>32</v>
      </c>
      <c r="F692" s="19" t="s">
        <v>2007</v>
      </c>
      <c r="G692" s="19" t="s">
        <v>341</v>
      </c>
      <c r="H692" s="19" t="s">
        <v>32</v>
      </c>
      <c r="I692">
        <v>0</v>
      </c>
      <c r="J692">
        <v>247</v>
      </c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A1838" s="17"/>
      <c r="B1838" s="19"/>
      <c r="C1838" s="19"/>
      <c r="D1838" s="19"/>
      <c r="E1838" s="20"/>
      <c r="F1838" s="19"/>
      <c r="G1838" s="19"/>
      <c r="H1838" s="19"/>
      <c r="K1838" s="1"/>
    </row>
    <row r="1839" spans="1:11">
      <c r="A1839" s="17"/>
      <c r="B1839" s="19"/>
      <c r="C1839" s="19"/>
      <c r="D1839" s="19"/>
      <c r="E1839" s="20"/>
      <c r="F1839" s="19"/>
      <c r="G1839" s="19"/>
      <c r="H1839" s="19"/>
      <c r="K1839" s="1"/>
    </row>
    <row r="1840" spans="1:11">
      <c r="A1840" s="17"/>
      <c r="B1840" s="19"/>
      <c r="C1840" s="19"/>
      <c r="D1840" s="19"/>
      <c r="E1840" s="20"/>
      <c r="F1840" s="19"/>
      <c r="G1840" s="19"/>
      <c r="H1840" s="19"/>
      <c r="K1840" s="1"/>
    </row>
    <row r="1841" spans="1:11">
      <c r="A1841" s="17"/>
      <c r="B1841" s="19"/>
      <c r="C1841" s="19"/>
      <c r="D1841" s="19"/>
      <c r="E1841" s="20"/>
      <c r="F1841" s="19"/>
      <c r="G1841" s="19"/>
      <c r="H1841" s="19"/>
      <c r="K1841" s="1"/>
    </row>
    <row r="1842" spans="1:11">
      <c r="A1842" s="17"/>
      <c r="B1842" s="19"/>
      <c r="C1842" s="19"/>
      <c r="D1842" s="19"/>
      <c r="E1842" s="20"/>
      <c r="F1842" s="19"/>
      <c r="G1842" s="19"/>
      <c r="H1842" s="19"/>
      <c r="K1842" s="1"/>
    </row>
    <row r="1843" spans="1:11">
      <c r="A1843" s="17"/>
      <c r="B1843" s="19"/>
      <c r="C1843" s="19"/>
      <c r="D1843" s="19"/>
      <c r="E1843" s="20"/>
      <c r="F1843" s="19"/>
      <c r="G1843" s="19"/>
      <c r="H1843" s="19"/>
      <c r="K1843" s="1"/>
    </row>
    <row r="1844" spans="1:11">
      <c r="A1844" s="17"/>
      <c r="B1844" s="19"/>
      <c r="C1844" s="19"/>
      <c r="D1844" s="19"/>
      <c r="E1844" s="20"/>
      <c r="F1844" s="19"/>
      <c r="G1844" s="19"/>
      <c r="H1844" s="19"/>
      <c r="K1844" s="1"/>
    </row>
    <row r="1845" spans="1:11">
      <c r="A1845" s="17"/>
      <c r="B1845" s="19"/>
      <c r="C1845" s="19"/>
      <c r="D1845" s="19"/>
      <c r="E1845" s="20"/>
      <c r="F1845" s="19"/>
      <c r="G1845" s="19"/>
      <c r="H1845" s="19"/>
      <c r="K1845" s="1"/>
    </row>
    <row r="1846" spans="1:11">
      <c r="A1846" s="17"/>
      <c r="B1846" s="19"/>
      <c r="C1846" s="19"/>
      <c r="D1846" s="19"/>
      <c r="E1846" s="20"/>
      <c r="F1846" s="19"/>
      <c r="G1846" s="19"/>
      <c r="H1846" s="19"/>
      <c r="K1846" s="1"/>
    </row>
    <row r="1847" spans="1:11">
      <c r="A1847" s="17"/>
      <c r="B1847" s="19"/>
      <c r="C1847" s="19"/>
      <c r="D1847" s="19"/>
      <c r="E1847" s="20"/>
      <c r="F1847" s="19"/>
      <c r="G1847" s="19"/>
      <c r="H1847" s="19"/>
      <c r="K1847" s="1"/>
    </row>
    <row r="1848" spans="1:11">
      <c r="K1848" s="1"/>
    </row>
    <row r="1849" spans="1:11">
      <c r="K1849" s="1"/>
    </row>
    <row r="1850" spans="1:11">
      <c r="K1850" s="1"/>
    </row>
  </sheetData>
  <autoFilter ref="A1:J4199" xr:uid="{00000000-0009-0000-0000-000000000000}"/>
  <conditionalFormatting sqref="C1:C1847">
    <cfRule type="duplicateValues" dxfId="2" priority="3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3"/>
  <sheetViews>
    <sheetView workbookViewId="0">
      <selection activeCell="A23" sqref="A23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zoomScaleNormal="100" workbookViewId="0">
      <selection activeCell="N2" sqref="N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MK|BR_CN|AFFLUENT_MN|NONE_YQ|19Q1Q4_CP|PO5020004141-9_SP|N/A_AC|AFF_OB|CON_U1|DCM</v>
      </c>
      <c r="B2" t="str">
        <f t="shared" ref="B2:B65" si="1">bd_site</f>
        <v>Facebook</v>
      </c>
      <c r="C2" t="str">
        <f t="shared" ref="C2:C65" si="2">bd_placement</f>
        <v>MK|BR_CH|PSD_DT|CROSS_PB|FCBK_FM|CAR_RT|CPM_PD|AFFLUENT-DINING-AIRPORT-COMPANION_TG|NON_ST|NON_TS|NONE_SZ|1X1_AD|CM1_IT|SOC</v>
      </c>
      <c r="D2" t="str">
        <f t="shared" ref="D2:D65" si="3">bd_placementID</f>
        <v>252516043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MK|BR_CH|PSD_DT|CROSS_PB|FCBK_FM|CAR_RT|CPM_PD|AFFLUENT-DINING-AIRPORT-COMPANION_TG|NON_ST|NON_TS|NONE_SZ|1X1_AD|CM1_IT|SOC</v>
      </c>
      <c r="G2" t="str">
        <f t="shared" ref="G2:G65" si="6">bd_adid</f>
        <v>448564046</v>
      </c>
      <c r="H2" t="str">
        <f t="shared" ref="H2:H65" si="7">bd_creativetype</f>
        <v>Tracking</v>
      </c>
      <c r="I2">
        <f t="shared" ref="I2:I65" si="8">bd_impression</f>
        <v>0</v>
      </c>
      <c r="J2">
        <f t="shared" ref="J2:J65" si="9">bd_clicks</f>
        <v>8355</v>
      </c>
      <c r="K2" s="4">
        <f t="shared" ref="K2:K43" si="10">IF(LEFT(B2,3)="DBM",0,VLOOKUP(E2,tabela,2,FALSE))</f>
        <v>3.5000000000000001E-3</v>
      </c>
      <c r="L2">
        <f t="shared" ref="L2:L43" si="11">VLOOKUP(E2,tabela,3,FALSE)</f>
        <v>0.02</v>
      </c>
      <c r="M2" s="4">
        <f t="shared" ref="M2:M34" si="12">IF(E2="Dynamic Click",J2*K2,K2*$I2/1000)</f>
        <v>29.2425</v>
      </c>
      <c r="N2" s="4">
        <f>IF(E2="Dynamic Click",J2*L2,L2*$I2/1000)</f>
        <v>167.1</v>
      </c>
    </row>
    <row r="3" spans="1:14">
      <c r="A3" t="str">
        <f t="shared" si="0"/>
        <v>MK|BR_CN|AFFLUENT_MN|NONE_YQ|19Q1Q4_CP|PO5020004141-9_SP|N/A_AC|AFF_OB|CON_U1|DCM</v>
      </c>
      <c r="B3" t="str">
        <f t="shared" si="1"/>
        <v>Facebook</v>
      </c>
      <c r="C3" t="str">
        <f t="shared" si="2"/>
        <v>MK|BR_CH|PSD_DT|CROSS_PB|FCBK_FM|CAR_RT|CPM_PD|AFFLUENT-DINING-DIGITAL-CONCIERGE_TG|NON_ST|NON_TS|NONE_SZ|1X1_AD|CM1_IT|SOC</v>
      </c>
      <c r="D3" t="str">
        <f t="shared" si="3"/>
        <v>252164912</v>
      </c>
      <c r="E3" t="str">
        <f t="shared" si="4"/>
        <v>Dynamic Click</v>
      </c>
      <c r="F3" t="str">
        <f t="shared" si="5"/>
        <v>MK|BR_CH|PSD_DT|CROSS_PB|FCBK_FM|CAR_RT|CPM_PD|AFFLUENT-DINING-DIGITAL-CONCIERGE_TG|NON_ST|NON_TS|NONE_SZ|1X1_AD|CM1_IT|SOC</v>
      </c>
      <c r="G3" t="str">
        <f t="shared" si="6"/>
        <v>448564919</v>
      </c>
      <c r="H3" t="str">
        <f t="shared" si="7"/>
        <v>Tracking</v>
      </c>
      <c r="I3">
        <f t="shared" si="8"/>
        <v>0</v>
      </c>
      <c r="J3">
        <f t="shared" si="9"/>
        <v>25559</v>
      </c>
      <c r="K3" s="4">
        <f t="shared" si="10"/>
        <v>3.5000000000000001E-3</v>
      </c>
      <c r="L3">
        <f t="shared" si="11"/>
        <v>0.02</v>
      </c>
      <c r="M3" s="4">
        <f t="shared" si="12"/>
        <v>89.456500000000005</v>
      </c>
      <c r="N3" s="4">
        <f t="shared" ref="N3:N34" si="13">IF(E3="Dynamic Click",J3*L3,L3*$I3/1000)</f>
        <v>511.18</v>
      </c>
    </row>
    <row r="4" spans="1:14">
      <c r="A4" t="str">
        <f t="shared" si="0"/>
        <v>MK|BR_CN|AFFLUENT_MN|NONE_YQ|19Q1Q4_CP|PO5020004141-9_SP|N/A_AC|AFF_OB|CON_U1|DCM</v>
      </c>
      <c r="B4" t="str">
        <f t="shared" si="1"/>
        <v>Facebook</v>
      </c>
      <c r="C4" t="str">
        <f t="shared" si="2"/>
        <v>MK|BR_CH|PSD_DT|CROSS_PB|FCBK_FM|CAR_RT|CPM_PD|AFFLUENT-DINING-DNA_TG|NON_ST|NON_TS|NONE_SZ|1X1_AD|CM1_IT|SOC</v>
      </c>
      <c r="D4" t="str">
        <f t="shared" si="3"/>
        <v>249763773</v>
      </c>
      <c r="E4" t="str">
        <f t="shared" si="4"/>
        <v>Dynamic Click</v>
      </c>
      <c r="F4" t="str">
        <f t="shared" si="5"/>
        <v>MK|BR_CH|PSD_DT|CROSS_PB|FCBK_FM|CAR_RT|CPM_PD|AFFLUENT-DINING-DNA_TG|NON_ST|NON_TS|NONE_SZ|1X1_AD|CM1_IT|SOC</v>
      </c>
      <c r="G4" t="str">
        <f t="shared" si="6"/>
        <v>445749618</v>
      </c>
      <c r="H4" t="str">
        <f t="shared" si="7"/>
        <v>Tracking</v>
      </c>
      <c r="I4">
        <f t="shared" si="8"/>
        <v>0</v>
      </c>
      <c r="J4">
        <f t="shared" si="9"/>
        <v>2</v>
      </c>
      <c r="K4" s="4">
        <f t="shared" si="10"/>
        <v>3.5000000000000001E-3</v>
      </c>
      <c r="L4">
        <f t="shared" si="11"/>
        <v>0.02</v>
      </c>
      <c r="M4" s="4">
        <f t="shared" si="12"/>
        <v>7.0000000000000001E-3</v>
      </c>
      <c r="N4" s="4">
        <f t="shared" si="13"/>
        <v>0.04</v>
      </c>
    </row>
    <row r="5" spans="1:14">
      <c r="A5" t="str">
        <f t="shared" si="0"/>
        <v>MK|BR_CN|AFFLUENT_MN|NONE_YQ|19Q1Q4_CP|PO5020004141-9_SP|N/A_AC|AFF_OB|CON_U1|DCM</v>
      </c>
      <c r="B5" t="str">
        <f t="shared" si="1"/>
        <v>Facebook</v>
      </c>
      <c r="C5" t="str">
        <f t="shared" si="2"/>
        <v>MK|BR_CH|PSD_DT|CROSS_PB|FCBK_FM|CAR_RT|CPM_PD|AFFLUENT-DINING-FREE-VALET_TG|NON_ST|NON_TS|NONE_SZ|1X1_AD|CM1_IT|SOC</v>
      </c>
      <c r="D5" t="str">
        <f t="shared" si="3"/>
        <v>252168227</v>
      </c>
      <c r="E5" t="str">
        <f t="shared" si="4"/>
        <v>Dynamic Click</v>
      </c>
      <c r="F5" t="str">
        <f t="shared" si="5"/>
        <v>MK|BR_CH|PSD_DT|CROSS_PB|FCBK_FM|CAR_RT|CPM_PD|AFFLUENT-DINING-FREE-VALET_TG|NON_ST|NON_TS|NONE_SZ|1X1_AD|CM1_IT|SOC</v>
      </c>
      <c r="G5" t="str">
        <f t="shared" si="6"/>
        <v>448562951</v>
      </c>
      <c r="H5" t="str">
        <f t="shared" si="7"/>
        <v>Tracking</v>
      </c>
      <c r="I5">
        <f t="shared" si="8"/>
        <v>0</v>
      </c>
      <c r="J5">
        <f t="shared" si="9"/>
        <v>3617</v>
      </c>
      <c r="K5" s="4">
        <f t="shared" si="10"/>
        <v>3.5000000000000001E-3</v>
      </c>
      <c r="L5">
        <f t="shared" si="11"/>
        <v>0.02</v>
      </c>
      <c r="M5" s="4">
        <f t="shared" si="12"/>
        <v>12.6595</v>
      </c>
      <c r="N5" s="4">
        <f t="shared" si="13"/>
        <v>72.34</v>
      </c>
    </row>
    <row r="6" spans="1:14">
      <c r="A6" t="str">
        <f t="shared" si="0"/>
        <v>MK|BR_CN|AFFLUENT_MN|NONE_YQ|19Q1Q4_CP|PO5020004141-9_SP|N/A_AC|AFF_OB|CON_U1|DCM</v>
      </c>
      <c r="B6" t="str">
        <f t="shared" si="1"/>
        <v>Facebook</v>
      </c>
      <c r="C6" t="str">
        <f t="shared" si="2"/>
        <v>MK|BR_CH|PSD_DT|CROSS_PB|FCBK_FM|CAR_RT|CPM_PD|AFFLUENT-SHOPPING-FREE-VALET_TG|NON_ST|NON_TS|NONE_SZ|1X1_AD|CM1_IT|SOC</v>
      </c>
      <c r="D6" t="str">
        <f t="shared" si="3"/>
        <v>256124758</v>
      </c>
      <c r="E6" t="str">
        <f t="shared" si="4"/>
        <v>Dynamic Click</v>
      </c>
      <c r="F6" t="str">
        <f t="shared" si="5"/>
        <v>MK|BR_CH|PSD_DT|CROSS_PB|FCBK_FM|CAR_RT|CPM_PD|AFFLUENT-SHOPPING-FREE-VALET_TG|NON_ST|NON_TS|NONE_SZ|1X1_AD|CM1_IT|SOC</v>
      </c>
      <c r="G6" t="str">
        <f t="shared" si="6"/>
        <v>452046626</v>
      </c>
      <c r="H6" t="str">
        <f t="shared" si="7"/>
        <v>Tracking</v>
      </c>
      <c r="I6">
        <f t="shared" si="8"/>
        <v>0</v>
      </c>
      <c r="J6">
        <f t="shared" si="9"/>
        <v>1</v>
      </c>
      <c r="K6" s="4">
        <f t="shared" si="10"/>
        <v>3.5000000000000001E-3</v>
      </c>
      <c r="L6">
        <f t="shared" si="11"/>
        <v>0.02</v>
      </c>
      <c r="M6" s="4">
        <f t="shared" si="12"/>
        <v>3.5000000000000001E-3</v>
      </c>
      <c r="N6" s="4">
        <f t="shared" si="13"/>
        <v>0.02</v>
      </c>
    </row>
    <row r="7" spans="1:14">
      <c r="A7" t="str">
        <f t="shared" si="0"/>
        <v>MK|BR_CN|AFFLUENT_MN|NONE_YQ|19Q1Q4_CP|PO5020004141-9_SP|N/A_AC|AFF_OB|CON_U1|DCM</v>
      </c>
      <c r="B7" t="str">
        <f t="shared" si="1"/>
        <v>Facebook</v>
      </c>
      <c r="C7" t="str">
        <f t="shared" si="2"/>
        <v>MK|BR_CH|PSD_DT|CROSS_PB|FCBK_FM|CAR_RT|CPM_PD|AFFLUENT-SHOPPING-GARANTIA-ESTENDIDA_TG|NON_ST|NON_TS|NONE_SZ|1X1_AD|CM1_IT|SOC</v>
      </c>
      <c r="D7" t="str">
        <f t="shared" si="3"/>
        <v>252529910</v>
      </c>
      <c r="E7" t="str">
        <f t="shared" si="4"/>
        <v>Dynamic Click</v>
      </c>
      <c r="F7" t="str">
        <f t="shared" si="5"/>
        <v>MK|BR_CH|PSD_DT|CROSS_PB|FCBK_FM|CAR_RT|CPM_PD|AFFLUENT-SHOPPING-GARANTIA-ESTENDIDA_TG|NON_ST|NON_TS|NONE_SZ|1X1_AD|CM1_IT|SOC</v>
      </c>
      <c r="G7" t="str">
        <f t="shared" si="6"/>
        <v>448980940</v>
      </c>
      <c r="H7" t="str">
        <f t="shared" si="7"/>
        <v>Tracking</v>
      </c>
      <c r="I7">
        <f t="shared" si="8"/>
        <v>0</v>
      </c>
      <c r="J7">
        <f t="shared" si="9"/>
        <v>6773</v>
      </c>
      <c r="K7" s="4">
        <f t="shared" si="10"/>
        <v>3.5000000000000001E-3</v>
      </c>
      <c r="L7">
        <f t="shared" si="11"/>
        <v>0.02</v>
      </c>
      <c r="M7" s="4">
        <f t="shared" si="12"/>
        <v>23.705500000000001</v>
      </c>
      <c r="N7" s="4">
        <f t="shared" si="13"/>
        <v>135.46</v>
      </c>
    </row>
    <row r="8" spans="1:14">
      <c r="A8" t="str">
        <f t="shared" si="0"/>
        <v>MK|BR_CN|AFFLUENT_MN|NONE_YQ|19Q1Q4_CP|PO5020004141-9_SP|N/A_AC|AFF_OB|CON_U1|DCM</v>
      </c>
      <c r="B8" t="str">
        <f t="shared" si="1"/>
        <v>Facebook</v>
      </c>
      <c r="C8" t="str">
        <f t="shared" si="2"/>
        <v>MK|BR_CH|PSD_DT|CROSS_PB|FCBK_FM|CAR_RT|CPM_PD|AFFLUENT-SHOPPING-PROTECAO-DE-PRECO_TG|NON_ST|NON_TS|NONE_SZ|1X1_AD|CM1_IT|SOC</v>
      </c>
      <c r="D8" t="str">
        <f t="shared" si="3"/>
        <v>252878782</v>
      </c>
      <c r="E8" t="str">
        <f t="shared" si="4"/>
        <v>Dynamic Click</v>
      </c>
      <c r="F8" t="str">
        <f t="shared" si="5"/>
        <v>MK|BR_CH|PSD_DT|CROSS_PB|FCBK_FM|CAR_RT|CPM_PD|AFFLUENT-SHOPPING-PROTECAO-DE-PRECO_TG|NON_ST|NON_TS|NONE_SZ|1X1_AD|CM1_IT|SOC</v>
      </c>
      <c r="G8" t="str">
        <f t="shared" si="6"/>
        <v>448871241</v>
      </c>
      <c r="H8" t="str">
        <f t="shared" si="7"/>
        <v>Tracking</v>
      </c>
      <c r="I8">
        <f t="shared" si="8"/>
        <v>0</v>
      </c>
      <c r="J8">
        <f t="shared" si="9"/>
        <v>17040</v>
      </c>
      <c r="K8" s="4">
        <f t="shared" si="10"/>
        <v>3.5000000000000001E-3</v>
      </c>
      <c r="L8">
        <f t="shared" si="11"/>
        <v>0.02</v>
      </c>
      <c r="M8" s="4">
        <f t="shared" si="12"/>
        <v>59.64</v>
      </c>
      <c r="N8" s="4">
        <f t="shared" si="13"/>
        <v>340.8</v>
      </c>
    </row>
    <row r="9" spans="1:14">
      <c r="A9" t="str">
        <f t="shared" si="0"/>
        <v>MK|BR_CN|AFFLUENT_MN|NONE_YQ|19Q1Q4_CP|PO5020004141-9_SP|N/A_AC|AFF_OB|CON_U1|DCM</v>
      </c>
      <c r="B9" t="str">
        <f t="shared" si="1"/>
        <v>Facebook</v>
      </c>
      <c r="C9" t="str">
        <f t="shared" si="2"/>
        <v>MK|BR_CH|PSD_DT|CROSS_PB|FCBK_FM|CAR_RT|CPM_PD|AFFLUENT-TRAVEL-CHIP_TG|NON_ST|NON_TS|NONE_SZ|1X1_AD|CM1_IT|SOC</v>
      </c>
      <c r="D9" t="str">
        <f t="shared" si="3"/>
        <v>253540096</v>
      </c>
      <c r="E9" t="str">
        <f t="shared" si="4"/>
        <v>Dynamic Click</v>
      </c>
      <c r="F9" t="str">
        <f t="shared" si="5"/>
        <v>MK|BR_CH|PSD_DT|CROSS_PB|FCBK_FM|CAR_RT|CPM_PD|AFFLUENT-TRAVEL-CHIP_TG|NON_ST|NON_TS|NONE_SZ|1X1_AD|CM1_IT|SOC</v>
      </c>
      <c r="G9" t="str">
        <f t="shared" si="6"/>
        <v>449651872</v>
      </c>
      <c r="H9" t="str">
        <f t="shared" si="7"/>
        <v>Tracking</v>
      </c>
      <c r="I9">
        <f t="shared" si="8"/>
        <v>0</v>
      </c>
      <c r="J9">
        <f t="shared" si="9"/>
        <v>1218</v>
      </c>
      <c r="K9" s="4">
        <f t="shared" si="10"/>
        <v>3.5000000000000001E-3</v>
      </c>
      <c r="L9">
        <f t="shared" si="11"/>
        <v>0.02</v>
      </c>
      <c r="M9" s="4">
        <f t="shared" si="12"/>
        <v>4.2629999999999999</v>
      </c>
      <c r="N9" s="4">
        <f t="shared" si="13"/>
        <v>24.36</v>
      </c>
    </row>
    <row r="10" spans="1:14">
      <c r="A10" t="str">
        <f t="shared" si="0"/>
        <v>MK|BR_CN|AFFLUENT_MN|NONE_YQ|19Q1Q4_CP|PO5020004141-9_SP|N/A_AC|AFF_OB|CON_U1|DCM</v>
      </c>
      <c r="B10" t="str">
        <f t="shared" si="1"/>
        <v>Facebook</v>
      </c>
      <c r="C10" t="str">
        <f t="shared" si="2"/>
        <v>MK|BR_CH|PSD_DT|CROSS_PB|FCBK_FM|CAR_RT|CPM_PD|AFFLUENT-TRAVEL-DNA_TG|NON_ST|NON_TS|NONE_SZ|1X1_AD|CM1_IT|SOC</v>
      </c>
      <c r="D10" t="str">
        <f t="shared" si="3"/>
        <v>249766188</v>
      </c>
      <c r="E10" t="str">
        <f t="shared" si="4"/>
        <v>Dynamic Click</v>
      </c>
      <c r="F10" t="str">
        <f t="shared" si="5"/>
        <v>MK|BR_CH|PSD_DT|CROSS_PB|FCBK_FM|CAR_RT|CPM_PD|AFFLUENT-TRAVEL-DNA_TG|NON_ST|NON_TS|NONE_SZ|1X1_AD|CM1_IT|SOC</v>
      </c>
      <c r="G10" t="str">
        <f t="shared" si="6"/>
        <v>445830668</v>
      </c>
      <c r="H10" t="str">
        <f t="shared" si="7"/>
        <v>Tracking</v>
      </c>
      <c r="I10">
        <f t="shared" si="8"/>
        <v>0</v>
      </c>
      <c r="J10">
        <f t="shared" si="9"/>
        <v>2</v>
      </c>
      <c r="K10" s="4">
        <f t="shared" si="10"/>
        <v>3.5000000000000001E-3</v>
      </c>
      <c r="L10">
        <f t="shared" si="11"/>
        <v>0.02</v>
      </c>
      <c r="M10" s="4">
        <f t="shared" si="12"/>
        <v>7.0000000000000001E-3</v>
      </c>
      <c r="N10" s="4">
        <f t="shared" si="13"/>
        <v>0.04</v>
      </c>
    </row>
    <row r="11" spans="1:14">
      <c r="A11" t="str">
        <f t="shared" si="0"/>
        <v>MK|BR_CN|AFFLUENT_MN|NONE_YQ|19Q1Q4_CP|PO5020004141-9_SP|N/A_AC|AFF_OB|CON_U1|DCM</v>
      </c>
      <c r="B11" t="str">
        <f t="shared" si="1"/>
        <v>Facebook</v>
      </c>
      <c r="C11" t="str">
        <f t="shared" si="2"/>
        <v>MK|BR_CH|PSD_DT|CROSS_PB|FCBK_FM|CAR_RT|CPM_PD|AFFLUENT-TRAVEL-FREE-PARKING_TG|NON_ST|NON_TS|NONE_SZ|1X1_AD|CM1_IT|SOC</v>
      </c>
      <c r="D11" t="str">
        <f t="shared" si="3"/>
        <v>253642767</v>
      </c>
      <c r="E11" t="str">
        <f t="shared" si="4"/>
        <v>Dynamic Click</v>
      </c>
      <c r="F11" t="str">
        <f t="shared" si="5"/>
        <v>MK|BR_CH|PSD_DT|CROSS_PB|FCBK_FM|CAR_RT|CPM_PD|AFFLUENT-TRAVEL-FREE-PARKING_TG|NON_ST|NON_TS|NONE_SZ|1X1_AD|CM1_IT|SOC</v>
      </c>
      <c r="G11" t="str">
        <f t="shared" si="6"/>
        <v>449541438</v>
      </c>
      <c r="H11" t="str">
        <f t="shared" si="7"/>
        <v>Tracking</v>
      </c>
      <c r="I11">
        <f t="shared" si="8"/>
        <v>0</v>
      </c>
      <c r="J11">
        <f t="shared" si="9"/>
        <v>366</v>
      </c>
      <c r="K11" s="4">
        <f t="shared" si="10"/>
        <v>3.5000000000000001E-3</v>
      </c>
      <c r="L11">
        <f t="shared" si="11"/>
        <v>0.02</v>
      </c>
      <c r="M11" s="4">
        <f t="shared" si="12"/>
        <v>1.2809999999999999</v>
      </c>
      <c r="N11" s="4">
        <f t="shared" si="13"/>
        <v>7.32</v>
      </c>
    </row>
    <row r="12" spans="1:14">
      <c r="A12" t="str">
        <f t="shared" si="0"/>
        <v>MK|BR_CN|AFFLUENT_MN|NONE_YQ|19Q1Q4_CP|PO5020004141-9_SP|N/A_AC|AFF_OB|CON_U1|DCM</v>
      </c>
      <c r="B12" t="str">
        <f t="shared" si="1"/>
        <v>Facebook</v>
      </c>
      <c r="C12" t="str">
        <f t="shared" si="2"/>
        <v>MK|BR_CH|PSD_DT|CROSS_PB|FCBK_FM|GIF_RT|CPM_PD|AFFLUENT-MALLS-VIDADE-JARDIM_TG|NON_ST|NON_TS|NONE_SZ|1X1_AD|CM1_IT|SOC</v>
      </c>
      <c r="D12" t="str">
        <f t="shared" si="3"/>
        <v>247404639</v>
      </c>
      <c r="E12" t="str">
        <f t="shared" si="4"/>
        <v>Dynamic Click</v>
      </c>
      <c r="F12" t="str">
        <f t="shared" si="5"/>
        <v>MK|BR_CH|PSD_DT|CROSS_PB|FCBK_FM|GIF_RT|CPM_PD|AFFLUENT-MALLS-VIDADE-JARDIM_TG|NON_ST|NON_TS|NONE_SZ|1X1_AD|CM1_IT|SOC</v>
      </c>
      <c r="G12" t="str">
        <f t="shared" si="6"/>
        <v>443634458</v>
      </c>
      <c r="H12" t="str">
        <f t="shared" si="7"/>
        <v>Tracking</v>
      </c>
      <c r="I12">
        <f t="shared" si="8"/>
        <v>0</v>
      </c>
      <c r="J12">
        <f t="shared" si="9"/>
        <v>1</v>
      </c>
      <c r="K12" s="4">
        <f t="shared" si="10"/>
        <v>3.5000000000000001E-3</v>
      </c>
      <c r="L12">
        <f t="shared" si="11"/>
        <v>0.02</v>
      </c>
      <c r="M12" s="4">
        <f t="shared" si="12"/>
        <v>3.5000000000000001E-3</v>
      </c>
      <c r="N12" s="4">
        <f t="shared" si="13"/>
        <v>0.02</v>
      </c>
    </row>
    <row r="13" spans="1:14">
      <c r="A13" t="str">
        <f t="shared" si="0"/>
        <v>MK|BR_CN|AFFLUENT_MN|NONE_YQ|19Q1Q4_CP|PO5020004141-9_SP|N/A_AC|AFF_OB|CON_U1|DCM</v>
      </c>
      <c r="B13" t="str">
        <f t="shared" si="1"/>
        <v>Google - YouTube</v>
      </c>
      <c r="C13" t="str">
        <f t="shared" si="2"/>
        <v>MK|BR_CH|OV_DT|CROSS_PB|YOUT_FM|BMPR_RT|CPM_PD|AFFLUENT-SHOPPING-GARANTIA-ESTENDIDA_TG|NON_ST|NON_TS|NONE_SZ|VID:06_AD|CM1_IT|NE</v>
      </c>
      <c r="D13" t="str">
        <f t="shared" si="3"/>
        <v>254638117</v>
      </c>
      <c r="E13" t="str">
        <f t="shared" si="4"/>
        <v>Dynamic Click</v>
      </c>
      <c r="F13" t="str">
        <f t="shared" si="5"/>
        <v>MK|BR_CH|OV_DT|CROSS_PB|YOUT_FM|BMPR_RT|CPM_PD|AFFLUENT-SHOPPING-GARANTIA-ESTENDIDA_TG|NON_ST|NON_TS|NONE_SZ|VID:06_AD|CM1_IT|NE</v>
      </c>
      <c r="G13" t="str">
        <f t="shared" si="6"/>
        <v>450584061</v>
      </c>
      <c r="H13" t="str">
        <f t="shared" si="7"/>
        <v>Tracking</v>
      </c>
      <c r="I13">
        <f t="shared" si="8"/>
        <v>6654899</v>
      </c>
      <c r="J13">
        <f t="shared" si="9"/>
        <v>26844</v>
      </c>
      <c r="K13" s="4">
        <f t="shared" si="10"/>
        <v>3.5000000000000001E-3</v>
      </c>
      <c r="L13">
        <f t="shared" si="11"/>
        <v>0.02</v>
      </c>
      <c r="M13" s="4">
        <f t="shared" si="12"/>
        <v>93.954000000000008</v>
      </c>
      <c r="N13" s="4">
        <f t="shared" si="13"/>
        <v>536.88</v>
      </c>
    </row>
    <row r="14" spans="1:14">
      <c r="A14" t="str">
        <f t="shared" si="0"/>
        <v>MK|BR_CN|AFFLUENT_MN|NONE_YQ|19Q1Q4_CP|PO5020004141-9_SP|N/A_AC|AFF_OB|CON_U1|DCM</v>
      </c>
      <c r="B14" t="str">
        <f t="shared" si="1"/>
        <v>Google - YouTube</v>
      </c>
      <c r="C14" t="str">
        <f t="shared" si="2"/>
        <v>MK|BR_CH|OV_DT|CROSS_PB|YOUT_FM|BMPR_RT|CPM_PD|AFFLUENT-SHOPPING-PROTECAO-DE-PRECO_TG|NON_ST|NON_TS|NONE_SZ|VID:06_AD|CM1_IT|NE</v>
      </c>
      <c r="D14" t="str">
        <f t="shared" si="3"/>
        <v>254643139</v>
      </c>
      <c r="E14" t="str">
        <f t="shared" si="4"/>
        <v>Dynamic Click</v>
      </c>
      <c r="F14" t="str">
        <f t="shared" si="5"/>
        <v>MK|BR_CH|OV_DT|CROSS_PB|YOUT_FM|BMPR_RT|CPM_PD|AFFLUENT-SHOPPING-PROTECAO-DE-PRECO_TG|NON_ST|NON_TS|NONE_SZ|VID:06_AD|CM1_IT|NE</v>
      </c>
      <c r="G14" t="str">
        <f t="shared" si="6"/>
        <v>450584862</v>
      </c>
      <c r="H14" t="str">
        <f t="shared" si="7"/>
        <v>Tracking</v>
      </c>
      <c r="I14">
        <f t="shared" si="8"/>
        <v>6672124</v>
      </c>
      <c r="J14">
        <f t="shared" si="9"/>
        <v>31153</v>
      </c>
      <c r="K14" s="4">
        <f t="shared" si="10"/>
        <v>3.5000000000000001E-3</v>
      </c>
      <c r="L14">
        <f t="shared" si="11"/>
        <v>0.02</v>
      </c>
      <c r="M14" s="4">
        <f t="shared" si="12"/>
        <v>109.0355</v>
      </c>
      <c r="N14" s="4">
        <f t="shared" si="13"/>
        <v>623.06000000000006</v>
      </c>
    </row>
    <row r="15" spans="1:14">
      <c r="A15" t="str">
        <f t="shared" si="0"/>
        <v>MK|BR_CN|AFFLUENT_MN|NONE_YQ|19Q1Q4_CP|PO5020004141-9_SP|N/A_AC|AFF_OB|CON_U1|DCM</v>
      </c>
      <c r="B15" t="str">
        <f t="shared" si="1"/>
        <v>Google - YouTube</v>
      </c>
      <c r="C15" t="str">
        <f t="shared" si="2"/>
        <v>MK|BR_CH|OV_DT|CROSS_PB|YOUT_FM|VID_RT|CPM_PD|AFFLUENT-AWARENESS-BIKER_TG|NON_ST|NON_TS|NONE_SZ|Video :30_AD|CM1_IT|NE</v>
      </c>
      <c r="D15" t="str">
        <f t="shared" si="3"/>
        <v>249096551</v>
      </c>
      <c r="E15" t="str">
        <f t="shared" si="4"/>
        <v>Dynamic Click</v>
      </c>
      <c r="F15" t="str">
        <f t="shared" si="5"/>
        <v>MK|BR_CH|OV_DT|CROSS_PB|YOUT_FM|VID_RT|CPM_PD|AFFLUENT-AWARENESS-BIKER_TG|NON_ST|NON_TS|NONE_SZ|Video :30_AD|CM1_IT|NE</v>
      </c>
      <c r="G15" t="str">
        <f t="shared" si="6"/>
        <v>445472751</v>
      </c>
      <c r="H15" t="str">
        <f t="shared" si="7"/>
        <v>Tracking</v>
      </c>
      <c r="I15">
        <f t="shared" si="8"/>
        <v>0</v>
      </c>
      <c r="J15">
        <f t="shared" si="9"/>
        <v>33</v>
      </c>
      <c r="K15" s="4">
        <f t="shared" si="10"/>
        <v>3.5000000000000001E-3</v>
      </c>
      <c r="L15">
        <f t="shared" si="11"/>
        <v>0.02</v>
      </c>
      <c r="M15" s="4">
        <f t="shared" si="12"/>
        <v>0.11550000000000001</v>
      </c>
      <c r="N15" s="4">
        <f t="shared" si="13"/>
        <v>0.66</v>
      </c>
    </row>
    <row r="16" spans="1:14">
      <c r="A16" t="str">
        <f t="shared" si="0"/>
        <v>MK|BR_CN|AFFLUENT_MN|NONE_YQ|19Q1Q4_CP|PO5020004141-9_SP|N/A_AC|AFF_OB|CON_U1|DCM</v>
      </c>
      <c r="B16" t="str">
        <f t="shared" si="1"/>
        <v>Google - YouTube</v>
      </c>
      <c r="C16" t="str">
        <f t="shared" si="2"/>
        <v>MK|BR_CH|OV_DT|CROSS_PB|YOUT_FM|VID_RT|CPM_PD|AFFLUENT-AWARENESS-WATER_TG|NON_ST|NON_TS|NONE_SZ|Video :30_AD|CM1_IT|NE</v>
      </c>
      <c r="D16" t="str">
        <f t="shared" si="3"/>
        <v>255476552</v>
      </c>
      <c r="E16" t="str">
        <f t="shared" si="4"/>
        <v>Dynamic Click</v>
      </c>
      <c r="F16" t="str">
        <f t="shared" si="5"/>
        <v>MK|BR_CH|OV_DT|CROSS_PB|YOUT_FM|VID_RT|CPM_PD|AFFLUENT-AWARENESS-WATER_TG|NON_ST|NON_TS|NONE_SZ|Video :30_AD|CM1_IT|NE</v>
      </c>
      <c r="G16" t="str">
        <f t="shared" si="6"/>
        <v>451702836</v>
      </c>
      <c r="H16" t="str">
        <f t="shared" si="7"/>
        <v>Tracking</v>
      </c>
      <c r="I16">
        <f t="shared" si="8"/>
        <v>18528000</v>
      </c>
      <c r="J16">
        <f t="shared" si="9"/>
        <v>238980</v>
      </c>
      <c r="K16" s="4">
        <f t="shared" si="10"/>
        <v>3.5000000000000001E-3</v>
      </c>
      <c r="L16">
        <f t="shared" si="11"/>
        <v>0.02</v>
      </c>
      <c r="M16" s="4">
        <f t="shared" si="12"/>
        <v>836.43000000000006</v>
      </c>
      <c r="N16" s="4">
        <f t="shared" si="13"/>
        <v>4779.6000000000004</v>
      </c>
    </row>
    <row r="17" spans="1:14">
      <c r="A17" t="str">
        <f t="shared" si="0"/>
        <v>MK|BR_CN|AFFLUENT_MN|NONE_YQ|19Q1Q4_CP|PO5020004141-9_SP|N/A_AC|AFF_OB|CON_U1|DCM</v>
      </c>
      <c r="B17" t="str">
        <f t="shared" si="1"/>
        <v>Google Brasil</v>
      </c>
      <c r="C17" t="str">
        <f t="shared" si="2"/>
        <v>MK|BR_CH|PD_DT|CROSS_PB|DV36_FM|BAN_RT|CPM_PD|AFFLUENT-SHOPPING-GARANTIA-ESTENDIDA_TG|NON_ST|NON_TS|NONE_SZ|120x600_AD|CM_IT|POE</v>
      </c>
      <c r="D17" t="str">
        <f t="shared" si="3"/>
        <v>253019265</v>
      </c>
      <c r="E17" t="str">
        <f t="shared" si="4"/>
        <v>Standard</v>
      </c>
      <c r="F17" t="str">
        <f t="shared" si="5"/>
        <v>MK|BR_CH|PD_DT|CROSS_PB|DV36_FM|BAN_RT|CPM_PD|AFFLUENT-SHOPPING-GARANTIA-ESTENDIDA_TG|NON_ST|NON_TS|NONE_SZ|120x600_AD|CM_IT|POE</v>
      </c>
      <c r="G17" t="str">
        <f t="shared" si="6"/>
        <v>449036170</v>
      </c>
      <c r="H17" t="str">
        <f t="shared" si="7"/>
        <v>Display</v>
      </c>
      <c r="I17">
        <f t="shared" si="8"/>
        <v>126498</v>
      </c>
      <c r="J17">
        <f t="shared" si="9"/>
        <v>25</v>
      </c>
      <c r="K17" s="4">
        <f t="shared" si="10"/>
        <v>3.8199999999999998E-2</v>
      </c>
      <c r="L17">
        <f t="shared" si="11"/>
        <v>0.09</v>
      </c>
      <c r="M17" s="4">
        <f t="shared" si="12"/>
        <v>4.832223599999999</v>
      </c>
      <c r="N17" s="4">
        <f t="shared" si="13"/>
        <v>11.384819999999999</v>
      </c>
    </row>
    <row r="18" spans="1:14">
      <c r="A18" t="str">
        <f t="shared" si="0"/>
        <v>MK|BR_CN|AFFLUENT_MN|NONE_YQ|19Q1Q4_CP|PO5020004141-9_SP|N/A_AC|AFF_OB|CON_U1|DCM</v>
      </c>
      <c r="B18" t="str">
        <f t="shared" si="1"/>
        <v>Google Brasil</v>
      </c>
      <c r="C18" t="str">
        <f t="shared" si="2"/>
        <v>MK|BR_CH|PD_DT|CROSS_PB|DV36_FM|BAN_RT|CPM_PD|AFFLUENT-SHOPPING-GARANTIA-ESTENDIDA_TG|NON_ST|NON_TS|NONE_SZ|300x250_AD|CM_IT|POE</v>
      </c>
      <c r="D18" t="str">
        <f t="shared" si="3"/>
        <v>253019262</v>
      </c>
      <c r="E18" t="str">
        <f t="shared" si="4"/>
        <v>Standard</v>
      </c>
      <c r="F18" t="str">
        <f t="shared" si="5"/>
        <v>MK|BR_CH|PD_DT|CROSS_PB|DV36_FM|BAN_RT|CPM_PD|AFFLUENT-SHOPPING-GARANTIA-ESTENDIDA_TG|NON_ST|NON_TS|NONE_SZ|300x250_AD|CM_IT|POE</v>
      </c>
      <c r="G18" t="str">
        <f t="shared" si="6"/>
        <v>449036167</v>
      </c>
      <c r="H18" t="str">
        <f t="shared" si="7"/>
        <v>Display</v>
      </c>
      <c r="I18">
        <f t="shared" si="8"/>
        <v>2163833</v>
      </c>
      <c r="J18">
        <f t="shared" si="9"/>
        <v>3337</v>
      </c>
      <c r="K18" s="4">
        <f t="shared" si="10"/>
        <v>3.8199999999999998E-2</v>
      </c>
      <c r="L18">
        <f t="shared" si="11"/>
        <v>0.09</v>
      </c>
      <c r="M18" s="4">
        <f t="shared" si="12"/>
        <v>82.658420599999999</v>
      </c>
      <c r="N18" s="4">
        <f t="shared" si="13"/>
        <v>194.74497</v>
      </c>
    </row>
    <row r="19" spans="1:14">
      <c r="A19" t="str">
        <f t="shared" si="0"/>
        <v>MK|BR_CN|AFFLUENT_MN|NONE_YQ|19Q1Q4_CP|PO5020004141-9_SP|N/A_AC|AFF_OB|CON_U1|DCM</v>
      </c>
      <c r="B19" t="str">
        <f t="shared" si="1"/>
        <v>Google Brasil</v>
      </c>
      <c r="C19" t="str">
        <f t="shared" si="2"/>
        <v>MK|BR_CH|PD_DT|CROSS_PB|DV36_FM|BAN_RT|CPM_PD|AFFLUENT-SHOPPING-GARANTIA-ESTENDIDA_TG|NON_ST|NON_TS|NONE_SZ|320x100_AD|CM_IT|POE</v>
      </c>
      <c r="D19" t="str">
        <f t="shared" si="3"/>
        <v>253019256</v>
      </c>
      <c r="E19" t="str">
        <f t="shared" si="4"/>
        <v>Standard</v>
      </c>
      <c r="F19" t="str">
        <f t="shared" si="5"/>
        <v>MK|BR_CH|PD_DT|CROSS_PB|DV36_FM|BAN_RT|CPM_PD|AFFLUENT-SHOPPING-GARANTIA-ESTENDIDA_TG|NON_ST|NON_TS|NONE_SZ|320x100_AD|CM_IT|POE</v>
      </c>
      <c r="G19" t="str">
        <f t="shared" si="6"/>
        <v>449036161</v>
      </c>
      <c r="H19" t="str">
        <f t="shared" si="7"/>
        <v>Display</v>
      </c>
      <c r="I19">
        <f t="shared" si="8"/>
        <v>243071</v>
      </c>
      <c r="J19">
        <f t="shared" si="9"/>
        <v>979</v>
      </c>
      <c r="K19" s="4">
        <f t="shared" si="10"/>
        <v>3.8199999999999998E-2</v>
      </c>
      <c r="L19">
        <f t="shared" si="11"/>
        <v>0.09</v>
      </c>
      <c r="M19" s="4">
        <f t="shared" si="12"/>
        <v>9.2853121999999999</v>
      </c>
      <c r="N19" s="4">
        <f t="shared" si="13"/>
        <v>21.876390000000001</v>
      </c>
    </row>
    <row r="20" spans="1:14">
      <c r="A20" t="str">
        <f t="shared" si="0"/>
        <v>MK|BR_CN|AFFLUENT_MN|NONE_YQ|19Q1Q4_CP|PO5020004141-9_SP|N/A_AC|AFF_OB|CON_U1|DCM</v>
      </c>
      <c r="B20" t="str">
        <f t="shared" si="1"/>
        <v>Google Brasil</v>
      </c>
      <c r="C20" t="str">
        <f t="shared" si="2"/>
        <v>MK|BR_CH|PD_DT|CROSS_PB|DV36_FM|BAN_RT|CPM_PD|AFFLUENT-SHOPPING-GARANTIA-ESTENDIDA_TG|NON_ST|NON_TS|NONE_SZ|320x50_AD|CM_IT|POE</v>
      </c>
      <c r="D20" t="str">
        <f t="shared" si="3"/>
        <v>253019259</v>
      </c>
      <c r="E20" t="str">
        <f t="shared" si="4"/>
        <v>Standard</v>
      </c>
      <c r="F20" t="str">
        <f t="shared" si="5"/>
        <v>MK|BR_CH|PD_DT|CROSS_PB|DV36_FM|BAN_RT|CPM_PD|AFFLUENT-SHOPPING-GARANTIA-ESTENDIDA_TG|NON_ST|NON_TS|NONE_SZ|320x50_AD|CM_IT|POE</v>
      </c>
      <c r="G20" t="str">
        <f t="shared" si="6"/>
        <v>449036164</v>
      </c>
      <c r="H20" t="str">
        <f t="shared" si="7"/>
        <v>Display</v>
      </c>
      <c r="I20">
        <f t="shared" si="8"/>
        <v>710511</v>
      </c>
      <c r="J20">
        <f t="shared" si="9"/>
        <v>1655</v>
      </c>
      <c r="K20" s="4">
        <f t="shared" si="10"/>
        <v>3.8199999999999998E-2</v>
      </c>
      <c r="L20">
        <f t="shared" si="11"/>
        <v>0.09</v>
      </c>
      <c r="M20" s="4">
        <f t="shared" si="12"/>
        <v>27.141520199999999</v>
      </c>
      <c r="N20" s="4">
        <f t="shared" si="13"/>
        <v>63.945989999999995</v>
      </c>
    </row>
    <row r="21" spans="1:14">
      <c r="A21" t="str">
        <f t="shared" si="0"/>
        <v>MK|BR_CN|AFFLUENT_MN|NONE_YQ|19Q1Q4_CP|PO5020004141-9_SP|N/A_AC|AFF_OB|CON_U1|DCM</v>
      </c>
      <c r="B21" t="str">
        <f t="shared" si="1"/>
        <v>Google Brasil</v>
      </c>
      <c r="C21" t="str">
        <f t="shared" si="2"/>
        <v>MK|BR_CH|PD_DT|CROSS_PB|DV36_FM|BAN_RT|CPM_PD|AFFLUENT-SHOPPING-GARANTIA-ESTENDIDA_TG|NON_ST|NON_TS|NONE_SZ|728x90_AD|CM_IT|POE</v>
      </c>
      <c r="D21" t="str">
        <f t="shared" si="3"/>
        <v>253019253</v>
      </c>
      <c r="E21" t="str">
        <f t="shared" si="4"/>
        <v>Standard</v>
      </c>
      <c r="F21" t="str">
        <f t="shared" si="5"/>
        <v>MK|BR_CH|PD_DT|CROSS_PB|DV36_FM|BAN_RT|CPM_PD|AFFLUENT-SHOPPING-GARANTIA-ESTENDIDA_TG|NON_ST|NON_TS|NONE_SZ|728x90_AD|CM_IT|POE</v>
      </c>
      <c r="G21" t="str">
        <f t="shared" si="6"/>
        <v>449036158</v>
      </c>
      <c r="H21" t="str">
        <f t="shared" si="7"/>
        <v>Display</v>
      </c>
      <c r="I21">
        <f t="shared" si="8"/>
        <v>484462</v>
      </c>
      <c r="J21">
        <f t="shared" si="9"/>
        <v>188</v>
      </c>
      <c r="K21" s="4">
        <f t="shared" si="10"/>
        <v>3.8199999999999998E-2</v>
      </c>
      <c r="L21">
        <f t="shared" si="11"/>
        <v>0.09</v>
      </c>
      <c r="M21" s="4">
        <f t="shared" si="12"/>
        <v>18.506448399999996</v>
      </c>
      <c r="N21" s="4">
        <f t="shared" si="13"/>
        <v>43.601579999999998</v>
      </c>
    </row>
    <row r="22" spans="1:14">
      <c r="A22" t="str">
        <f t="shared" si="0"/>
        <v>MK|BR_CN|AFFLUENT_MN|NONE_YQ|19Q1Q4_CP|PO5020004141-9_SP|N/A_AC|AFF_OB|CON_U1|DCM</v>
      </c>
      <c r="B22" t="str">
        <f t="shared" si="1"/>
        <v>Google Brasil</v>
      </c>
      <c r="C22" t="str">
        <f t="shared" si="2"/>
        <v>MK|BR_CH|PD_DT|CROSS_PB|DV36_FM|BAN_RT|CPM_PD|AFFLUENT-SHOPPING-PROTECAO-DE-PRECO_TG|NON_ST|NON_TS|NONE_SZ|120x600_AD|CM_IT|POE</v>
      </c>
      <c r="D22" t="str">
        <f t="shared" si="3"/>
        <v>252951420</v>
      </c>
      <c r="E22" t="str">
        <f t="shared" si="4"/>
        <v>Standard</v>
      </c>
      <c r="F22" t="str">
        <f t="shared" si="5"/>
        <v>MK|BR_CH|PD_DT|CROSS_PB|DV36_FM|BAN_RT|CPM_PD|AFFLUENT-SHOPPING-PROTECAO-DE-PRECO_TG|NON_ST|NON_TS|NONE_SZ|120x600_AD|CM_IT|POE</v>
      </c>
      <c r="G22" t="str">
        <f t="shared" si="6"/>
        <v>448874241</v>
      </c>
      <c r="H22" t="str">
        <f t="shared" si="7"/>
        <v>Display</v>
      </c>
      <c r="I22">
        <f t="shared" si="8"/>
        <v>106683</v>
      </c>
      <c r="J22">
        <f t="shared" si="9"/>
        <v>12</v>
      </c>
      <c r="K22" s="4">
        <f t="shared" si="10"/>
        <v>3.8199999999999998E-2</v>
      </c>
      <c r="L22">
        <f t="shared" si="11"/>
        <v>0.09</v>
      </c>
      <c r="M22" s="4">
        <f t="shared" si="12"/>
        <v>4.0752905999999998</v>
      </c>
      <c r="N22" s="4">
        <f t="shared" si="13"/>
        <v>9.6014699999999991</v>
      </c>
    </row>
    <row r="23" spans="1:14">
      <c r="A23" t="str">
        <f t="shared" si="0"/>
        <v>MK|BR_CN|AFFLUENT_MN|NONE_YQ|19Q1Q4_CP|PO5020004141-9_SP|N/A_AC|AFF_OB|CON_U1|DCM</v>
      </c>
      <c r="B23" t="str">
        <f t="shared" si="1"/>
        <v>Google Brasil</v>
      </c>
      <c r="C23" t="str">
        <f t="shared" si="2"/>
        <v>MK|BR_CH|PD_DT|CROSS_PB|DV36_FM|BAN_RT|CPM_PD|AFFLUENT-SHOPPING-PROTECAO-DE-PRECO_TG|NON_ST|NON_TS|NONE_SZ|300x250_AD|CM_IT|POE</v>
      </c>
      <c r="D23" t="str">
        <f t="shared" si="3"/>
        <v>252951423</v>
      </c>
      <c r="E23" t="str">
        <f t="shared" si="4"/>
        <v>Standard</v>
      </c>
      <c r="F23" t="str">
        <f t="shared" si="5"/>
        <v>MK|BR_CH|PD_DT|CROSS_PB|DV36_FM|BAN_RT|CPM_PD|AFFLUENT-SHOPPING-PROTECAO-DE-PRECO_TG|NON_ST|NON_TS|NONE_SZ|300x250_AD|CM_IT|POE</v>
      </c>
      <c r="G23" t="str">
        <f t="shared" si="6"/>
        <v>448874238</v>
      </c>
      <c r="H23" t="str">
        <f t="shared" si="7"/>
        <v>Display</v>
      </c>
      <c r="I23">
        <f t="shared" si="8"/>
        <v>2013334</v>
      </c>
      <c r="J23">
        <f t="shared" si="9"/>
        <v>3321</v>
      </c>
      <c r="K23" s="4">
        <f t="shared" si="10"/>
        <v>3.8199999999999998E-2</v>
      </c>
      <c r="L23">
        <f t="shared" si="11"/>
        <v>0.09</v>
      </c>
      <c r="M23" s="4">
        <f t="shared" si="12"/>
        <v>76.909358800000007</v>
      </c>
      <c r="N23" s="4">
        <f t="shared" si="13"/>
        <v>181.20006000000001</v>
      </c>
    </row>
    <row r="24" spans="1:14">
      <c r="A24" t="str">
        <f t="shared" si="0"/>
        <v>MK|BR_CN|AFFLUENT_MN|NONE_YQ|19Q1Q4_CP|PO5020004141-9_SP|N/A_AC|AFF_OB|CON_U1|DCM</v>
      </c>
      <c r="B24" t="str">
        <f t="shared" si="1"/>
        <v>Google Brasil</v>
      </c>
      <c r="C24" t="str">
        <f t="shared" si="2"/>
        <v>MK|BR_CH|PD_DT|CROSS_PB|DV36_FM|BAN_RT|CPM_PD|AFFLUENT-SHOPPING-PROTECAO-DE-PRECO_TG|NON_ST|NON_TS|NONE_SZ|320x100_AD|CM_IT|POE</v>
      </c>
      <c r="D24" t="str">
        <f t="shared" si="3"/>
        <v>252951429</v>
      </c>
      <c r="E24" t="str">
        <f t="shared" si="4"/>
        <v>Standard</v>
      </c>
      <c r="F24" t="str">
        <f t="shared" si="5"/>
        <v>MK|BR_CH|PD_DT|CROSS_PB|DV36_FM|BAN_RT|CPM_PD|AFFLUENT-SHOPPING-PROTECAO-DE-PRECO_TG|NON_ST|NON_TS|NONE_SZ|320x100_AD|CM_IT|POE</v>
      </c>
      <c r="G24" t="str">
        <f t="shared" si="6"/>
        <v>448874232</v>
      </c>
      <c r="H24" t="str">
        <f t="shared" si="7"/>
        <v>Display</v>
      </c>
      <c r="I24">
        <f t="shared" si="8"/>
        <v>205879</v>
      </c>
      <c r="J24">
        <f t="shared" si="9"/>
        <v>800</v>
      </c>
      <c r="K24" s="4">
        <f t="shared" si="10"/>
        <v>3.8199999999999998E-2</v>
      </c>
      <c r="L24">
        <f t="shared" si="11"/>
        <v>0.09</v>
      </c>
      <c r="M24" s="4">
        <f t="shared" si="12"/>
        <v>7.8645777999999993</v>
      </c>
      <c r="N24" s="4">
        <f t="shared" si="13"/>
        <v>18.529109999999999</v>
      </c>
    </row>
    <row r="25" spans="1:14">
      <c r="A25" t="str">
        <f t="shared" si="0"/>
        <v>MK|BR_CN|AFFLUENT_MN|NONE_YQ|19Q1Q4_CP|PO5020004141-9_SP|N/A_AC|AFF_OB|CON_U1|DCM</v>
      </c>
      <c r="B25" t="str">
        <f t="shared" si="1"/>
        <v>Google Brasil</v>
      </c>
      <c r="C25" t="str">
        <f t="shared" si="2"/>
        <v>MK|BR_CH|PD_DT|CROSS_PB|DV36_FM|BAN_RT|CPM_PD|AFFLUENT-SHOPPING-PROTECAO-DE-PRECO_TG|NON_ST|NON_TS|NONE_SZ|320x50_AD|CM_IT|POE</v>
      </c>
      <c r="D25" t="str">
        <f t="shared" si="3"/>
        <v>252951426</v>
      </c>
      <c r="E25" t="str">
        <f t="shared" si="4"/>
        <v>Standard</v>
      </c>
      <c r="F25" t="str">
        <f t="shared" si="5"/>
        <v>MK|BR_CH|PD_DT|CROSS_PB|DV36_FM|BAN_RT|CPM_PD|AFFLUENT-SHOPPING-PROTECAO-DE-PRECO_TG|NON_ST|NON_TS|NONE_SZ|320x50_AD|CM_IT|POE</v>
      </c>
      <c r="G25" t="str">
        <f t="shared" si="6"/>
        <v>448874235</v>
      </c>
      <c r="H25" t="str">
        <f t="shared" si="7"/>
        <v>Display</v>
      </c>
      <c r="I25">
        <f t="shared" si="8"/>
        <v>624873</v>
      </c>
      <c r="J25">
        <f t="shared" si="9"/>
        <v>1459</v>
      </c>
      <c r="K25" s="4">
        <f t="shared" si="10"/>
        <v>3.8199999999999998E-2</v>
      </c>
      <c r="L25">
        <f t="shared" si="11"/>
        <v>0.09</v>
      </c>
      <c r="M25" s="4">
        <f t="shared" si="12"/>
        <v>23.8701486</v>
      </c>
      <c r="N25" s="4">
        <f t="shared" si="13"/>
        <v>56.238570000000003</v>
      </c>
    </row>
    <row r="26" spans="1:14">
      <c r="A26" t="str">
        <f t="shared" si="0"/>
        <v>MK|BR_CN|AFFLUENT_MN|NONE_YQ|19Q1Q4_CP|PO5020004141-9_SP|N/A_AC|AFF_OB|CON_U1|DCM</v>
      </c>
      <c r="B26" t="str">
        <f t="shared" si="1"/>
        <v>Google Brasil</v>
      </c>
      <c r="C26" t="str">
        <f t="shared" si="2"/>
        <v>MK|BR_CH|PD_DT|CROSS_PB|DV36_FM|BAN_RT|CPM_PD|AFFLUENT-SHOPPING-PROTECAO-DE-PRECO_TG|NON_ST|NON_TS|NONE_SZ|728x90_AD|CM_IT|POE</v>
      </c>
      <c r="D26" t="str">
        <f t="shared" si="3"/>
        <v>252951432</v>
      </c>
      <c r="E26" t="str">
        <f t="shared" si="4"/>
        <v>Standard</v>
      </c>
      <c r="F26" t="str">
        <f t="shared" si="5"/>
        <v>MK|BR_CH|PD_DT|CROSS_PB|DV36_FM|BAN_RT|CPM_PD|AFFLUENT-SHOPPING-PROTECAO-DE-PRECO_TG|NON_ST|NON_TS|NONE_SZ|728x90_AD|CM_IT|POE</v>
      </c>
      <c r="G26" t="str">
        <f t="shared" si="6"/>
        <v>448990267</v>
      </c>
      <c r="H26" t="str">
        <f t="shared" si="7"/>
        <v>Display</v>
      </c>
      <c r="I26">
        <f t="shared" si="8"/>
        <v>506446</v>
      </c>
      <c r="J26">
        <f t="shared" si="9"/>
        <v>263</v>
      </c>
      <c r="K26" s="4">
        <f t="shared" si="10"/>
        <v>3.8199999999999998E-2</v>
      </c>
      <c r="L26">
        <f t="shared" si="11"/>
        <v>0.09</v>
      </c>
      <c r="M26" s="4">
        <f t="shared" si="12"/>
        <v>19.346237200000001</v>
      </c>
      <c r="N26" s="4">
        <f t="shared" si="13"/>
        <v>45.58014</v>
      </c>
    </row>
    <row r="27" spans="1:14">
      <c r="A27" t="str">
        <f t="shared" si="0"/>
        <v>MK|BR_CN|AFFLUENT_MN|NONE_YQ|19Q1Q4_CP|PO5020004141-9_SP|N/A_AC|AFF_OB|CON_U1|DCM</v>
      </c>
      <c r="B27" t="str">
        <f t="shared" si="1"/>
        <v>Google Brasil</v>
      </c>
      <c r="C27" t="str">
        <f t="shared" si="2"/>
        <v>MK|BR_CH|PD_DT|CROSS_PB|DV36_FM|BAN_RT|CPM_PD|AFFLUENT-TRAVEL-CHIP-INTERNACIONAL_TG|NON_ST|NON_TS|NONE_SZ|300x250_AD|CM_IT|POE</v>
      </c>
      <c r="D27" t="str">
        <f t="shared" si="3"/>
        <v>253485077</v>
      </c>
      <c r="E27" t="str">
        <f t="shared" si="4"/>
        <v>Standard</v>
      </c>
      <c r="F27" t="str">
        <f t="shared" si="5"/>
        <v>MK|BR_CH|PD_DT|CROSS_PB|DV36_FM|BAN_RT|CPM_PD|AFFLUENT-TRAVEL-CHIP-INTERNACIONAL_TG|NON_ST|NON_TS|NONE_SZ|300x250_AD|CM_IT|POE</v>
      </c>
      <c r="G27" t="str">
        <f t="shared" si="6"/>
        <v>449872028</v>
      </c>
      <c r="H27" t="str">
        <f t="shared" si="7"/>
        <v>Display</v>
      </c>
      <c r="I27">
        <f t="shared" si="8"/>
        <v>1111879</v>
      </c>
      <c r="J27">
        <f t="shared" si="9"/>
        <v>737</v>
      </c>
      <c r="K27" s="4">
        <f t="shared" si="10"/>
        <v>3.8199999999999998E-2</v>
      </c>
      <c r="L27">
        <f t="shared" si="11"/>
        <v>0.09</v>
      </c>
      <c r="M27" s="4">
        <f t="shared" si="12"/>
        <v>42.473777799999993</v>
      </c>
      <c r="N27" s="4">
        <f t="shared" si="13"/>
        <v>100.06910999999999</v>
      </c>
    </row>
    <row r="28" spans="1:14">
      <c r="A28" t="str">
        <f t="shared" si="0"/>
        <v>MK|BR_CN|AFFLUENT_MN|NONE_YQ|19Q1Q4_CP|PO5020004141-9_SP|N/A_AC|AFF_OB|CON_U1|DCM</v>
      </c>
      <c r="B28" t="str">
        <f t="shared" si="1"/>
        <v>Google Brasil</v>
      </c>
      <c r="C28" t="str">
        <f t="shared" si="2"/>
        <v>MK|BR_CH|PD_DT|CROSS_PB|DV36_FM|BAN_RT|CPM_PD|AFFLUENT-TRAVEL-CHIP-INTERNACIONAL_TG|NON_ST|NON_TS|NONE_SZ|300x600_AD|CM_IT|POE</v>
      </c>
      <c r="D28" t="str">
        <f t="shared" si="3"/>
        <v>253485779</v>
      </c>
      <c r="E28" t="str">
        <f t="shared" si="4"/>
        <v>Standard</v>
      </c>
      <c r="F28" t="str">
        <f t="shared" si="5"/>
        <v>MK|BR_CH|PD_DT|CROSS_PB|DV36_FM|BAN_RT|CPM_PD|AFFLUENT-TRAVEL-CHIP-INTERNACIONAL_TG|NON_ST|NON_TS|NONE_SZ|300x600_AD|CM_IT|POE</v>
      </c>
      <c r="G28" t="str">
        <f t="shared" si="6"/>
        <v>449872037</v>
      </c>
      <c r="H28" t="str">
        <f t="shared" si="7"/>
        <v>Display</v>
      </c>
      <c r="I28">
        <f t="shared" si="8"/>
        <v>7785</v>
      </c>
      <c r="J28">
        <f t="shared" si="9"/>
        <v>8</v>
      </c>
      <c r="K28" s="4">
        <f t="shared" si="10"/>
        <v>3.8199999999999998E-2</v>
      </c>
      <c r="L28">
        <f t="shared" si="11"/>
        <v>0.09</v>
      </c>
      <c r="M28" s="4">
        <f t="shared" si="12"/>
        <v>0.29738700000000001</v>
      </c>
      <c r="N28" s="4">
        <f t="shared" si="13"/>
        <v>0.70065</v>
      </c>
    </row>
    <row r="29" spans="1:14">
      <c r="A29" t="str">
        <f t="shared" si="0"/>
        <v>MK|BR_CN|AFFLUENT_MN|NONE_YQ|19Q1Q4_CP|PO5020004141-9_SP|N/A_AC|AFF_OB|CON_U1|DCM</v>
      </c>
      <c r="B29" t="str">
        <f t="shared" si="1"/>
        <v>Google Brasil</v>
      </c>
      <c r="C29" t="str">
        <f t="shared" si="2"/>
        <v>MK|BR_CH|PD_DT|CROSS_PB|DV36_FM|BAN_RT|CPM_PD|AFFLUENT-TRAVEL-DIGITAL-CONCIERGE_TG|NON_ST|NON_TS|NONE_SZ|120x600_AD|CM_IT|POE</v>
      </c>
      <c r="D29" t="str">
        <f t="shared" si="3"/>
        <v>252243155</v>
      </c>
      <c r="E29" t="str">
        <f t="shared" si="4"/>
        <v>Standard</v>
      </c>
      <c r="F29" t="str">
        <f t="shared" si="5"/>
        <v>MK|BR_CH|PD_DT|CROSS_PB|DV36_FM|BAN_RT|CPM_PD|AFFLUENT-TRAVEL-DIGITAL-CONCIERGE_TG|NON_ST|NON_TS|NONE_SZ|120x600_AD|CM_IT|POE</v>
      </c>
      <c r="G29" t="str">
        <f t="shared" si="6"/>
        <v>448702795</v>
      </c>
      <c r="H29" t="str">
        <f t="shared" si="7"/>
        <v>Display</v>
      </c>
      <c r="I29">
        <f t="shared" si="8"/>
        <v>94873</v>
      </c>
      <c r="J29">
        <f t="shared" si="9"/>
        <v>61</v>
      </c>
      <c r="K29" s="4">
        <f t="shared" si="10"/>
        <v>3.8199999999999998E-2</v>
      </c>
      <c r="L29">
        <f t="shared" si="11"/>
        <v>0.09</v>
      </c>
      <c r="M29" s="4">
        <f t="shared" si="12"/>
        <v>3.6241485999999998</v>
      </c>
      <c r="N29" s="4">
        <f t="shared" si="13"/>
        <v>8.53857</v>
      </c>
    </row>
    <row r="30" spans="1:14">
      <c r="A30" t="str">
        <f t="shared" si="0"/>
        <v>MK|BR_CN|AFFLUENT_MN|NONE_YQ|19Q1Q4_CP|PO5020004141-9_SP|N/A_AC|AFF_OB|CON_U1|DCM</v>
      </c>
      <c r="B30" t="str">
        <f t="shared" si="1"/>
        <v>Google Brasil</v>
      </c>
      <c r="C30" t="str">
        <f t="shared" si="2"/>
        <v>MK|BR_CH|PD_DT|CROSS_PB|DV36_FM|BAN_RT|CPM_PD|AFFLUENT-TRAVEL-DIGITAL-CONCIERGE_TG|NON_ST|NON_TS|NONE_SZ|300x250_AD|CM_IT|POE</v>
      </c>
      <c r="D30" t="str">
        <f t="shared" si="3"/>
        <v>252243149</v>
      </c>
      <c r="E30" t="str">
        <f t="shared" si="4"/>
        <v>Default</v>
      </c>
      <c r="F30" t="str">
        <f t="shared" si="5"/>
        <v>300x250 Default Web Ad</v>
      </c>
      <c r="G30" t="str">
        <f t="shared" si="6"/>
        <v>433647966</v>
      </c>
      <c r="H30" t="str">
        <f t="shared" si="7"/>
        <v>Display</v>
      </c>
      <c r="I30">
        <f t="shared" si="8"/>
        <v>1</v>
      </c>
      <c r="J30">
        <f t="shared" si="9"/>
        <v>0</v>
      </c>
      <c r="K30" s="4">
        <f t="shared" si="10"/>
        <v>3.8199999999999998E-2</v>
      </c>
      <c r="L30">
        <f t="shared" si="11"/>
        <v>0.09</v>
      </c>
      <c r="M30" s="4">
        <f t="shared" si="12"/>
        <v>3.82E-5</v>
      </c>
      <c r="N30" s="4">
        <f t="shared" si="13"/>
        <v>8.9999999999999992E-5</v>
      </c>
    </row>
    <row r="31" spans="1:14">
      <c r="A31" t="str">
        <f t="shared" si="0"/>
        <v>MK|BR_CN|AFFLUENT_MN|NONE_YQ|19Q1Q4_CP|PO5020004141-9_SP|N/A_AC|AFF_OB|CON_U1|DCM</v>
      </c>
      <c r="B31" t="str">
        <f t="shared" si="1"/>
        <v>Google Brasil</v>
      </c>
      <c r="C31" t="str">
        <f t="shared" si="2"/>
        <v>MK|BR_CH|PD_DT|CROSS_PB|DV36_FM|BAN_RT|CPM_PD|AFFLUENT-TRAVEL-DIGITAL-CONCIERGE_TG|NON_ST|NON_TS|NONE_SZ|300x250_AD|CM_IT|POE</v>
      </c>
      <c r="D31" t="str">
        <f t="shared" si="3"/>
        <v>252243149</v>
      </c>
      <c r="E31" t="str">
        <f t="shared" si="4"/>
        <v>Standard</v>
      </c>
      <c r="F31" t="str">
        <f t="shared" si="5"/>
        <v>MK|BR_CH|PD_DT|CROSS_PB|DV36_FM|BAN_RT|CPM_PD|AFFLUENT-TRAVEL-DIGITAL-CONCIERGE_TG|NON_ST|NON_TS|NONE_SZ|300x250_AD|CM_IT|POE</v>
      </c>
      <c r="G31" t="str">
        <f t="shared" si="6"/>
        <v>448702783</v>
      </c>
      <c r="H31" t="str">
        <f t="shared" si="7"/>
        <v>Display</v>
      </c>
      <c r="I31">
        <f t="shared" si="8"/>
        <v>5213924</v>
      </c>
      <c r="J31">
        <f t="shared" si="9"/>
        <v>15105</v>
      </c>
      <c r="K31" s="4">
        <f t="shared" si="10"/>
        <v>3.8199999999999998E-2</v>
      </c>
      <c r="L31">
        <f t="shared" si="11"/>
        <v>0.09</v>
      </c>
      <c r="M31" s="4">
        <f t="shared" si="12"/>
        <v>199.17189679999998</v>
      </c>
      <c r="N31" s="4">
        <f t="shared" si="13"/>
        <v>469.25315999999998</v>
      </c>
    </row>
    <row r="32" spans="1:14">
      <c r="A32" t="str">
        <f t="shared" si="0"/>
        <v>MK|BR_CN|AFFLUENT_MN|NONE_YQ|19Q1Q4_CP|PO5020004141-9_SP|N/A_AC|AFF_OB|CON_U1|DCM</v>
      </c>
      <c r="B32" t="str">
        <f t="shared" si="1"/>
        <v>Google Brasil</v>
      </c>
      <c r="C32" t="str">
        <f t="shared" si="2"/>
        <v>MK|BR_CH|PD_DT|CROSS_PB|DV36_FM|BAN_RT|CPM_PD|AFFLUENT-TRAVEL-DIGITAL-CONCIERGE_TG|NON_ST|NON_TS|NONE_SZ|320x100_AD|CM_IT|POE</v>
      </c>
      <c r="D32" t="str">
        <f t="shared" si="3"/>
        <v>252605659</v>
      </c>
      <c r="E32" t="str">
        <f t="shared" si="4"/>
        <v>Standard</v>
      </c>
      <c r="F32" t="str">
        <f t="shared" si="5"/>
        <v>MK|BR_CH|PD_DT|CROSS_PB|DV36_FM|BAN_RT|CPM_PD|AFFLUENT-TRAVEL-DIGITAL-CONCIERGE_TG|NON_ST|NON_TS|NONE_SZ|320x100_AD|CM_IT|POE</v>
      </c>
      <c r="G32" t="str">
        <f t="shared" si="6"/>
        <v>448706587</v>
      </c>
      <c r="H32" t="str">
        <f t="shared" si="7"/>
        <v>Display</v>
      </c>
      <c r="I32">
        <f t="shared" si="8"/>
        <v>588085</v>
      </c>
      <c r="J32">
        <f t="shared" si="9"/>
        <v>2693</v>
      </c>
      <c r="K32" s="4">
        <f t="shared" si="10"/>
        <v>3.8199999999999998E-2</v>
      </c>
      <c r="L32">
        <f t="shared" si="11"/>
        <v>0.09</v>
      </c>
      <c r="M32" s="4">
        <f t="shared" si="12"/>
        <v>22.464846999999999</v>
      </c>
      <c r="N32" s="4">
        <f t="shared" si="13"/>
        <v>52.92765</v>
      </c>
    </row>
    <row r="33" spans="1:14">
      <c r="A33" t="str">
        <f t="shared" si="0"/>
        <v>MK|BR_CN|AFFLUENT_MN|NONE_YQ|19Q1Q4_CP|PO5020004141-9_SP|N/A_AC|AFF_OB|CON_U1|DCM</v>
      </c>
      <c r="B33" t="str">
        <f t="shared" si="1"/>
        <v>Google Brasil</v>
      </c>
      <c r="C33" t="str">
        <f t="shared" si="2"/>
        <v>MK|BR_CH|PD_DT|CROSS_PB|DV36_FM|BAN_RT|CPM_PD|AFFLUENT-TRAVEL-DIGITAL-CONCIERGE_TG|NON_ST|NON_TS|NONE_SZ|320x50_AD|CM_IT|POE</v>
      </c>
      <c r="D33" t="str">
        <f t="shared" si="3"/>
        <v>252243143</v>
      </c>
      <c r="E33" t="str">
        <f t="shared" si="4"/>
        <v>Standard</v>
      </c>
      <c r="F33" t="str">
        <f t="shared" si="5"/>
        <v>MK|BR_CH|PD_DT|CROSS_PB|DV36_FM|BAN_RT|CPM_PD|AFFLUENT-TRAVEL-DIGITAL-CONCIERGE_TG|NON_ST|NON_TS|NONE_SZ|320x50_AD|CM_IT|POE</v>
      </c>
      <c r="G33" t="str">
        <f t="shared" si="6"/>
        <v>448702771</v>
      </c>
      <c r="H33" t="str">
        <f t="shared" si="7"/>
        <v>Display</v>
      </c>
      <c r="I33">
        <f t="shared" si="8"/>
        <v>2211289</v>
      </c>
      <c r="J33">
        <f t="shared" si="9"/>
        <v>11853</v>
      </c>
      <c r="K33" s="4">
        <f t="shared" si="10"/>
        <v>3.8199999999999998E-2</v>
      </c>
      <c r="L33">
        <f t="shared" si="11"/>
        <v>0.09</v>
      </c>
      <c r="M33" s="4">
        <f t="shared" si="12"/>
        <v>84.471239799999992</v>
      </c>
      <c r="N33" s="4">
        <f t="shared" si="13"/>
        <v>199.01600999999999</v>
      </c>
    </row>
    <row r="34" spans="1:14">
      <c r="A34" t="str">
        <f t="shared" si="0"/>
        <v>MK|BR_CN|AFFLUENT_MN|NONE_YQ|19Q1Q4_CP|PO5020004141-9_SP|N/A_AC|AFF_OB|CON_U1|DCM</v>
      </c>
      <c r="B34" t="str">
        <f t="shared" si="1"/>
        <v>Google Brasil</v>
      </c>
      <c r="C34" t="str">
        <f t="shared" si="2"/>
        <v>MK|BR_CH|PD_DT|CROSS_PB|DV36_FM|BAN_RT|CPM_PD|AFFLUENT-TRAVEL-DIGITAL-CONCIERGE_TG|NON_ST|NON_TS|NONE_SZ|728x90_AD|CM_IT|POE</v>
      </c>
      <c r="D34" t="str">
        <f t="shared" si="3"/>
        <v>252607447</v>
      </c>
      <c r="E34" t="str">
        <f t="shared" si="4"/>
        <v>Standard</v>
      </c>
      <c r="F34" t="str">
        <f t="shared" si="5"/>
        <v>MK|BR_CH|PD_DT|CROSS_PB|DV36_FM|BAN_RT|CPM_PD|AFFLUENT-TRAVEL-DIGITAL-CONCIERGE_TG|NON_ST|NON_TS|NONE_SZ|728x90_AD|CM_IT|POE</v>
      </c>
      <c r="G34" t="str">
        <f t="shared" si="6"/>
        <v>448708471</v>
      </c>
      <c r="H34" t="str">
        <f t="shared" si="7"/>
        <v>Display</v>
      </c>
      <c r="I34">
        <f t="shared" si="8"/>
        <v>462308</v>
      </c>
      <c r="J34">
        <f t="shared" si="9"/>
        <v>1170</v>
      </c>
      <c r="K34" s="4">
        <f t="shared" si="10"/>
        <v>3.8199999999999998E-2</v>
      </c>
      <c r="L34">
        <f t="shared" si="11"/>
        <v>0.09</v>
      </c>
      <c r="M34" s="4">
        <f t="shared" si="12"/>
        <v>17.660165599999999</v>
      </c>
      <c r="N34" s="4">
        <f t="shared" si="13"/>
        <v>41.60772</v>
      </c>
    </row>
    <row r="35" spans="1:14">
      <c r="A35" t="str">
        <f t="shared" si="0"/>
        <v>MK|BR_CN|AFFLUENT_MN|NONE_YQ|19Q1Q4_CP|PO5020004141-9_SP|N/A_AC|AFF_OB|CON_U1|DCM</v>
      </c>
      <c r="B35" t="str">
        <f t="shared" si="1"/>
        <v>Google Brasil</v>
      </c>
      <c r="C35" t="str">
        <f t="shared" si="2"/>
        <v>MK|BR_CH|PD_DT|CROSS_PB|DV36_FM|BAN_RT|CPM_PD|AFFLUENT-TRAVEL-FREE-TRANSFER_TG|NON_ST|NON_TS|NONE_SZ|120x600_AD|CM_IT|POE</v>
      </c>
      <c r="D35" t="str">
        <f t="shared" si="3"/>
        <v>253774945</v>
      </c>
      <c r="E35" t="str">
        <f t="shared" si="4"/>
        <v>Standard</v>
      </c>
      <c r="F35" t="str">
        <f t="shared" si="5"/>
        <v>MK|BR_CH|PD_DT|CROSS_PB|DV36_FM|BAN_RT|CPM_PD|AFFLUENT-TRAVEL-FREE-TRANSFER_TG|NON_ST|NON_TS|NONE_SZ|120x600_AD|CM_IT|POE</v>
      </c>
      <c r="G35" t="str">
        <f t="shared" si="6"/>
        <v>449856385</v>
      </c>
      <c r="H35" t="str">
        <f t="shared" si="7"/>
        <v>Display</v>
      </c>
      <c r="I35">
        <f t="shared" si="8"/>
        <v>42432</v>
      </c>
      <c r="J35">
        <f t="shared" si="9"/>
        <v>32</v>
      </c>
      <c r="K35" s="4">
        <f t="shared" si="10"/>
        <v>3.8199999999999998E-2</v>
      </c>
      <c r="L35">
        <f t="shared" si="11"/>
        <v>0.09</v>
      </c>
      <c r="M35" s="4">
        <f t="shared" ref="M35:M98" si="14">IF(E35="Dynamic Click",J35*K35,K35*$I35/1000)</f>
        <v>1.6209023999999999</v>
      </c>
      <c r="N35" s="4">
        <f t="shared" ref="N35:N98" si="15">IF(E35="Dynamic Click",J35*L35,L35*$I35/1000)</f>
        <v>3.8188799999999996</v>
      </c>
    </row>
    <row r="36" spans="1:14">
      <c r="A36" t="str">
        <f t="shared" si="0"/>
        <v>MK|BR_CN|AFFLUENT_MN|NONE_YQ|19Q1Q4_CP|PO5020004141-9_SP|N/A_AC|AFF_OB|CON_U1|DCM</v>
      </c>
      <c r="B36" t="str">
        <f t="shared" si="1"/>
        <v>Google Brasil</v>
      </c>
      <c r="C36" t="str">
        <f t="shared" si="2"/>
        <v>MK|BR_CH|PD_DT|CROSS_PB|DV36_FM|BAN_RT|CPM_PD|AFFLUENT-TRAVEL-FREE-TRANSFER_TG|NON_ST|NON_TS|NONE_SZ|300x250_AD|CM_IT|POE</v>
      </c>
      <c r="D36" t="str">
        <f t="shared" si="3"/>
        <v>253774942</v>
      </c>
      <c r="E36" t="str">
        <f t="shared" si="4"/>
        <v>Standard</v>
      </c>
      <c r="F36" t="str">
        <f t="shared" si="5"/>
        <v>MK|BR_CH|PD_DT|CROSS_PB|DV36_FM|BAN_RT|CPM_PD|AFFLUENT-TRAVEL-FREE-TRANSFER_TG|NON_ST|NON_TS|NONE_SZ|300x250_AD|CM_IT|POE</v>
      </c>
      <c r="G36" t="str">
        <f t="shared" si="6"/>
        <v>449856379</v>
      </c>
      <c r="H36" t="str">
        <f t="shared" si="7"/>
        <v>Display</v>
      </c>
      <c r="I36">
        <f t="shared" si="8"/>
        <v>2627192</v>
      </c>
      <c r="J36">
        <f t="shared" si="9"/>
        <v>5604</v>
      </c>
      <c r="K36" s="4">
        <f t="shared" si="10"/>
        <v>3.8199999999999998E-2</v>
      </c>
      <c r="L36">
        <f t="shared" si="11"/>
        <v>0.09</v>
      </c>
      <c r="M36" s="4">
        <f t="shared" si="14"/>
        <v>100.3587344</v>
      </c>
      <c r="N36" s="4">
        <f t="shared" si="15"/>
        <v>236.44728000000001</v>
      </c>
    </row>
    <row r="37" spans="1:14">
      <c r="A37" t="str">
        <f t="shared" si="0"/>
        <v>MK|BR_CN|AFFLUENT_MN|NONE_YQ|19Q1Q4_CP|PO5020004141-9_SP|N/A_AC|AFF_OB|CON_U1|DCM</v>
      </c>
      <c r="B37" t="str">
        <f t="shared" si="1"/>
        <v>Google Brasil</v>
      </c>
      <c r="C37" t="str">
        <f t="shared" si="2"/>
        <v>MK|BR_CH|PD_DT|CROSS_PB|DV36_FM|BAN_RT|CPM_PD|AFFLUENT-TRAVEL-FREE-TRANSFER_TG|NON_ST|NON_TS|NONE_SZ|300x600_AD|CM_IT|POE</v>
      </c>
      <c r="D37" t="str">
        <f t="shared" si="3"/>
        <v>253774939</v>
      </c>
      <c r="E37" t="str">
        <f t="shared" si="4"/>
        <v>Standard</v>
      </c>
      <c r="F37" t="str">
        <f t="shared" si="5"/>
        <v>MK|BR_CH|PD_DT|CROSS_PB|DV36_FM|BAN_RT|CPM_PD|AFFLUENT-TRAVEL-FREE-TRANSFER_TG|NON_ST|NON_TS|NONE_SZ|300x600_AD|CM_IT|POE</v>
      </c>
      <c r="G37" t="str">
        <f t="shared" si="6"/>
        <v>449856370</v>
      </c>
      <c r="H37" t="str">
        <f t="shared" si="7"/>
        <v>Display</v>
      </c>
      <c r="I37">
        <f t="shared" si="8"/>
        <v>428531</v>
      </c>
      <c r="J37">
        <f t="shared" si="9"/>
        <v>1639</v>
      </c>
      <c r="K37" s="4">
        <f t="shared" si="10"/>
        <v>3.8199999999999998E-2</v>
      </c>
      <c r="L37">
        <f t="shared" si="11"/>
        <v>0.09</v>
      </c>
      <c r="M37" s="4">
        <f t="shared" si="14"/>
        <v>16.369884199999998</v>
      </c>
      <c r="N37" s="4">
        <f t="shared" si="15"/>
        <v>38.567790000000002</v>
      </c>
    </row>
    <row r="38" spans="1:14">
      <c r="A38" t="str">
        <f t="shared" si="0"/>
        <v>MK|BR_CN|AFFLUENT_MN|NONE_YQ|19Q1Q4_CP|PO5020004141-9_SP|N/A_AC|AFF_OB|CON_U1|DCM</v>
      </c>
      <c r="B38" t="str">
        <f t="shared" si="1"/>
        <v>Google Brasil</v>
      </c>
      <c r="C38" t="str">
        <f t="shared" si="2"/>
        <v>MK|BR_CH|PD_DT|CROSS_PB|DV36_FM|BAN_RT|CPM_PD|AFFLUENT-TRAVEL-FREE-TRANSFER_TG|NON_ST|NON_TS|NONE_SZ|320x100_AD|CM_IT|POE</v>
      </c>
      <c r="D38" t="str">
        <f t="shared" si="3"/>
        <v>253774969</v>
      </c>
      <c r="E38" t="str">
        <f t="shared" si="4"/>
        <v>Standard</v>
      </c>
      <c r="F38" t="str">
        <f t="shared" si="5"/>
        <v>MK|BR_CH|PD_DT|CROSS_PB|DV36_FM|BAN_RT|CPM_PD|AFFLUENT-TRAVEL-FREE-TRANSFER_TG|NON_ST|NON_TS|NONE_SZ|320x100_AD|CM_IT|POE</v>
      </c>
      <c r="G38" t="str">
        <f t="shared" si="6"/>
        <v>449856433</v>
      </c>
      <c r="H38" t="str">
        <f t="shared" si="7"/>
        <v>Display</v>
      </c>
      <c r="I38">
        <f t="shared" si="8"/>
        <v>233620</v>
      </c>
      <c r="J38">
        <f t="shared" si="9"/>
        <v>797</v>
      </c>
      <c r="K38" s="4">
        <f t="shared" si="10"/>
        <v>3.8199999999999998E-2</v>
      </c>
      <c r="L38">
        <f t="shared" si="11"/>
        <v>0.09</v>
      </c>
      <c r="M38" s="4">
        <f t="shared" si="14"/>
        <v>8.9242840000000001</v>
      </c>
      <c r="N38" s="4">
        <f t="shared" si="15"/>
        <v>21.0258</v>
      </c>
    </row>
    <row r="39" spans="1:14">
      <c r="A39" t="str">
        <f t="shared" si="0"/>
        <v>MK|BR_CN|AFFLUENT_MN|NONE_YQ|19Q1Q4_CP|PO5020004141-9_SP|N/A_AC|AFF_OB|CON_U1|DCM</v>
      </c>
      <c r="B39" t="str">
        <f t="shared" si="1"/>
        <v>Google Brasil</v>
      </c>
      <c r="C39" t="str">
        <f t="shared" si="2"/>
        <v>MK|BR_CH|PD_DT|CROSS_PB|DV36_FM|BAN_RT|CPM_PD|AFFLUENT-TRAVEL-FREE-TRANSFER_TG|NON_ST|NON_TS|NONE_SZ|320x50_AD|CM_IT|POE</v>
      </c>
      <c r="D39" t="str">
        <f t="shared" si="3"/>
        <v>253774951</v>
      </c>
      <c r="E39" t="str">
        <f t="shared" si="4"/>
        <v>Standard</v>
      </c>
      <c r="F39" t="str">
        <f t="shared" si="5"/>
        <v>MK|BR_CH|PD_DT|CROSS_PB|DV36_FM|BAN_RT|CPM_PD|AFFLUENT-TRAVEL-FREE-TRANSFER_TG|NON_ST|NON_TS|NONE_SZ|320x50_AD|CM_IT|POE</v>
      </c>
      <c r="G39" t="str">
        <f t="shared" si="6"/>
        <v>449856397</v>
      </c>
      <c r="H39" t="str">
        <f t="shared" si="7"/>
        <v>Display</v>
      </c>
      <c r="I39">
        <f t="shared" si="8"/>
        <v>942190</v>
      </c>
      <c r="J39">
        <f t="shared" si="9"/>
        <v>4143</v>
      </c>
      <c r="K39" s="4">
        <f t="shared" si="10"/>
        <v>3.8199999999999998E-2</v>
      </c>
      <c r="L39">
        <f t="shared" si="11"/>
        <v>0.09</v>
      </c>
      <c r="M39" s="4">
        <f t="shared" si="14"/>
        <v>35.991657999999994</v>
      </c>
      <c r="N39" s="4">
        <f t="shared" si="15"/>
        <v>84.797099999999986</v>
      </c>
    </row>
    <row r="40" spans="1:14">
      <c r="A40" t="str">
        <f t="shared" si="0"/>
        <v>MK|BR_CN|AFFLUENT_MN|NONE_YQ|19Q1Q4_CP|PO5020004141-9_SP|N/A_AC|AFF_OB|CON_U1|DCM</v>
      </c>
      <c r="B40" t="str">
        <f t="shared" si="1"/>
        <v>Google Brasil</v>
      </c>
      <c r="C40" t="str">
        <f t="shared" si="2"/>
        <v>MK|BR_CH|PD_DT|CROSS_PB|DV36_FM|BAN_RT|CPM_PD|AFFLUENT-TRAVEL-FREE-TRANSFER_TG|NON_ST|NON_TS|NONE_SZ|728x90_AD|CM_IT|POE</v>
      </c>
      <c r="D40" t="str">
        <f t="shared" si="3"/>
        <v>253774963</v>
      </c>
      <c r="E40" t="str">
        <f t="shared" si="4"/>
        <v>Standard</v>
      </c>
      <c r="F40" t="str">
        <f t="shared" si="5"/>
        <v>MK|BR_CH|PD_DT|CROSS_PB|DV36_FM|BAN_RT|CPM_PD|AFFLUENT-TRAVEL-FREE-TRANSFER_TG|NON_ST|NON_TS|NONE_SZ|728x90_AD|CM_IT|POE</v>
      </c>
      <c r="G40" t="str">
        <f t="shared" si="6"/>
        <v>449856421</v>
      </c>
      <c r="H40" t="str">
        <f t="shared" si="7"/>
        <v>Display</v>
      </c>
      <c r="I40">
        <f t="shared" si="8"/>
        <v>238049</v>
      </c>
      <c r="J40">
        <f t="shared" si="9"/>
        <v>432</v>
      </c>
      <c r="K40" s="4">
        <f t="shared" si="10"/>
        <v>3.8199999999999998E-2</v>
      </c>
      <c r="L40">
        <f t="shared" si="11"/>
        <v>0.09</v>
      </c>
      <c r="M40" s="4">
        <f t="shared" si="14"/>
        <v>9.0934717999999997</v>
      </c>
      <c r="N40" s="4">
        <f t="shared" si="15"/>
        <v>21.424409999999998</v>
      </c>
    </row>
    <row r="41" spans="1:14">
      <c r="A41" t="str">
        <f t="shared" si="0"/>
        <v>MK|BR_CN|AFFLUENT_MN|NONE_YQ|19Q1Q4_CP|PO5020004141-9_SP|N/A_AC|AFF_OB|CON_U1|DCM</v>
      </c>
      <c r="B41" t="str">
        <f t="shared" si="1"/>
        <v>Google Brasil</v>
      </c>
      <c r="C41" t="str">
        <f t="shared" si="2"/>
        <v>MK|BR_CH|PD_DT|CROSS_PB|DV36_FM|BAN_RT|CPM_PD|AFFLUENT-TRAVEL-MEDICO-ONLINE_TG|NON_ST|NON_TS|NONE_SZ|120x600_AD|CM_IT|POE</v>
      </c>
      <c r="D41" t="str">
        <f t="shared" si="3"/>
        <v>252310921</v>
      </c>
      <c r="E41" t="str">
        <f t="shared" si="4"/>
        <v>Standard</v>
      </c>
      <c r="F41" t="str">
        <f t="shared" si="5"/>
        <v>MK|BR_CH|PD_DT|CROSS_PB|DV36_FM|BAN_RT|CPM_PD|AFFLUENT-TRAVEL-MEDICO-ONLINE_TG|NON_ST|NON_TS|NONE_SZ|120x600_AD|CM_IT|POE</v>
      </c>
      <c r="G41" t="str">
        <f t="shared" si="6"/>
        <v>448312767</v>
      </c>
      <c r="H41" t="str">
        <f t="shared" si="7"/>
        <v>Display</v>
      </c>
      <c r="I41">
        <f t="shared" si="8"/>
        <v>221199</v>
      </c>
      <c r="J41">
        <f t="shared" si="9"/>
        <v>136</v>
      </c>
      <c r="K41" s="4">
        <f t="shared" si="10"/>
        <v>3.8199999999999998E-2</v>
      </c>
      <c r="L41">
        <f t="shared" si="11"/>
        <v>0.09</v>
      </c>
      <c r="M41" s="4">
        <f t="shared" si="14"/>
        <v>8.4498017999999995</v>
      </c>
      <c r="N41" s="4">
        <f t="shared" si="15"/>
        <v>19.907910000000001</v>
      </c>
    </row>
    <row r="42" spans="1:14">
      <c r="A42" t="str">
        <f t="shared" si="0"/>
        <v>MK|BR_CN|AFFLUENT_MN|NONE_YQ|19Q1Q4_CP|PO5020004141-9_SP|N/A_AC|AFF_OB|CON_U1|DCM</v>
      </c>
      <c r="B42" t="str">
        <f t="shared" si="1"/>
        <v>Google Brasil</v>
      </c>
      <c r="C42" t="str">
        <f t="shared" si="2"/>
        <v>MK|BR_CH|PD_DT|CROSS_PB|DV36_FM|BAN_RT|CPM_PD|AFFLUENT-TRAVEL-MEDICO-ONLINE_TG|NON_ST|NON_TS|NONE_SZ|300x250_AD|CM_IT|POE</v>
      </c>
      <c r="D42" t="str">
        <f t="shared" si="3"/>
        <v>252392916</v>
      </c>
      <c r="E42" t="str">
        <f t="shared" si="4"/>
        <v>Standard</v>
      </c>
      <c r="F42" t="str">
        <f t="shared" si="5"/>
        <v>MK|BR_CH|PD_DT|CROSS_PB|DV36_FM|BAN_RT|CPM_PD|AFFLUENT-TRAVEL-MEDICO-ONLINE_TG|NON_ST|NON_TS|NONE_SZ|300x250_AD|CM_IT|POE</v>
      </c>
      <c r="G42" t="str">
        <f t="shared" si="6"/>
        <v>448311156</v>
      </c>
      <c r="H42" t="str">
        <f t="shared" si="7"/>
        <v>Display</v>
      </c>
      <c r="I42">
        <f t="shared" si="8"/>
        <v>400589</v>
      </c>
      <c r="J42">
        <f t="shared" si="9"/>
        <v>9</v>
      </c>
      <c r="K42" s="4">
        <f t="shared" si="10"/>
        <v>3.8199999999999998E-2</v>
      </c>
      <c r="L42">
        <f t="shared" si="11"/>
        <v>0.09</v>
      </c>
      <c r="M42" s="4">
        <f t="shared" si="14"/>
        <v>15.3024998</v>
      </c>
      <c r="N42" s="4">
        <f t="shared" si="15"/>
        <v>36.05301</v>
      </c>
    </row>
    <row r="43" spans="1:14">
      <c r="A43" t="str">
        <f t="shared" si="0"/>
        <v>MK|BR_CN|AFFLUENT_MN|NONE_YQ|19Q1Q4_CP|PO5020004141-9_SP|N/A_AC|AFF_OB|CON_U1|DCM</v>
      </c>
      <c r="B43" t="str">
        <f t="shared" si="1"/>
        <v>Google Brasil</v>
      </c>
      <c r="C43" t="str">
        <f t="shared" si="2"/>
        <v>MK|BR_CH|PD_DT|CROSS_PB|DV36_FM|BAN_RT|CPM_PD|AFFLUENT-TRAVEL-MEDICO-ONLINE_TG|NON_ST|NON_TS|NONE_SZ|300x250_AD|CM_IT|PPD</v>
      </c>
      <c r="D43" t="str">
        <f t="shared" si="3"/>
        <v>252243137</v>
      </c>
      <c r="E43" t="str">
        <f t="shared" si="4"/>
        <v>Standard</v>
      </c>
      <c r="F43" t="str">
        <f t="shared" si="5"/>
        <v>MK|BR_CH|PD_DT|CROSS_PB|DV36_FM|BAN_RT|CPM_PD|AFFLUENT-TRAVEL-MEDICO-ONLINE_TG|NON_ST|NON_TS|NONE_SZ|300x250_AD|CM_IT|PPD</v>
      </c>
      <c r="G43" t="str">
        <f t="shared" si="6"/>
        <v>448702759</v>
      </c>
      <c r="H43" t="str">
        <f t="shared" si="7"/>
        <v>Display</v>
      </c>
      <c r="I43">
        <f t="shared" si="8"/>
        <v>542685</v>
      </c>
      <c r="J43">
        <f t="shared" si="9"/>
        <v>69</v>
      </c>
      <c r="K43" s="4">
        <f t="shared" si="10"/>
        <v>3.8199999999999998E-2</v>
      </c>
      <c r="L43">
        <f t="shared" si="11"/>
        <v>0.09</v>
      </c>
      <c r="M43" s="4">
        <f t="shared" si="14"/>
        <v>20.730567000000001</v>
      </c>
      <c r="N43" s="4">
        <f t="shared" si="15"/>
        <v>48.841650000000001</v>
      </c>
    </row>
    <row r="44" spans="1:14">
      <c r="A44" t="str">
        <f t="shared" si="0"/>
        <v>MK|BR_CN|AFFLUENT_MN|NONE_YQ|19Q1Q4_CP|PO5020004141-9_SP|N/A_AC|AFF_OB|CON_U1|DCM</v>
      </c>
      <c r="B44" t="str">
        <f t="shared" si="1"/>
        <v>Google Brasil</v>
      </c>
      <c r="C44" t="str">
        <f t="shared" si="2"/>
        <v>MK|BR_CH|PD_DT|CROSS_PB|DV36_FM|BAN_RT|CPM_PD|AFFLUENT-TRAVEL-MEDICO-ONLINE_TG|NON_ST|NON_TS|NONE_SZ|320x100_AD|CM_IT|POE</v>
      </c>
      <c r="D44" t="str">
        <f t="shared" si="3"/>
        <v>252312328</v>
      </c>
      <c r="E44" t="str">
        <f t="shared" si="4"/>
        <v>Standard</v>
      </c>
      <c r="F44" t="str">
        <f t="shared" si="5"/>
        <v>MK|BR_CH|PD_DT|CROSS_PB|DV36_FM|BAN_RT|CPM_PD|AFFLUENT-TRAVEL-MEDICO-ONLINE_TG|NON_ST|NON_TS|NONE_SZ|320x100_AD|CM_IT|POE</v>
      </c>
      <c r="G44" t="str">
        <f t="shared" si="6"/>
        <v>448363946</v>
      </c>
      <c r="H44" t="str">
        <f t="shared" si="7"/>
        <v>Display</v>
      </c>
      <c r="I44">
        <f t="shared" si="8"/>
        <v>68062</v>
      </c>
      <c r="J44">
        <f t="shared" si="9"/>
        <v>4</v>
      </c>
      <c r="K44" s="4">
        <f t="shared" ref="K44:K107" si="16">IF(LEFT(B44,3)="DBM",0,VLOOKUP(E44,tabela,2,FALSE))</f>
        <v>3.8199999999999998E-2</v>
      </c>
      <c r="L44">
        <f t="shared" ref="L44:L107" si="17">VLOOKUP(E44,tabela,3,FALSE)</f>
        <v>0.09</v>
      </c>
      <c r="M44" s="4">
        <f t="shared" si="14"/>
        <v>2.5999683999999998</v>
      </c>
      <c r="N44" s="4">
        <f t="shared" si="15"/>
        <v>6.1255800000000002</v>
      </c>
    </row>
    <row r="45" spans="1:14">
      <c r="A45" t="str">
        <f t="shared" si="0"/>
        <v>MK|BR_CN|AFFLUENT_MN|NONE_YQ|19Q1Q4_CP|PO5020004141-9_SP|N/A_AC|AFF_OB|CON_U1|DCM</v>
      </c>
      <c r="B45" t="str">
        <f t="shared" si="1"/>
        <v>Google Brasil</v>
      </c>
      <c r="C45" t="str">
        <f t="shared" si="2"/>
        <v>MK|BR_CH|PD_DT|CROSS_PB|DV36_FM|BAN_RT|CPM_PD|AFFLUENT-TRAVEL-MEDICO-ONLINE_TG|NON_ST|NON_TS|NONE_SZ|320x50_AD|CM_IT|POE</v>
      </c>
      <c r="D45" t="str">
        <f t="shared" si="3"/>
        <v>252313573</v>
      </c>
      <c r="E45" t="str">
        <f t="shared" si="4"/>
        <v>Standard</v>
      </c>
      <c r="F45" t="str">
        <f t="shared" si="5"/>
        <v>MK|BR_CH|PD_DT|CROSS_PB|DV36_FM|BAN_RT|CPM_PD|AFFLUENT-TRAVEL-MEDICO-ONLINE_TG|NON_ST|NON_TS|NONE_SZ|320x50_AD|CM_IT|POE</v>
      </c>
      <c r="G45" t="str">
        <f t="shared" si="6"/>
        <v>448444390</v>
      </c>
      <c r="H45" t="str">
        <f t="shared" si="7"/>
        <v>Display</v>
      </c>
      <c r="I45">
        <f t="shared" si="8"/>
        <v>71733</v>
      </c>
      <c r="J45">
        <f t="shared" si="9"/>
        <v>1</v>
      </c>
      <c r="K45" s="4">
        <f t="shared" si="16"/>
        <v>3.8199999999999998E-2</v>
      </c>
      <c r="L45">
        <f t="shared" si="17"/>
        <v>0.09</v>
      </c>
      <c r="M45" s="4">
        <f t="shared" si="14"/>
        <v>2.7402005999999997</v>
      </c>
      <c r="N45" s="4">
        <f t="shared" si="15"/>
        <v>6.4559699999999998</v>
      </c>
    </row>
    <row r="46" spans="1:14">
      <c r="A46" t="str">
        <f t="shared" si="0"/>
        <v>MK|BR_CN|AFFLUENT_MN|NONE_YQ|19Q1Q4_CP|PO5020004141-9_SP|N/A_AC|AFF_OB|CON_U1|DCM</v>
      </c>
      <c r="B46" t="str">
        <f t="shared" si="1"/>
        <v>Google Brasil</v>
      </c>
      <c r="C46" t="str">
        <f t="shared" si="2"/>
        <v>MK|BR_CH|PD_DT|CROSS_PB|DV36_FM|BAN_RT|CPM_PD|AFFLUENT-TRAVEL-MEDICO-ONLINE_TG|NON_ST|NON_TS|NONE_SZ|728x90_AD|CM_IT|POE</v>
      </c>
      <c r="D46" t="str">
        <f t="shared" si="3"/>
        <v>252311743</v>
      </c>
      <c r="E46" t="str">
        <f t="shared" si="4"/>
        <v>Standard</v>
      </c>
      <c r="F46" t="str">
        <f t="shared" si="5"/>
        <v>MK|BR_CH|PD_DT|CROSS_PB|DV36_FM|BAN_RT|CPM_PD|AFFLUENT-TRAVEL-MEDICO-ONLINE_TG|NON_ST|NON_TS|NONE_SZ|728x90_AD|CM_IT|POE</v>
      </c>
      <c r="G46" t="str">
        <f t="shared" si="6"/>
        <v>448363982</v>
      </c>
      <c r="H46" t="str">
        <f t="shared" si="7"/>
        <v>Display</v>
      </c>
      <c r="I46">
        <f t="shared" si="8"/>
        <v>175144</v>
      </c>
      <c r="J46">
        <f t="shared" si="9"/>
        <v>15</v>
      </c>
      <c r="K46" s="4">
        <f t="shared" si="16"/>
        <v>3.8199999999999998E-2</v>
      </c>
      <c r="L46">
        <f t="shared" si="17"/>
        <v>0.09</v>
      </c>
      <c r="M46" s="4">
        <f t="shared" si="14"/>
        <v>6.6905007999999997</v>
      </c>
      <c r="N46" s="4">
        <f t="shared" si="15"/>
        <v>15.76296</v>
      </c>
    </row>
    <row r="47" spans="1:14">
      <c r="A47" t="str">
        <f t="shared" si="0"/>
        <v>MK|BR_CN|AFFLUENT_MN|NONE_YQ|19Q1Q4_CP|PO5020004141-9_SP|N/A_AC|AFF_OB|CON_U1|DCM</v>
      </c>
      <c r="B47" t="str">
        <f t="shared" si="1"/>
        <v>Google Brasil</v>
      </c>
      <c r="C47" t="str">
        <f t="shared" si="2"/>
        <v>MK|BR_CH|PD_DT|CROSS_PB|DV36_FM|BAN_RT|CPM_PD|AFFLUENT-TRAVEL-SEGURO-VIAGEM_TG|NON_ST|NON_TS|NONE_SZ|120x600_AD|CM_IT|POE</v>
      </c>
      <c r="D47" t="str">
        <f t="shared" si="3"/>
        <v>251979596</v>
      </c>
      <c r="E47" t="str">
        <f t="shared" si="4"/>
        <v>Standard</v>
      </c>
      <c r="F47" t="str">
        <f t="shared" si="5"/>
        <v>MK|BR_CH|PD_DT|CROSS_PB|DV36_FM|BAN_RT|CPM_PD|AFFLUENT-TRAVEL-SEGURO-VIAGEM_TG|NON_ST|NON_TS|NONE_SZ|120x600_AD|CM_IT|POE</v>
      </c>
      <c r="G47" t="str">
        <f t="shared" si="6"/>
        <v>448314204</v>
      </c>
      <c r="H47" t="str">
        <f t="shared" si="7"/>
        <v>Display</v>
      </c>
      <c r="I47">
        <f t="shared" si="8"/>
        <v>190709</v>
      </c>
      <c r="J47">
        <f t="shared" si="9"/>
        <v>106</v>
      </c>
      <c r="K47" s="4">
        <f t="shared" si="16"/>
        <v>3.8199999999999998E-2</v>
      </c>
      <c r="L47">
        <f t="shared" si="17"/>
        <v>0.09</v>
      </c>
      <c r="M47" s="4">
        <f t="shared" si="14"/>
        <v>7.2850837999999998</v>
      </c>
      <c r="N47" s="4">
        <f t="shared" si="15"/>
        <v>17.163809999999998</v>
      </c>
    </row>
    <row r="48" spans="1:14">
      <c r="A48" t="str">
        <f t="shared" si="0"/>
        <v>MK|BR_CN|AFFLUENT_MN|NONE_YQ|19Q1Q4_CP|PO5020004141-9_SP|N/A_AC|AFF_OB|CON_U1|DCM</v>
      </c>
      <c r="B48" t="str">
        <f t="shared" si="1"/>
        <v>Google Brasil</v>
      </c>
      <c r="C48" t="str">
        <f t="shared" si="2"/>
        <v>MK|BR_CH|PD_DT|CROSS_PB|DV36_FM|BAN_RT|CPM_PD|AFFLUENT-TRAVEL-SEGURO-VIAGEM_TG|NON_ST|NON_TS|NONE_SZ|300x250_AD|CM_IT|POE</v>
      </c>
      <c r="D48" t="str">
        <f t="shared" si="3"/>
        <v>251980490</v>
      </c>
      <c r="E48" t="str">
        <f t="shared" si="4"/>
        <v>Standard</v>
      </c>
      <c r="F48" t="str">
        <f t="shared" si="5"/>
        <v>MK|BR_CH|PD_DT|CROSS_PB|DV36_FM|BAN_RT|CPM_PD|AFFLUENT-TRAVEL-SEGURO-VIAGEM_TG|NON_ST|NON_TS|NONE_SZ|300x250_AD|CM_IT|POE</v>
      </c>
      <c r="G48" t="str">
        <f t="shared" si="6"/>
        <v>448362617</v>
      </c>
      <c r="H48" t="str">
        <f t="shared" si="7"/>
        <v>Display</v>
      </c>
      <c r="I48">
        <f t="shared" si="8"/>
        <v>108392</v>
      </c>
      <c r="J48">
        <f t="shared" si="9"/>
        <v>10</v>
      </c>
      <c r="K48" s="4">
        <f t="shared" si="16"/>
        <v>3.8199999999999998E-2</v>
      </c>
      <c r="L48">
        <f t="shared" si="17"/>
        <v>0.09</v>
      </c>
      <c r="M48" s="4">
        <f t="shared" si="14"/>
        <v>4.1405743999999993</v>
      </c>
      <c r="N48" s="4">
        <f t="shared" si="15"/>
        <v>9.7552799999999991</v>
      </c>
    </row>
    <row r="49" spans="1:14">
      <c r="A49" t="str">
        <f t="shared" si="0"/>
        <v>MK|BR_CN|AFFLUENT_MN|NONE_YQ|19Q1Q4_CP|PO5020004141-9_SP|N/A_AC|AFF_OB|CON_U1|DCM</v>
      </c>
      <c r="B49" t="str">
        <f t="shared" si="1"/>
        <v>Google Brasil</v>
      </c>
      <c r="C49" t="str">
        <f t="shared" si="2"/>
        <v>MK|BR_CH|PD_DT|CROSS_PB|DV36_FM|BAN_RT|CPM_PD|AFFLUENT-TRAVEL-SEGURO-VIAGEM_TG|NON_ST|NON_TS|NONE_SZ|300x250_AD|CM_IT|PPD</v>
      </c>
      <c r="D49" t="str">
        <f t="shared" si="3"/>
        <v>252243116</v>
      </c>
      <c r="E49" t="str">
        <f t="shared" si="4"/>
        <v>Standard</v>
      </c>
      <c r="F49" t="str">
        <f t="shared" si="5"/>
        <v>MK|BR_CH|PD_DT|CROSS_PB|DV36_FM|BAN_RT|CPM_PD|AFFLUENT-TRAVEL-SEGURO-VIAGEM_TG|NON_ST|NON_TS|NONE_SZ|300x250_AD|CM_IT|PPD</v>
      </c>
      <c r="G49" t="str">
        <f t="shared" si="6"/>
        <v>448702717</v>
      </c>
      <c r="H49" t="str">
        <f t="shared" si="7"/>
        <v>Display</v>
      </c>
      <c r="I49">
        <f t="shared" si="8"/>
        <v>679475</v>
      </c>
      <c r="J49">
        <f t="shared" si="9"/>
        <v>241</v>
      </c>
      <c r="K49" s="4">
        <f t="shared" si="16"/>
        <v>3.8199999999999998E-2</v>
      </c>
      <c r="L49">
        <f t="shared" si="17"/>
        <v>0.09</v>
      </c>
      <c r="M49" s="4">
        <f t="shared" si="14"/>
        <v>25.955945</v>
      </c>
      <c r="N49" s="4">
        <f t="shared" si="15"/>
        <v>61.152749999999997</v>
      </c>
    </row>
    <row r="50" spans="1:14">
      <c r="A50" t="str">
        <f t="shared" si="0"/>
        <v>MK|BR_CN|AFFLUENT_MN|NONE_YQ|19Q1Q4_CP|PO5020004141-9_SP|N/A_AC|AFF_OB|CON_U1|DCM</v>
      </c>
      <c r="B50" t="str">
        <f t="shared" si="1"/>
        <v>Google Brasil</v>
      </c>
      <c r="C50" t="str">
        <f t="shared" si="2"/>
        <v>MK|BR_CH|PD_DT|CROSS_PB|DV36_FM|BAN_RT|CPM_PD|AFFLUENT-TRAVEL-SEGURO-VIAGEM_TG|NON_ST|NON_TS|NONE_SZ|320x100_AD|CM_IT|POE</v>
      </c>
      <c r="D50" t="str">
        <f t="shared" si="3"/>
        <v>252395151</v>
      </c>
      <c r="E50" t="str">
        <f t="shared" si="4"/>
        <v>Standard</v>
      </c>
      <c r="F50" t="str">
        <f t="shared" si="5"/>
        <v>MK|BR_CH|PD_DT|CROSS_PB|DV36_FM|BAN_RT|CPM_PD|AFFLUENT-TRAVEL-SEGURO-VIAGEM_TG|NON_ST|NON_TS|NONE_SZ|320x100_AD|CM_IT|POE</v>
      </c>
      <c r="G50" t="str">
        <f t="shared" si="6"/>
        <v>448444462</v>
      </c>
      <c r="H50" t="str">
        <f t="shared" si="7"/>
        <v>Display</v>
      </c>
      <c r="I50">
        <f t="shared" si="8"/>
        <v>27908</v>
      </c>
      <c r="J50">
        <f t="shared" si="9"/>
        <v>2</v>
      </c>
      <c r="K50" s="4">
        <f t="shared" si="16"/>
        <v>3.8199999999999998E-2</v>
      </c>
      <c r="L50">
        <f t="shared" si="17"/>
        <v>0.09</v>
      </c>
      <c r="M50" s="4">
        <f t="shared" si="14"/>
        <v>1.0660855999999999</v>
      </c>
      <c r="N50" s="4">
        <f t="shared" si="15"/>
        <v>2.51172</v>
      </c>
    </row>
    <row r="51" spans="1:14">
      <c r="A51" t="str">
        <f t="shared" si="0"/>
        <v>MK|BR_CN|AFFLUENT_MN|NONE_YQ|19Q1Q4_CP|PO5020004141-9_SP|N/A_AC|AFF_OB|CON_U1|DCM</v>
      </c>
      <c r="B51" t="str">
        <f t="shared" si="1"/>
        <v>Google Brasil</v>
      </c>
      <c r="C51" t="str">
        <f t="shared" si="2"/>
        <v>MK|BR_CH|PD_DT|CROSS_PB|DV36_FM|BAN_RT|CPM_PD|AFFLUENT-TRAVEL-SEGURO-VIAGEM_TG|NON_ST|NON_TS|NONE_SZ|320x50_AD|CM_IT|POE</v>
      </c>
      <c r="D51" t="str">
        <f t="shared" si="3"/>
        <v>252394917</v>
      </c>
      <c r="E51" t="str">
        <f t="shared" si="4"/>
        <v>Standard</v>
      </c>
      <c r="F51" t="str">
        <f t="shared" si="5"/>
        <v>MK|BR_CH|PD_DT|CROSS_PB|DV36_FM|BAN_RT|CPM_PD|AFFLUENT-TRAVEL-SEGURO-VIAGEM_TG|NON_ST|NON_TS|NONE_SZ|320x50_AD|CM_IT|POE</v>
      </c>
      <c r="G51" t="str">
        <f t="shared" si="6"/>
        <v>448314219</v>
      </c>
      <c r="H51" t="str">
        <f t="shared" si="7"/>
        <v>Display</v>
      </c>
      <c r="I51">
        <f t="shared" si="8"/>
        <v>29362</v>
      </c>
      <c r="J51">
        <f t="shared" si="9"/>
        <v>2</v>
      </c>
      <c r="K51" s="4">
        <f t="shared" si="16"/>
        <v>3.8199999999999998E-2</v>
      </c>
      <c r="L51">
        <f t="shared" si="17"/>
        <v>0.09</v>
      </c>
      <c r="M51" s="4">
        <f t="shared" si="14"/>
        <v>1.1216283999999999</v>
      </c>
      <c r="N51" s="4">
        <f t="shared" si="15"/>
        <v>2.6425799999999997</v>
      </c>
    </row>
    <row r="52" spans="1:14">
      <c r="A52" t="str">
        <f t="shared" si="0"/>
        <v>MK|BR_CN|AFFLUENT_MN|NONE_YQ|19Q1Q4_CP|PO5020004141-9_SP|N/A_AC|AFF_OB|CON_U1|DCM</v>
      </c>
      <c r="B52" t="str">
        <f t="shared" si="1"/>
        <v>Google Brasil</v>
      </c>
      <c r="C52" t="str">
        <f t="shared" si="2"/>
        <v>MK|BR_CH|PD_DT|CROSS_PB|DV36_FM|BAN_RT|CPM_PD|AFFLUENT-TRAVEL-SEGURO-VIAGEM_TG|NON_ST|NON_TS|NONE_SZ|728x90_AD|CM_IT|POE</v>
      </c>
      <c r="D52" t="str">
        <f t="shared" si="3"/>
        <v>251981672</v>
      </c>
      <c r="E52" t="str">
        <f t="shared" si="4"/>
        <v>Standard</v>
      </c>
      <c r="F52" t="str">
        <f t="shared" si="5"/>
        <v>MK|BR_CH|PD_DT|CROSS_PB|DV36_FM|BAN_RT|CPM_PD|AFFLUENT-TRAVEL-SEGURO-VIAGEM_TG|NON_ST|NON_TS|NONE_SZ|728x90_AD|CM_IT|POE</v>
      </c>
      <c r="G52" t="str">
        <f t="shared" si="6"/>
        <v>448363385</v>
      </c>
      <c r="H52" t="str">
        <f t="shared" si="7"/>
        <v>Display</v>
      </c>
      <c r="I52">
        <f t="shared" si="8"/>
        <v>85217</v>
      </c>
      <c r="J52">
        <f t="shared" si="9"/>
        <v>9</v>
      </c>
      <c r="K52" s="4">
        <f t="shared" si="16"/>
        <v>3.8199999999999998E-2</v>
      </c>
      <c r="L52">
        <f t="shared" si="17"/>
        <v>0.09</v>
      </c>
      <c r="M52" s="4">
        <f t="shared" si="14"/>
        <v>3.2552893999999997</v>
      </c>
      <c r="N52" s="4">
        <f t="shared" si="15"/>
        <v>7.66953</v>
      </c>
    </row>
    <row r="53" spans="1:14">
      <c r="A53" t="str">
        <f t="shared" si="0"/>
        <v>MK|BR_CN|AFFLUENT_MN|NONE_YQ|19Q1Q4_CP|PO5020004141-9_SP|N/A_AC|AFF_OB|CON_U1|DCM</v>
      </c>
      <c r="B53" t="str">
        <f t="shared" si="1"/>
        <v>In Loco Media</v>
      </c>
      <c r="C53" t="str">
        <f t="shared" si="2"/>
        <v>MK|BR_CH|DDSP_DT|CROSS_PB|INLC_FM|BAN_RT|CPM_PD|AFFLUENT-DINING-INTERSTITIAL_TG|NON_ST|NON_TS|NONE_SZ|960x1440_AD|CM1_IT|OO</v>
      </c>
      <c r="D53" t="str">
        <f t="shared" si="3"/>
        <v>247004659</v>
      </c>
      <c r="E53" t="str">
        <f t="shared" si="4"/>
        <v>Dynamic Click</v>
      </c>
      <c r="F53" t="str">
        <f t="shared" si="5"/>
        <v>MK|BR_CH|DDSP_DT|CROSS_PB|INLC_FM|BAN_RT|CPM_PD|AFFLUENT-DINING-INTERSTITIAL_TG|NON_ST|NON_TS|NONE_SZ|960x1440_AD|CM1_IT|OO</v>
      </c>
      <c r="G53" t="str">
        <f t="shared" si="6"/>
        <v>443489164</v>
      </c>
      <c r="H53" t="str">
        <f t="shared" si="7"/>
        <v>Tracking</v>
      </c>
      <c r="I53">
        <f t="shared" si="8"/>
        <v>0</v>
      </c>
      <c r="J53">
        <f t="shared" si="9"/>
        <v>1</v>
      </c>
      <c r="K53" s="4">
        <f t="shared" si="16"/>
        <v>3.5000000000000001E-3</v>
      </c>
      <c r="L53">
        <f t="shared" si="17"/>
        <v>0.02</v>
      </c>
      <c r="M53" s="4">
        <f t="shared" si="14"/>
        <v>3.5000000000000001E-3</v>
      </c>
      <c r="N53" s="4">
        <f t="shared" si="15"/>
        <v>0.02</v>
      </c>
    </row>
    <row r="54" spans="1:14">
      <c r="A54" t="str">
        <f t="shared" si="0"/>
        <v>MK|BR_CN|AFFLUENT_MN|NONE_YQ|19Q1Q4_CP|PO5020004141-9_SP|N/A_AC|AFF_OB|CON_U1|DCM</v>
      </c>
      <c r="B54" t="str">
        <f t="shared" si="1"/>
        <v>Verizon</v>
      </c>
      <c r="C54" t="str">
        <f t="shared" si="2"/>
        <v>MK|BR_CH|PD_DT|CROSS_PB|VER_FM|BAN_RT|CPM_PD|AFFLUENT-SHOPPING-GARANTIA-ESTENDIDA_TG|NON_ST|NON_TS|NONE_SZ|120x600_AD|CM_IT|OO</v>
      </c>
      <c r="D54" t="str">
        <f t="shared" si="3"/>
        <v>253019235</v>
      </c>
      <c r="E54" t="str">
        <f t="shared" si="4"/>
        <v>Standard</v>
      </c>
      <c r="F54" t="str">
        <f t="shared" si="5"/>
        <v>MK|BR_CH|PD_DT|CROSS_PB|VER_FM|BAN_RT|CPM_PD|AFFLUENT-SHOPPING-GARANTIA-ESTENDIDA_TG|NON_ST|NON_TS|NONE_SZ|120x600_AD|CM_IT|OO</v>
      </c>
      <c r="G54" t="str">
        <f t="shared" si="6"/>
        <v>448943579</v>
      </c>
      <c r="H54" t="str">
        <f t="shared" si="7"/>
        <v>Display</v>
      </c>
      <c r="I54">
        <f t="shared" si="8"/>
        <v>36379</v>
      </c>
      <c r="J54">
        <f t="shared" si="9"/>
        <v>9</v>
      </c>
      <c r="K54" s="4">
        <f t="shared" si="16"/>
        <v>3.8199999999999998E-2</v>
      </c>
      <c r="L54">
        <f t="shared" si="17"/>
        <v>0.09</v>
      </c>
      <c r="M54" s="4">
        <f t="shared" si="14"/>
        <v>1.3896777999999999</v>
      </c>
      <c r="N54" s="4">
        <f t="shared" si="15"/>
        <v>3.2741099999999999</v>
      </c>
    </row>
    <row r="55" spans="1:14">
      <c r="A55" t="str">
        <f t="shared" si="0"/>
        <v>MK|BR_CN|AFFLUENT_MN|NONE_YQ|19Q1Q4_CP|PO5020004141-9_SP|N/A_AC|AFF_OB|CON_U1|DCM</v>
      </c>
      <c r="B55" t="str">
        <f t="shared" si="1"/>
        <v>Verizon</v>
      </c>
      <c r="C55" t="str">
        <f t="shared" si="2"/>
        <v>MK|BR_CH|PD_DT|CROSS_PB|VER_FM|BAN_RT|CPM_PD|AFFLUENT-SHOPPING-GARANTIA-ESTENDIDA_TG|NON_ST|NON_TS|NONE_SZ|300x250_AD|CM_IT|OO</v>
      </c>
      <c r="D55" t="str">
        <f t="shared" si="3"/>
        <v>253019232</v>
      </c>
      <c r="E55" t="str">
        <f t="shared" si="4"/>
        <v>Standard</v>
      </c>
      <c r="F55" t="str">
        <f t="shared" si="5"/>
        <v>MK|BR_CH|PD_DT|CROSS_PB|VER_FM|BAN_RT|CPM_PD|AFFLUENT-SHOPPING-GARANTIA-ESTENDIDA_TG|NON_ST|NON_TS|NONE_SZ|300x250_AD|CM_IT|OO</v>
      </c>
      <c r="G55" t="str">
        <f t="shared" si="6"/>
        <v>448943576</v>
      </c>
      <c r="H55" t="str">
        <f t="shared" si="7"/>
        <v>Display</v>
      </c>
      <c r="I55">
        <f t="shared" si="8"/>
        <v>5057227</v>
      </c>
      <c r="J55">
        <f t="shared" si="9"/>
        <v>877</v>
      </c>
      <c r="K55" s="4">
        <f t="shared" si="16"/>
        <v>3.8199999999999998E-2</v>
      </c>
      <c r="L55">
        <f t="shared" si="17"/>
        <v>0.09</v>
      </c>
      <c r="M55" s="4">
        <f t="shared" si="14"/>
        <v>193.18607139999997</v>
      </c>
      <c r="N55" s="4">
        <f t="shared" si="15"/>
        <v>455.15042999999997</v>
      </c>
    </row>
    <row r="56" spans="1:14">
      <c r="A56" t="str">
        <f t="shared" si="0"/>
        <v>MK|BR_CN|AFFLUENT_MN|NONE_YQ|19Q1Q4_CP|PO5020004141-9_SP|N/A_AC|AFF_OB|CON_U1|DCM</v>
      </c>
      <c r="B56" t="str">
        <f t="shared" si="1"/>
        <v>Verizon</v>
      </c>
      <c r="C56" t="str">
        <f t="shared" si="2"/>
        <v>MK|BR_CH|PD_DT|CROSS_PB|VER_FM|BAN_RT|CPM_PD|AFFLUENT-SHOPPING-GARANTIA-ESTENDIDA_TG|NON_ST|NON_TS|NONE_SZ|320x100_AD|CM_IT|OO</v>
      </c>
      <c r="D56" t="str">
        <f t="shared" si="3"/>
        <v>253019226</v>
      </c>
      <c r="E56" t="str">
        <f t="shared" si="4"/>
        <v>Standard</v>
      </c>
      <c r="F56" t="str">
        <f t="shared" si="5"/>
        <v>MK|BR_CH|PD_DT|CROSS_PB|VER_FM|BAN_RT|CPM_PD|AFFLUENT-SHOPPING-GARANTIA-ESTENDIDA_TG|NON_ST|NON_TS|NONE_SZ|320x100_AD|CM_IT|OO</v>
      </c>
      <c r="G56" t="str">
        <f t="shared" si="6"/>
        <v>448943570</v>
      </c>
      <c r="H56" t="str">
        <f t="shared" si="7"/>
        <v>Display</v>
      </c>
      <c r="I56">
        <f t="shared" si="8"/>
        <v>879638</v>
      </c>
      <c r="J56">
        <f t="shared" si="9"/>
        <v>1456</v>
      </c>
      <c r="K56" s="4">
        <f t="shared" si="16"/>
        <v>3.8199999999999998E-2</v>
      </c>
      <c r="L56">
        <f t="shared" si="17"/>
        <v>0.09</v>
      </c>
      <c r="M56" s="4">
        <f t="shared" si="14"/>
        <v>33.602171599999998</v>
      </c>
      <c r="N56" s="4">
        <f t="shared" si="15"/>
        <v>79.167419999999993</v>
      </c>
    </row>
    <row r="57" spans="1:14">
      <c r="A57" t="str">
        <f t="shared" si="0"/>
        <v>MK|BR_CN|AFFLUENT_MN|NONE_YQ|19Q1Q4_CP|PO5020004141-9_SP|N/A_AC|AFF_OB|CON_U1|DCM</v>
      </c>
      <c r="B57" t="str">
        <f t="shared" si="1"/>
        <v>Verizon</v>
      </c>
      <c r="C57" t="str">
        <f t="shared" si="2"/>
        <v>MK|BR_CH|PD_DT|CROSS_PB|VER_FM|BAN_RT|CPM_PD|AFFLUENT-SHOPPING-GARANTIA-ESTENDIDA_TG|NON_ST|NON_TS|NONE_SZ|320x50_AD|CM_IT|OO</v>
      </c>
      <c r="D57" t="str">
        <f t="shared" si="3"/>
        <v>253019229</v>
      </c>
      <c r="E57" t="str">
        <f t="shared" si="4"/>
        <v>Standard</v>
      </c>
      <c r="F57" t="str">
        <f t="shared" si="5"/>
        <v>MK|BR_CH|PD_DT|CROSS_PB|VER_FM|BAN_RT|CPM_PD|AFFLUENT-SHOPPING-GARANTIA-ESTENDIDA_TG|NON_ST|NON_TS|NONE_SZ|320x50_AD|CM_IT|OO</v>
      </c>
      <c r="G57" t="str">
        <f t="shared" si="6"/>
        <v>448943573</v>
      </c>
      <c r="H57" t="str">
        <f t="shared" si="7"/>
        <v>Display</v>
      </c>
      <c r="I57">
        <f t="shared" si="8"/>
        <v>1649859</v>
      </c>
      <c r="J57">
        <f t="shared" si="9"/>
        <v>1773</v>
      </c>
      <c r="K57" s="4">
        <f t="shared" si="16"/>
        <v>3.8199999999999998E-2</v>
      </c>
      <c r="L57">
        <f t="shared" si="17"/>
        <v>0.09</v>
      </c>
      <c r="M57" s="4">
        <f t="shared" si="14"/>
        <v>63.024613799999997</v>
      </c>
      <c r="N57" s="4">
        <f t="shared" si="15"/>
        <v>148.48731000000001</v>
      </c>
    </row>
    <row r="58" spans="1:14">
      <c r="A58" t="str">
        <f t="shared" si="0"/>
        <v>MK|BR_CN|AFFLUENT_MN|NONE_YQ|19Q1Q4_CP|PO5020004141-9_SP|N/A_AC|AFF_OB|CON_U1|DCM</v>
      </c>
      <c r="B58" t="str">
        <f t="shared" si="1"/>
        <v>Verizon</v>
      </c>
      <c r="C58" t="str">
        <f t="shared" si="2"/>
        <v>MK|BR_CH|PD_DT|CROSS_PB|VER_FM|BAN_RT|CPM_PD|AFFLUENT-SHOPPING-GARANTIA-ESTENDIDA_TG|NON_ST|NON_TS|NONE_SZ|728x90_AD|CM_IT|OO</v>
      </c>
      <c r="D58" t="str">
        <f t="shared" si="3"/>
        <v>253019223</v>
      </c>
      <c r="E58" t="str">
        <f t="shared" si="4"/>
        <v>Standard</v>
      </c>
      <c r="F58" t="str">
        <f t="shared" si="5"/>
        <v>MK|BR_CH|PD_DT|CROSS_PB|VER_FM|BAN_RT|CPM_PD|AFFLUENT-SHOPPING-GARANTIA-ESTENDIDA_TG|NON_ST|NON_TS|NONE_SZ|728x90_AD|CM_IT|OO</v>
      </c>
      <c r="G58" t="str">
        <f t="shared" si="6"/>
        <v>448943567</v>
      </c>
      <c r="H58" t="str">
        <f t="shared" si="7"/>
        <v>Display</v>
      </c>
      <c r="I58">
        <f t="shared" si="8"/>
        <v>4873323</v>
      </c>
      <c r="J58">
        <f t="shared" si="9"/>
        <v>302</v>
      </c>
      <c r="K58" s="4">
        <f t="shared" si="16"/>
        <v>3.8199999999999998E-2</v>
      </c>
      <c r="L58">
        <f t="shared" si="17"/>
        <v>0.09</v>
      </c>
      <c r="M58" s="4">
        <f t="shared" si="14"/>
        <v>186.16093859999998</v>
      </c>
      <c r="N58" s="4">
        <f t="shared" si="15"/>
        <v>438.59906999999998</v>
      </c>
    </row>
    <row r="59" spans="1:14">
      <c r="A59" t="str">
        <f t="shared" si="0"/>
        <v>MK|BR_CN|AFFLUENT_MN|NONE_YQ|19Q1Q4_CP|PO5020004141-9_SP|N/A_AC|AFF_OB|CON_U1|DCM</v>
      </c>
      <c r="B59" t="str">
        <f t="shared" si="1"/>
        <v>Verizon</v>
      </c>
      <c r="C59" t="str">
        <f t="shared" si="2"/>
        <v>MK|BR_CH|PD_DT|CROSS_PB|VER_FM|BAN_RT|CPM_PD|AFFLUENT-SHOPPING-PROTECAO-DE-PRECO_TG|NON_ST|NON_TS|NONE_SZ|120x600_AD|CM_IT|OO</v>
      </c>
      <c r="D59" t="str">
        <f t="shared" si="3"/>
        <v>252951450</v>
      </c>
      <c r="E59" t="str">
        <f t="shared" si="4"/>
        <v>Standard</v>
      </c>
      <c r="F59" t="str">
        <f t="shared" si="5"/>
        <v>MK|BR_CH|PD_DT|CROSS_PB|VER_FM|BAN_RT|CPM_PD|AFFLUENT-SHOPPING-PROTECAO-DE-PRECO_TG|NON_ST|NON_TS|NONE_SZ|120x600_AD|CM_IT|OO</v>
      </c>
      <c r="G59" t="str">
        <f t="shared" si="6"/>
        <v>448874214</v>
      </c>
      <c r="H59" t="str">
        <f t="shared" si="7"/>
        <v>Display</v>
      </c>
      <c r="I59">
        <f t="shared" si="8"/>
        <v>79442</v>
      </c>
      <c r="J59">
        <f t="shared" si="9"/>
        <v>13</v>
      </c>
      <c r="K59" s="4">
        <f t="shared" si="16"/>
        <v>3.8199999999999998E-2</v>
      </c>
      <c r="L59">
        <f t="shared" si="17"/>
        <v>0.09</v>
      </c>
      <c r="M59" s="4">
        <f t="shared" si="14"/>
        <v>3.0346843999999997</v>
      </c>
      <c r="N59" s="4">
        <f t="shared" si="15"/>
        <v>7.1497799999999998</v>
      </c>
    </row>
    <row r="60" spans="1:14">
      <c r="A60" t="str">
        <f t="shared" si="0"/>
        <v>MK|BR_CN|AFFLUENT_MN|NONE_YQ|19Q1Q4_CP|PO5020004141-9_SP|N/A_AC|AFF_OB|CON_U1|DCM</v>
      </c>
      <c r="B60" t="str">
        <f t="shared" si="1"/>
        <v>Verizon</v>
      </c>
      <c r="C60" t="str">
        <f t="shared" si="2"/>
        <v>MK|BR_CH|PD_DT|CROSS_PB|VER_FM|BAN_RT|CPM_PD|AFFLUENT-SHOPPING-PROTECAO-DE-PRECO_TG|NON_ST|NON_TS|NONE_SZ|300x250_AD|CM_IT|OO</v>
      </c>
      <c r="D60" t="str">
        <f t="shared" si="3"/>
        <v>252951453</v>
      </c>
      <c r="E60" t="str">
        <f t="shared" si="4"/>
        <v>Default</v>
      </c>
      <c r="F60" t="str">
        <f t="shared" si="5"/>
        <v>300x250 Default Web Ad</v>
      </c>
      <c r="G60" t="str">
        <f t="shared" si="6"/>
        <v>433647966</v>
      </c>
      <c r="H60" t="str">
        <f t="shared" si="7"/>
        <v>Display</v>
      </c>
      <c r="I60">
        <f t="shared" si="8"/>
        <v>1</v>
      </c>
      <c r="J60">
        <f t="shared" si="9"/>
        <v>0</v>
      </c>
      <c r="K60" s="4">
        <f t="shared" si="16"/>
        <v>3.8199999999999998E-2</v>
      </c>
      <c r="L60">
        <f t="shared" si="17"/>
        <v>0.09</v>
      </c>
      <c r="M60" s="4">
        <f t="shared" si="14"/>
        <v>3.82E-5</v>
      </c>
      <c r="N60" s="4">
        <f t="shared" si="15"/>
        <v>8.9999999999999992E-5</v>
      </c>
    </row>
    <row r="61" spans="1:14">
      <c r="A61" t="str">
        <f t="shared" si="0"/>
        <v>MK|BR_CN|AFFLUENT_MN|NONE_YQ|19Q1Q4_CP|PO5020004141-9_SP|N/A_AC|AFF_OB|CON_U1|DCM</v>
      </c>
      <c r="B61" t="str">
        <f t="shared" si="1"/>
        <v>Verizon</v>
      </c>
      <c r="C61" t="str">
        <f t="shared" si="2"/>
        <v>MK|BR_CH|PD_DT|CROSS_PB|VER_FM|BAN_RT|CPM_PD|AFFLUENT-SHOPPING-PROTECAO-DE-PRECO_TG|NON_ST|NON_TS|NONE_SZ|300x250_AD|CM_IT|OO</v>
      </c>
      <c r="D61" t="str">
        <f t="shared" si="3"/>
        <v>252951453</v>
      </c>
      <c r="E61" t="str">
        <f t="shared" si="4"/>
        <v>Standard</v>
      </c>
      <c r="F61" t="str">
        <f t="shared" si="5"/>
        <v>MK|BR_CH|PD_DT|CROSS_PB|VER_FM|BAN_RT|CPM_PD|AFFLUENT-SHOPPING-PROTECAO-DE-PRECO_TG|NON_ST|NON_TS|NONE_SZ|300x250_AD|CM_IT|OO</v>
      </c>
      <c r="G61" t="str">
        <f t="shared" si="6"/>
        <v>448874211</v>
      </c>
      <c r="H61" t="str">
        <f t="shared" si="7"/>
        <v>Display</v>
      </c>
      <c r="I61">
        <f t="shared" si="8"/>
        <v>3367479</v>
      </c>
      <c r="J61">
        <f t="shared" si="9"/>
        <v>3477</v>
      </c>
      <c r="K61" s="4">
        <f t="shared" si="16"/>
        <v>3.8199999999999998E-2</v>
      </c>
      <c r="L61">
        <f t="shared" si="17"/>
        <v>0.09</v>
      </c>
      <c r="M61" s="4">
        <f t="shared" si="14"/>
        <v>128.63769779999998</v>
      </c>
      <c r="N61" s="4">
        <f t="shared" si="15"/>
        <v>303.07310999999999</v>
      </c>
    </row>
    <row r="62" spans="1:14">
      <c r="A62" t="str">
        <f t="shared" si="0"/>
        <v>MK|BR_CN|AFFLUENT_MN|NONE_YQ|19Q1Q4_CP|PO5020004141-9_SP|N/A_AC|AFF_OB|CON_U1|DCM</v>
      </c>
      <c r="B62" t="str">
        <f t="shared" si="1"/>
        <v>Verizon</v>
      </c>
      <c r="C62" t="str">
        <f t="shared" si="2"/>
        <v>MK|BR_CH|PD_DT|CROSS_PB|VER_FM|BAN_RT|CPM_PD|AFFLUENT-SHOPPING-PROTECAO-DE-PRECO_TG|NON_ST|NON_TS|NONE_SZ|320x100_AD|CM_IT|OO</v>
      </c>
      <c r="D62" t="str">
        <f t="shared" si="3"/>
        <v>252951459</v>
      </c>
      <c r="E62" t="str">
        <f t="shared" si="4"/>
        <v>Standard</v>
      </c>
      <c r="F62" t="str">
        <f t="shared" si="5"/>
        <v>MK|BR_CH|PD_DT|CROSS_PB|VER_FM|BAN_RT|CPM_PD|AFFLUENT-SHOPPING-PROTECAO-DE-PRECO_TG|NON_ST|NON_TS|NONE_SZ|320x100_AD|CM_IT|OO</v>
      </c>
      <c r="G62" t="str">
        <f t="shared" si="6"/>
        <v>448874205</v>
      </c>
      <c r="H62" t="str">
        <f t="shared" si="7"/>
        <v>Display</v>
      </c>
      <c r="I62">
        <f t="shared" si="8"/>
        <v>1249628</v>
      </c>
      <c r="J62">
        <f t="shared" si="9"/>
        <v>2065</v>
      </c>
      <c r="K62" s="4">
        <f t="shared" si="16"/>
        <v>3.8199999999999998E-2</v>
      </c>
      <c r="L62">
        <f t="shared" si="17"/>
        <v>0.09</v>
      </c>
      <c r="M62" s="4">
        <f t="shared" si="14"/>
        <v>47.735789599999997</v>
      </c>
      <c r="N62" s="4">
        <f t="shared" si="15"/>
        <v>112.46651999999999</v>
      </c>
    </row>
    <row r="63" spans="1:14">
      <c r="A63" t="str">
        <f t="shared" si="0"/>
        <v>MK|BR_CN|AFFLUENT_MN|NONE_YQ|19Q1Q4_CP|PO5020004141-9_SP|N/A_AC|AFF_OB|CON_U1|DCM</v>
      </c>
      <c r="B63" t="str">
        <f t="shared" si="1"/>
        <v>Verizon</v>
      </c>
      <c r="C63" t="str">
        <f t="shared" si="2"/>
        <v>MK|BR_CH|PD_DT|CROSS_PB|VER_FM|BAN_RT|CPM_PD|AFFLUENT-SHOPPING-PROTECAO-DE-PRECO_TG|NON_ST|NON_TS|NONE_SZ|320x50_AD|CM_IT|OO</v>
      </c>
      <c r="D63" t="str">
        <f t="shared" si="3"/>
        <v>252951456</v>
      </c>
      <c r="E63" t="str">
        <f t="shared" si="4"/>
        <v>Standard</v>
      </c>
      <c r="F63" t="str">
        <f t="shared" si="5"/>
        <v>MK|BR_CH|PD_DT|CROSS_PB|VER_FM|BAN_RT|CPM_PD|AFFLUENT-SHOPPING-PROTECAO-DE-PRECO_TG|NON_ST|NON_TS|NONE_SZ|320x50_AD|CM_IT|OO</v>
      </c>
      <c r="G63" t="str">
        <f t="shared" si="6"/>
        <v>448874208</v>
      </c>
      <c r="H63" t="str">
        <f t="shared" si="7"/>
        <v>Display</v>
      </c>
      <c r="I63">
        <f t="shared" si="8"/>
        <v>5112218</v>
      </c>
      <c r="J63">
        <f t="shared" si="9"/>
        <v>8293</v>
      </c>
      <c r="K63" s="4">
        <f t="shared" si="16"/>
        <v>3.8199999999999998E-2</v>
      </c>
      <c r="L63">
        <f t="shared" si="17"/>
        <v>0.09</v>
      </c>
      <c r="M63" s="4">
        <f t="shared" si="14"/>
        <v>195.28672759999998</v>
      </c>
      <c r="N63" s="4">
        <f t="shared" si="15"/>
        <v>460.09962000000002</v>
      </c>
    </row>
    <row r="64" spans="1:14">
      <c r="A64" t="str">
        <f t="shared" si="0"/>
        <v>MK|BR_CN|AFFLUENT_MN|NONE_YQ|19Q1Q4_CP|PO5020004141-9_SP|N/A_AC|AFF_OB|CON_U1|DCM</v>
      </c>
      <c r="B64" t="str">
        <f t="shared" si="1"/>
        <v>Verizon</v>
      </c>
      <c r="C64" t="str">
        <f t="shared" si="2"/>
        <v>MK|BR_CH|PD_DT|CROSS_PB|VER_FM|BAN_RT|CPM_PD|AFFLUENT-SHOPPING-PROTECAO-DE-PRECO_TG|NON_ST|NON_TS|NONE_SZ|728x90_AD|CM_IT|OO</v>
      </c>
      <c r="D64" t="str">
        <f t="shared" si="3"/>
        <v>252951462</v>
      </c>
      <c r="E64" t="str">
        <f t="shared" si="4"/>
        <v>Standard</v>
      </c>
      <c r="F64" t="str">
        <f t="shared" si="5"/>
        <v>MK|BR_CH|PD_DT|CROSS_PB|VER_FM|BAN_RT|CPM_PD|AFFLUENT-SHOPPING-PROTECAO-DE-PRECO_TG|NON_ST|NON_TS|NONE_SZ|728x90_AD|CM_IT|OO</v>
      </c>
      <c r="G64" t="str">
        <f t="shared" si="6"/>
        <v>448874202</v>
      </c>
      <c r="H64" t="str">
        <f t="shared" si="7"/>
        <v>Display</v>
      </c>
      <c r="I64">
        <f t="shared" si="8"/>
        <v>1376302</v>
      </c>
      <c r="J64">
        <f t="shared" si="9"/>
        <v>242</v>
      </c>
      <c r="K64" s="4">
        <f t="shared" si="16"/>
        <v>3.8199999999999998E-2</v>
      </c>
      <c r="L64">
        <f t="shared" si="17"/>
        <v>0.09</v>
      </c>
      <c r="M64" s="4">
        <f t="shared" si="14"/>
        <v>52.574736399999992</v>
      </c>
      <c r="N64" s="4">
        <f t="shared" si="15"/>
        <v>123.86717999999999</v>
      </c>
    </row>
    <row r="65" spans="1:14">
      <c r="A65" t="str">
        <f t="shared" si="0"/>
        <v>MK|BR_CN|AFFLUENT_MN|NONE_YQ|19Q1Q4_CP|PO5020004141-9_SP|N/A_AC|AFF_OB|CON_U1|DCM</v>
      </c>
      <c r="B65" t="str">
        <f t="shared" si="1"/>
        <v>Verizon</v>
      </c>
      <c r="C65" t="str">
        <f t="shared" si="2"/>
        <v>MK|BR_CH|PD_DT|CROSS_PB|VER_FM|BAN_RT|CPM_PD|AFFLUENT-TRAVEL-CHIP-INTERNACIONAL_TG|NON_ST|NON_TS|NONE_SZ|120x600_AD|CM_IT|OO</v>
      </c>
      <c r="D65" t="str">
        <f t="shared" si="3"/>
        <v>253483613</v>
      </c>
      <c r="E65" t="str">
        <f t="shared" si="4"/>
        <v>Standard</v>
      </c>
      <c r="F65" t="str">
        <f t="shared" si="5"/>
        <v>MK|BR_CH|PD_DT|CROSS_PB|VER_FM|BAN_RT|CPM_PD|AFFLUENT-TRAVEL-CHIP-INTERNACIONAL_TG|NON_ST|NON_TS|NONE_SZ|120x600_AD|CM_IT|OO</v>
      </c>
      <c r="G65" t="str">
        <f t="shared" si="6"/>
        <v>449872829</v>
      </c>
      <c r="H65" t="str">
        <f t="shared" si="7"/>
        <v>Display</v>
      </c>
      <c r="I65">
        <f t="shared" si="8"/>
        <v>34</v>
      </c>
      <c r="J65">
        <f t="shared" si="9"/>
        <v>0</v>
      </c>
      <c r="K65" s="4">
        <f t="shared" si="16"/>
        <v>3.8199999999999998E-2</v>
      </c>
      <c r="L65">
        <f t="shared" si="17"/>
        <v>0.09</v>
      </c>
      <c r="M65" s="4">
        <f t="shared" si="14"/>
        <v>1.2987999999999999E-3</v>
      </c>
      <c r="N65" s="4">
        <f t="shared" si="15"/>
        <v>3.0600000000000002E-3</v>
      </c>
    </row>
    <row r="66" spans="1:14">
      <c r="A66" t="str">
        <f t="shared" ref="A66:A129" si="18">bd_campaign</f>
        <v>MK|BR_CN|AFFLUENT_MN|NONE_YQ|19Q1Q4_CP|PO5020004141-9_SP|N/A_AC|AFF_OB|CON_U1|DCM</v>
      </c>
      <c r="B66" t="str">
        <f t="shared" ref="B66:B129" si="19">bd_site</f>
        <v>Verizon</v>
      </c>
      <c r="C66" t="str">
        <f t="shared" ref="C66:C129" si="20">bd_placement</f>
        <v>MK|BR_CH|PD_DT|CROSS_PB|VER_FM|BAN_RT|CPM_PD|AFFLUENT-TRAVEL-CHIP-INTERNACIONAL_TG|NON_ST|NON_TS|NONE_SZ|300x250_AD|CM_IT|OO</v>
      </c>
      <c r="D66" t="str">
        <f t="shared" ref="D66:D129" si="21">bd_placementID</f>
        <v>253485104</v>
      </c>
      <c r="E66" t="str">
        <f t="shared" ref="E66:E129" si="22">VLOOKUP(CONCATENATE(bd_adtype,"_",bd_creativetype),tabela,2,FALSE)</f>
        <v>Standard</v>
      </c>
      <c r="F66" t="str">
        <f t="shared" ref="F66:F129" si="23">bd_ad</f>
        <v>MK|BR_CH|PD_DT|CROSS_PB|VER_FM|BAN_RT|CPM_PD|AFFLUENT-TRAVEL-CHIP-INTERNACIONAL_TG|NON_ST|NON_TS|NONE_SZ|300x250_AD|CM_IT|OO</v>
      </c>
      <c r="G66" t="str">
        <f t="shared" ref="G66:G129" si="24">bd_adid</f>
        <v>449872859</v>
      </c>
      <c r="H66" t="str">
        <f t="shared" ref="H66:H129" si="25">bd_creativetype</f>
        <v>Display</v>
      </c>
      <c r="I66">
        <f t="shared" ref="I66:I129" si="26">bd_impression</f>
        <v>4417525</v>
      </c>
      <c r="J66">
        <f t="shared" ref="J66:J129" si="27">bd_clicks</f>
        <v>5325</v>
      </c>
      <c r="K66" s="4">
        <f t="shared" si="16"/>
        <v>3.8199999999999998E-2</v>
      </c>
      <c r="L66">
        <f t="shared" si="17"/>
        <v>0.09</v>
      </c>
      <c r="M66" s="4">
        <f t="shared" si="14"/>
        <v>168.74945499999998</v>
      </c>
      <c r="N66" s="4">
        <f t="shared" si="15"/>
        <v>397.57724999999999</v>
      </c>
    </row>
    <row r="67" spans="1:14">
      <c r="A67" t="str">
        <f t="shared" si="18"/>
        <v>MK|BR_CN|AFFLUENT_MN|NONE_YQ|19Q1Q4_CP|PO5020004141-9_SP|N/A_AC|AFF_OB|CON_U1|DCM</v>
      </c>
      <c r="B67" t="str">
        <f t="shared" si="19"/>
        <v>Verizon</v>
      </c>
      <c r="C67" t="str">
        <f t="shared" si="20"/>
        <v>MK|BR_CH|PD_DT|CROSS_PB|VER_FM|BAN_RT|CPM_PD|AFFLUENT-TRAVEL-CHIP-INTERNACIONAL_TG|NON_ST|NON_TS|NONE_SZ|300x600_AD|CM_IT|OO</v>
      </c>
      <c r="D67" t="str">
        <f t="shared" si="21"/>
        <v>253487165</v>
      </c>
      <c r="E67" t="str">
        <f t="shared" si="22"/>
        <v>Standard</v>
      </c>
      <c r="F67" t="str">
        <f t="shared" si="23"/>
        <v>MK|BR_CH|PD_DT|CROSS_PB|VER_FM|BAN_RT|CPM_PD|AFFLUENT-TRAVEL-CHIP-INTERNACIONAL_TG|NON_ST|NON_TS|NONE_SZ|300x600_AD|CM_IT|OO</v>
      </c>
      <c r="G67" t="str">
        <f t="shared" si="24"/>
        <v>449825175</v>
      </c>
      <c r="H67" t="str">
        <f t="shared" si="25"/>
        <v>Display</v>
      </c>
      <c r="I67">
        <f t="shared" si="26"/>
        <v>1922737</v>
      </c>
      <c r="J67">
        <f t="shared" si="27"/>
        <v>702</v>
      </c>
      <c r="K67" s="4">
        <f t="shared" si="16"/>
        <v>3.8199999999999998E-2</v>
      </c>
      <c r="L67">
        <f t="shared" si="17"/>
        <v>0.09</v>
      </c>
      <c r="M67" s="4">
        <f t="shared" si="14"/>
        <v>73.448553399999994</v>
      </c>
      <c r="N67" s="4">
        <f t="shared" si="15"/>
        <v>173.04632999999998</v>
      </c>
    </row>
    <row r="68" spans="1:14">
      <c r="A68" t="str">
        <f t="shared" si="18"/>
        <v>MK|BR_CN|AFFLUENT_MN|NONE_YQ|19Q1Q4_CP|PO5020004141-9_SP|N/A_AC|AFF_OB|CON_U1|DCM</v>
      </c>
      <c r="B68" t="str">
        <f t="shared" si="19"/>
        <v>Verizon</v>
      </c>
      <c r="C68" t="str">
        <f t="shared" si="20"/>
        <v>MK|BR_CH|PD_DT|CROSS_PB|VER_FM|BAN_RT|CPM_PD|AFFLUENT-TRAVEL-CHIP-INTERNACIONAL_TG|NON_ST|NON_TS|NONE_SZ|728x90_AD|CM_IT|OO</v>
      </c>
      <c r="D68" t="str">
        <f t="shared" si="21"/>
        <v>253487192</v>
      </c>
      <c r="E68" t="str">
        <f t="shared" si="22"/>
        <v>Standard</v>
      </c>
      <c r="F68" t="str">
        <f t="shared" si="23"/>
        <v>MK|BR_CH|PD_DT|CROSS_PB|VER_FM|BAN_RT|CPM_PD|AFFLUENT-TRAVEL-CHIP-INTERNACIONAL_TG|NON_ST|NON_TS|NONE_SZ|728x90_AD|CM_IT|OO</v>
      </c>
      <c r="G68" t="str">
        <f t="shared" si="24"/>
        <v>449825235</v>
      </c>
      <c r="H68" t="str">
        <f t="shared" si="25"/>
        <v>Display</v>
      </c>
      <c r="I68">
        <f t="shared" si="26"/>
        <v>1153800</v>
      </c>
      <c r="J68">
        <f t="shared" si="27"/>
        <v>90</v>
      </c>
      <c r="K68" s="4">
        <f t="shared" si="16"/>
        <v>3.8199999999999998E-2</v>
      </c>
      <c r="L68">
        <f t="shared" si="17"/>
        <v>0.09</v>
      </c>
      <c r="M68" s="4">
        <f t="shared" si="14"/>
        <v>44.075159999999997</v>
      </c>
      <c r="N68" s="4">
        <f t="shared" si="15"/>
        <v>103.842</v>
      </c>
    </row>
    <row r="69" spans="1:14">
      <c r="A69" t="str">
        <f t="shared" si="18"/>
        <v>MK|BR_CN|AFFLUENT_MN|NONE_YQ|19Q1Q4_CP|PO5020004141-9_SP|N/A_AC|AFF_OB|CON_U1|DCM</v>
      </c>
      <c r="B69" t="str">
        <f t="shared" si="19"/>
        <v>Verizon</v>
      </c>
      <c r="C69" t="str">
        <f t="shared" si="20"/>
        <v>MK|BR_CH|PD_DT|CROSS_PB|VER_FM|BAN_RT|CPM_PD|AFFLUENT-TRAVEL-DIGITAL-CONCIERGE_TG|NON_ST|NON_TS|NONE_SZ|120x600_AD|CM_IT|OO</v>
      </c>
      <c r="D69" t="str">
        <f t="shared" si="21"/>
        <v>252243059</v>
      </c>
      <c r="E69" t="str">
        <f t="shared" si="22"/>
        <v>Standard</v>
      </c>
      <c r="F69" t="str">
        <f t="shared" si="23"/>
        <v>MK|BR_CH|PD_DT|CROSS_PB|VER_FM|BAN_RT|CPM_PD|AFFLUENT-TRAVEL-DIGITAL-CONCIERGE_TG|NON_ST|NON_TS|NONE_SZ|120x600_AD|CM_IT|OO</v>
      </c>
      <c r="G69" t="str">
        <f t="shared" si="24"/>
        <v>448633448</v>
      </c>
      <c r="H69" t="str">
        <f t="shared" si="25"/>
        <v>Display</v>
      </c>
      <c r="I69">
        <f t="shared" si="26"/>
        <v>8</v>
      </c>
      <c r="J69">
        <f t="shared" si="27"/>
        <v>0</v>
      </c>
      <c r="K69" s="4">
        <f t="shared" si="16"/>
        <v>3.8199999999999998E-2</v>
      </c>
      <c r="L69">
        <f t="shared" si="17"/>
        <v>0.09</v>
      </c>
      <c r="M69" s="4">
        <f t="shared" si="14"/>
        <v>3.056E-4</v>
      </c>
      <c r="N69" s="4">
        <f t="shared" si="15"/>
        <v>7.1999999999999994E-4</v>
      </c>
    </row>
    <row r="70" spans="1:14">
      <c r="A70" t="str">
        <f t="shared" si="18"/>
        <v>MK|BR_CN|AFFLUENT_MN|NONE_YQ|19Q1Q4_CP|PO5020004141-9_SP|N/A_AC|AFF_OB|CON_U1|DCM</v>
      </c>
      <c r="B70" t="str">
        <f t="shared" si="19"/>
        <v>Verizon</v>
      </c>
      <c r="C70" t="str">
        <f t="shared" si="20"/>
        <v>MK|BR_CH|PD_DT|CROSS_PB|VER_FM|BAN_RT|CPM_PD|AFFLUENT-TRAVEL-DIGITAL-CONCIERGE_TG|NON_ST|NON_TS|NONE_SZ|300x250_AD|CM_IT|OO</v>
      </c>
      <c r="D70" t="str">
        <f t="shared" si="21"/>
        <v>252243056</v>
      </c>
      <c r="E70" t="str">
        <f t="shared" si="22"/>
        <v>Standard</v>
      </c>
      <c r="F70" t="str">
        <f t="shared" si="23"/>
        <v>MK|BR_CH|PD_DT|CROSS_PB|VER_FM|BAN_RT|CPM_PD|AFFLUENT-TRAVEL-DIGITAL-CONCIERGE_TG|NON_ST|NON_TS|NONE_SZ|300x250_AD|CM_IT|OO</v>
      </c>
      <c r="G70" t="str">
        <f t="shared" si="24"/>
        <v>448633445</v>
      </c>
      <c r="H70" t="str">
        <f t="shared" si="25"/>
        <v>Display</v>
      </c>
      <c r="I70">
        <f t="shared" si="26"/>
        <v>1801499</v>
      </c>
      <c r="J70">
        <f t="shared" si="27"/>
        <v>883</v>
      </c>
      <c r="K70" s="4">
        <f t="shared" si="16"/>
        <v>3.8199999999999998E-2</v>
      </c>
      <c r="L70">
        <f t="shared" si="17"/>
        <v>0.09</v>
      </c>
      <c r="M70" s="4">
        <f t="shared" si="14"/>
        <v>68.817261799999997</v>
      </c>
      <c r="N70" s="4">
        <f t="shared" si="15"/>
        <v>162.13490999999999</v>
      </c>
    </row>
    <row r="71" spans="1:14">
      <c r="A71" t="str">
        <f t="shared" si="18"/>
        <v>MK|BR_CN|AFFLUENT_MN|NONE_YQ|19Q1Q4_CP|PO5020004141-9_SP|N/A_AC|AFF_OB|CON_U1|DCM</v>
      </c>
      <c r="B71" t="str">
        <f t="shared" si="19"/>
        <v>Verizon</v>
      </c>
      <c r="C71" t="str">
        <f t="shared" si="20"/>
        <v>MK|BR_CH|PD_DT|CROSS_PB|VER_FM|BAN_RT|CPM_PD|AFFLUENT-TRAVEL-DIGITAL-CONCIERGE_TG|NON_ST|NON_TS|NONE_SZ|320x100_AD|CM_IT|OO</v>
      </c>
      <c r="D71" t="str">
        <f t="shared" si="21"/>
        <v>252243050</v>
      </c>
      <c r="E71" t="str">
        <f t="shared" si="22"/>
        <v>Standard</v>
      </c>
      <c r="F71" t="str">
        <f t="shared" si="23"/>
        <v>MK|BR_CH|PD_DT|CROSS_PB|VER_FM|BAN_RT|CPM_PD|AFFLUENT-TRAVEL-DIGITAL-CONCIERGE_TG|NON_ST|NON_TS|NONE_SZ|320x100_AD|CM_IT|OO</v>
      </c>
      <c r="G71" t="str">
        <f t="shared" si="24"/>
        <v>448633433</v>
      </c>
      <c r="H71" t="str">
        <f t="shared" si="25"/>
        <v>Display</v>
      </c>
      <c r="I71">
        <f t="shared" si="26"/>
        <v>806266</v>
      </c>
      <c r="J71">
        <f t="shared" si="27"/>
        <v>1456</v>
      </c>
      <c r="K71" s="4">
        <f t="shared" si="16"/>
        <v>3.8199999999999998E-2</v>
      </c>
      <c r="L71">
        <f t="shared" si="17"/>
        <v>0.09</v>
      </c>
      <c r="M71" s="4">
        <f t="shared" si="14"/>
        <v>30.7993612</v>
      </c>
      <c r="N71" s="4">
        <f t="shared" si="15"/>
        <v>72.563940000000002</v>
      </c>
    </row>
    <row r="72" spans="1:14">
      <c r="A72" t="str">
        <f t="shared" si="18"/>
        <v>MK|BR_CN|AFFLUENT_MN|NONE_YQ|19Q1Q4_CP|PO5020004141-9_SP|N/A_AC|AFF_OB|CON_U1|DCM</v>
      </c>
      <c r="B72" t="str">
        <f t="shared" si="19"/>
        <v>Verizon</v>
      </c>
      <c r="C72" t="str">
        <f t="shared" si="20"/>
        <v>MK|BR_CH|PD_DT|CROSS_PB|VER_FM|BAN_RT|CPM_PD|AFFLUENT-TRAVEL-DIGITAL-CONCIERGE_TG|NON_ST|NON_TS|NONE_SZ|320x50_AD|CM_IT|OO</v>
      </c>
      <c r="D72" t="str">
        <f t="shared" si="21"/>
        <v>252243053</v>
      </c>
      <c r="E72" t="str">
        <f t="shared" si="22"/>
        <v>Standard</v>
      </c>
      <c r="F72" t="str">
        <f t="shared" si="23"/>
        <v>MK|BR_CH|PD_DT|CROSS_PB|VER_FM|BAN_RT|CPM_PD|AFFLUENT-TRAVEL-DIGITAL-CONCIERGE_TG|NON_ST|NON_TS|NONE_SZ|320x50_AD|CM_IT|OO</v>
      </c>
      <c r="G72" t="str">
        <f t="shared" si="24"/>
        <v>448633439</v>
      </c>
      <c r="H72" t="str">
        <f t="shared" si="25"/>
        <v>Display</v>
      </c>
      <c r="I72">
        <f t="shared" si="26"/>
        <v>5022047</v>
      </c>
      <c r="J72">
        <f t="shared" si="27"/>
        <v>13900</v>
      </c>
      <c r="K72" s="4">
        <f t="shared" si="16"/>
        <v>3.8199999999999998E-2</v>
      </c>
      <c r="L72">
        <f t="shared" si="17"/>
        <v>0.09</v>
      </c>
      <c r="M72" s="4">
        <f t="shared" si="14"/>
        <v>191.84219540000001</v>
      </c>
      <c r="N72" s="4">
        <f t="shared" si="15"/>
        <v>451.98422999999997</v>
      </c>
    </row>
    <row r="73" spans="1:14">
      <c r="A73" t="str">
        <f t="shared" si="18"/>
        <v>MK|BR_CN|AFFLUENT_MN|NONE_YQ|19Q1Q4_CP|PO5020004141-9_SP|N/A_AC|AFF_OB|CON_U1|DCM</v>
      </c>
      <c r="B73" t="str">
        <f t="shared" si="19"/>
        <v>Verizon</v>
      </c>
      <c r="C73" t="str">
        <f t="shared" si="20"/>
        <v>MK|BR_CH|PD_DT|CROSS_PB|VER_FM|BAN_RT|CPM_PD|AFFLUENT-TRAVEL-DIGITAL-CONCIERGE_TG|NON_ST|NON_TS|NONE_SZ|728x90_AD|CM_IT|OO</v>
      </c>
      <c r="D73" t="str">
        <f t="shared" si="21"/>
        <v>252243047</v>
      </c>
      <c r="E73" t="str">
        <f t="shared" si="22"/>
        <v>Standard</v>
      </c>
      <c r="F73" t="str">
        <f t="shared" si="23"/>
        <v>MK|BR_CH|PD_DT|CROSS_PB|VER_FM|BAN_RT|CPM_PD|AFFLUENT-TRAVEL-DIGITAL-CONCIERGE_TG|NON_ST|NON_TS|NONE_SZ|728x90_AD|CM_IT|OO</v>
      </c>
      <c r="G73" t="str">
        <f t="shared" si="24"/>
        <v>448633424</v>
      </c>
      <c r="H73" t="str">
        <f t="shared" si="25"/>
        <v>Display</v>
      </c>
      <c r="I73">
        <f t="shared" si="26"/>
        <v>1479678</v>
      </c>
      <c r="J73">
        <f t="shared" si="27"/>
        <v>105</v>
      </c>
      <c r="K73" s="4">
        <f t="shared" si="16"/>
        <v>3.8199999999999998E-2</v>
      </c>
      <c r="L73">
        <f t="shared" si="17"/>
        <v>0.09</v>
      </c>
      <c r="M73" s="4">
        <f t="shared" si="14"/>
        <v>56.5236996</v>
      </c>
      <c r="N73" s="4">
        <f t="shared" si="15"/>
        <v>133.17102</v>
      </c>
    </row>
    <row r="74" spans="1:14">
      <c r="A74" t="str">
        <f t="shared" si="18"/>
        <v>MK|BR_CN|AFFLUENT_MN|NONE_YQ|19Q1Q4_CP|PO5020004141-9_SP|N/A_AC|AFF_OB|CON_U1|DCM</v>
      </c>
      <c r="B74" t="str">
        <f t="shared" si="19"/>
        <v>Verizon</v>
      </c>
      <c r="C74" t="str">
        <f t="shared" si="20"/>
        <v>MK|BR_CH|PD_DT|CROSS_PB|VER_FM|BAN_RT|CPM_PD|AFFLUENT-TRAVEL-MEDICO-ONLINE_TG|NON_ST|NON_TS|NONE_SZ|120x600_AD|CM_IT|OO</v>
      </c>
      <c r="D74" t="str">
        <f t="shared" si="21"/>
        <v>252243095</v>
      </c>
      <c r="E74" t="str">
        <f t="shared" si="22"/>
        <v>Standard</v>
      </c>
      <c r="F74" t="str">
        <f t="shared" si="23"/>
        <v>MK|BR_CH|PD_DT|CROSS_PB|VER_FM|BAN_RT|CPM_PD|AFFLUENT-TRAVEL-MEDICO-ONLINE_TG|NON_ST|NON_TS|NONE_SZ|120x600_AD|CM_IT|OO</v>
      </c>
      <c r="G74" t="str">
        <f t="shared" si="24"/>
        <v>448633520</v>
      </c>
      <c r="H74" t="str">
        <f t="shared" si="25"/>
        <v>Display</v>
      </c>
      <c r="I74">
        <f t="shared" si="26"/>
        <v>9</v>
      </c>
      <c r="J74">
        <f t="shared" si="27"/>
        <v>0</v>
      </c>
      <c r="K74" s="4">
        <f t="shared" si="16"/>
        <v>3.8199999999999998E-2</v>
      </c>
      <c r="L74">
        <f t="shared" si="17"/>
        <v>0.09</v>
      </c>
      <c r="M74" s="4">
        <f t="shared" si="14"/>
        <v>3.4380000000000001E-4</v>
      </c>
      <c r="N74" s="4">
        <f t="shared" si="15"/>
        <v>8.0999999999999996E-4</v>
      </c>
    </row>
    <row r="75" spans="1:14">
      <c r="A75" t="str">
        <f t="shared" si="18"/>
        <v>MK|BR_CN|AFFLUENT_MN|NONE_YQ|19Q1Q4_CP|PO5020004141-9_SP|N/A_AC|AFF_OB|CON_U1|DCM</v>
      </c>
      <c r="B75" t="str">
        <f t="shared" si="19"/>
        <v>Verizon</v>
      </c>
      <c r="C75" t="str">
        <f t="shared" si="20"/>
        <v>MK|BR_CH|PD_DT|CROSS_PB|VER_FM|BAN_RT|CPM_PD|AFFLUENT-TRAVEL-MEDICO-ONLINE_TG|NON_ST|NON_TS|NONE_SZ|300x250_AD|CM_IT|OO</v>
      </c>
      <c r="D75" t="str">
        <f t="shared" si="21"/>
        <v>252243092</v>
      </c>
      <c r="E75" t="str">
        <f t="shared" si="22"/>
        <v>Standard</v>
      </c>
      <c r="F75" t="str">
        <f t="shared" si="23"/>
        <v>MK|BR_CH|PD_DT|CROSS_PB|VER_FM|BAN_RT|CPM_PD|AFFLUENT-TRAVEL-MEDICO-ONLINE_TG|NON_ST|NON_TS|NONE_SZ|300x250_AD|CM_IT|OO</v>
      </c>
      <c r="G75" t="str">
        <f t="shared" si="24"/>
        <v>448633514</v>
      </c>
      <c r="H75" t="str">
        <f t="shared" si="25"/>
        <v>Display</v>
      </c>
      <c r="I75">
        <f t="shared" si="26"/>
        <v>528121</v>
      </c>
      <c r="J75">
        <f t="shared" si="27"/>
        <v>727</v>
      </c>
      <c r="K75" s="4">
        <f t="shared" si="16"/>
        <v>3.8199999999999998E-2</v>
      </c>
      <c r="L75">
        <f t="shared" si="17"/>
        <v>0.09</v>
      </c>
      <c r="M75" s="4">
        <f t="shared" si="14"/>
        <v>20.174222199999999</v>
      </c>
      <c r="N75" s="4">
        <f t="shared" si="15"/>
        <v>47.530889999999999</v>
      </c>
    </row>
    <row r="76" spans="1:14">
      <c r="A76" t="str">
        <f t="shared" si="18"/>
        <v>MK|BR_CN|AFFLUENT_MN|NONE_YQ|19Q1Q4_CP|PO5020004141-9_SP|N/A_AC|AFF_OB|CON_U1|DCM</v>
      </c>
      <c r="B76" t="str">
        <f t="shared" si="19"/>
        <v>Verizon</v>
      </c>
      <c r="C76" t="str">
        <f t="shared" si="20"/>
        <v>MK|BR_CH|PD_DT|CROSS_PB|VER_FM|BAN_RT|CPM_PD|AFFLUENT-TRAVEL-MEDICO-ONLINE_TG|NON_ST|NON_TS|NONE_SZ|320x100_AD|CM_IT|OO</v>
      </c>
      <c r="D76" t="str">
        <f t="shared" si="21"/>
        <v>252243086</v>
      </c>
      <c r="E76" t="str">
        <f t="shared" si="22"/>
        <v>Standard</v>
      </c>
      <c r="F76" t="str">
        <f t="shared" si="23"/>
        <v>MK|BR_CH|PD_DT|CROSS_PB|VER_FM|BAN_RT|CPM_PD|AFFLUENT-TRAVEL-MEDICO-ONLINE_TG|NON_ST|NON_TS|NONE_SZ|320x100_AD|CM_IT|OO</v>
      </c>
      <c r="G76" t="str">
        <f t="shared" si="24"/>
        <v>448633502</v>
      </c>
      <c r="H76" t="str">
        <f t="shared" si="25"/>
        <v>Display</v>
      </c>
      <c r="I76">
        <f t="shared" si="26"/>
        <v>681950</v>
      </c>
      <c r="J76">
        <f t="shared" si="27"/>
        <v>1279</v>
      </c>
      <c r="K76" s="4">
        <f t="shared" si="16"/>
        <v>3.8199999999999998E-2</v>
      </c>
      <c r="L76">
        <f t="shared" si="17"/>
        <v>0.09</v>
      </c>
      <c r="M76" s="4">
        <f t="shared" si="14"/>
        <v>26.050489999999996</v>
      </c>
      <c r="N76" s="4">
        <f t="shared" si="15"/>
        <v>61.375500000000002</v>
      </c>
    </row>
    <row r="77" spans="1:14">
      <c r="A77" t="str">
        <f t="shared" si="18"/>
        <v>MK|BR_CN|AFFLUENT_MN|NONE_YQ|19Q1Q4_CP|PO5020004141-9_SP|N/A_AC|AFF_OB|CON_U1|DCM</v>
      </c>
      <c r="B77" t="str">
        <f t="shared" si="19"/>
        <v>Verizon</v>
      </c>
      <c r="C77" t="str">
        <f t="shared" si="20"/>
        <v>MK|BR_CH|PD_DT|CROSS_PB|VER_FM|BAN_RT|CPM_PD|AFFLUENT-TRAVEL-MEDICO-ONLINE_TG|NON_ST|NON_TS|NONE_SZ|320x50_AD|CM_IT|OO</v>
      </c>
      <c r="D77" t="str">
        <f t="shared" si="21"/>
        <v>252243089</v>
      </c>
      <c r="E77" t="str">
        <f t="shared" si="22"/>
        <v>Default</v>
      </c>
      <c r="F77" t="str">
        <f t="shared" si="23"/>
        <v>320x50 Default Web Ad</v>
      </c>
      <c r="G77" t="str">
        <f t="shared" si="24"/>
        <v>448311144</v>
      </c>
      <c r="H77" t="str">
        <f t="shared" si="25"/>
        <v>Display</v>
      </c>
      <c r="I77">
        <f t="shared" si="26"/>
        <v>1</v>
      </c>
      <c r="J77">
        <f t="shared" si="27"/>
        <v>0</v>
      </c>
      <c r="K77" s="4">
        <f t="shared" si="16"/>
        <v>3.8199999999999998E-2</v>
      </c>
      <c r="L77">
        <f t="shared" si="17"/>
        <v>0.09</v>
      </c>
      <c r="M77" s="4">
        <f t="shared" si="14"/>
        <v>3.82E-5</v>
      </c>
      <c r="N77" s="4">
        <f t="shared" si="15"/>
        <v>8.9999999999999992E-5</v>
      </c>
    </row>
    <row r="78" spans="1:14">
      <c r="A78" t="str">
        <f t="shared" si="18"/>
        <v>MK|BR_CN|AFFLUENT_MN|NONE_YQ|19Q1Q4_CP|PO5020004141-9_SP|N/A_AC|AFF_OB|CON_U1|DCM</v>
      </c>
      <c r="B78" t="str">
        <f t="shared" si="19"/>
        <v>Verizon</v>
      </c>
      <c r="C78" t="str">
        <f t="shared" si="20"/>
        <v>MK|BR_CH|PD_DT|CROSS_PB|VER_FM|BAN_RT|CPM_PD|AFFLUENT-TRAVEL-MEDICO-ONLINE_TG|NON_ST|NON_TS|NONE_SZ|320x50_AD|CM_IT|OO</v>
      </c>
      <c r="D78" t="str">
        <f t="shared" si="21"/>
        <v>252243089</v>
      </c>
      <c r="E78" t="str">
        <f t="shared" si="22"/>
        <v>Standard</v>
      </c>
      <c r="F78" t="str">
        <f t="shared" si="23"/>
        <v>MK|BR_CH|PD_DT|CROSS_PB|VER_FM|BAN_RT|CPM_PD|AFFLUENT-TRAVEL-MEDICO-ONLINE_TG|NON_ST|NON_TS|NONE_SZ|320x50_AD|CM_IT|OO</v>
      </c>
      <c r="G78" t="str">
        <f t="shared" si="24"/>
        <v>448633508</v>
      </c>
      <c r="H78" t="str">
        <f t="shared" si="25"/>
        <v>Display</v>
      </c>
      <c r="I78">
        <f t="shared" si="26"/>
        <v>3880511</v>
      </c>
      <c r="J78">
        <f t="shared" si="27"/>
        <v>9990</v>
      </c>
      <c r="K78" s="4">
        <f t="shared" si="16"/>
        <v>3.8199999999999998E-2</v>
      </c>
      <c r="L78">
        <f t="shared" si="17"/>
        <v>0.09</v>
      </c>
      <c r="M78" s="4">
        <f t="shared" si="14"/>
        <v>148.2355202</v>
      </c>
      <c r="N78" s="4">
        <f t="shared" si="15"/>
        <v>349.24599000000001</v>
      </c>
    </row>
    <row r="79" spans="1:14">
      <c r="A79" t="str">
        <f t="shared" si="18"/>
        <v>MK|BR_CN|AFFLUENT_MN|NONE_YQ|19Q1Q4_CP|PO5020004141-9_SP|N/A_AC|AFF_OB|CON_U1|DCM</v>
      </c>
      <c r="B79" t="str">
        <f t="shared" si="19"/>
        <v>Verizon</v>
      </c>
      <c r="C79" t="str">
        <f t="shared" si="20"/>
        <v>MK|BR_CH|PD_DT|CROSS_PB|VER_FM|BAN_RT|CPM_PD|AFFLUENT-TRAVEL-MEDICO-ONLINE_TG|NON_ST|NON_TS|NONE_SZ|728x90_AD|CM_IT|OO</v>
      </c>
      <c r="D79" t="str">
        <f t="shared" si="21"/>
        <v>252243083</v>
      </c>
      <c r="E79" t="str">
        <f t="shared" si="22"/>
        <v>Standard</v>
      </c>
      <c r="F79" t="str">
        <f t="shared" si="23"/>
        <v>MK|BR_CH|PD_DT|CROSS_PB|VER_FM|BAN_RT|CPM_PD|AFFLUENT-TRAVEL-MEDICO-ONLINE_TG|NON_ST|NON_TS|NONE_SZ|728x90_AD|CM_IT|OO</v>
      </c>
      <c r="G79" t="str">
        <f t="shared" si="24"/>
        <v>448633496</v>
      </c>
      <c r="H79" t="str">
        <f t="shared" si="25"/>
        <v>Display</v>
      </c>
      <c r="I79">
        <f t="shared" si="26"/>
        <v>6053</v>
      </c>
      <c r="J79">
        <f t="shared" si="27"/>
        <v>2</v>
      </c>
      <c r="K79" s="4">
        <f t="shared" si="16"/>
        <v>3.8199999999999998E-2</v>
      </c>
      <c r="L79">
        <f t="shared" si="17"/>
        <v>0.09</v>
      </c>
      <c r="M79" s="4">
        <f t="shared" si="14"/>
        <v>0.23122459999999997</v>
      </c>
      <c r="N79" s="4">
        <f t="shared" si="15"/>
        <v>0.54476999999999998</v>
      </c>
    </row>
    <row r="80" spans="1:14">
      <c r="A80" t="str">
        <f t="shared" si="18"/>
        <v>MK|BR_CN|AFFLUENT_MN|NONE_YQ|19Q1Q4_CP|PO5020004141-9_SP|N/A_AC|AFF_OB|CON_U1|DCM</v>
      </c>
      <c r="B80" t="str">
        <f t="shared" si="19"/>
        <v>Verizon</v>
      </c>
      <c r="C80" t="str">
        <f t="shared" si="20"/>
        <v>MK|BR_CH|PD_DT|CROSS_PB|VER_FM|BAN_RT|CPM_PD|AFFLUENT-TRAVEL-SEGURO-VIAGEM_TG|NON_ST|NON_TS|NONE_SZ|120x600_AD|CM_IT|OO</v>
      </c>
      <c r="D80" t="str">
        <f t="shared" si="21"/>
        <v>252243080</v>
      </c>
      <c r="E80" t="str">
        <f t="shared" si="22"/>
        <v>Standard</v>
      </c>
      <c r="F80" t="str">
        <f t="shared" si="23"/>
        <v>MK|BR_CH|PD_DT|CROSS_PB|VER_FM|BAN_RT|CPM_PD|AFFLUENT-TRAVEL-SEGURO-VIAGEM_TG|NON_ST|NON_TS|NONE_SZ|120x600_AD|CM_IT|OO</v>
      </c>
      <c r="G80" t="str">
        <f t="shared" si="24"/>
        <v>448633490</v>
      </c>
      <c r="H80" t="str">
        <f t="shared" si="25"/>
        <v>Display</v>
      </c>
      <c r="I80">
        <f t="shared" si="26"/>
        <v>4806</v>
      </c>
      <c r="J80">
        <f t="shared" si="27"/>
        <v>2</v>
      </c>
      <c r="K80" s="4">
        <f t="shared" si="16"/>
        <v>3.8199999999999998E-2</v>
      </c>
      <c r="L80">
        <f t="shared" si="17"/>
        <v>0.09</v>
      </c>
      <c r="M80" s="4">
        <f t="shared" si="14"/>
        <v>0.18358919999999998</v>
      </c>
      <c r="N80" s="4">
        <f t="shared" si="15"/>
        <v>0.43253999999999998</v>
      </c>
    </row>
    <row r="81" spans="1:14">
      <c r="A81" t="str">
        <f t="shared" si="18"/>
        <v>MK|BR_CN|AFFLUENT_MN|NONE_YQ|19Q1Q4_CP|PO5020004141-9_SP|N/A_AC|AFF_OB|CON_U1|DCM</v>
      </c>
      <c r="B81" t="str">
        <f t="shared" si="19"/>
        <v>Verizon</v>
      </c>
      <c r="C81" t="str">
        <f t="shared" si="20"/>
        <v>MK|BR_CH|PD_DT|CROSS_PB|VER_FM|BAN_RT|CPM_PD|AFFLUENT-TRAVEL-SEGURO-VIAGEM_TG|NON_ST|NON_TS|NONE_SZ|300x250_AD|CM_IT|OO</v>
      </c>
      <c r="D81" t="str">
        <f t="shared" si="21"/>
        <v>252243077</v>
      </c>
      <c r="E81" t="str">
        <f t="shared" si="22"/>
        <v>Standard</v>
      </c>
      <c r="F81" t="str">
        <f t="shared" si="23"/>
        <v>MK|BR_CH|PD_DT|CROSS_PB|VER_FM|BAN_RT|CPM_PD|AFFLUENT-TRAVEL-SEGURO-VIAGEM_TG|NON_ST|NON_TS|NONE_SZ|300x250_AD|CM_IT|OO</v>
      </c>
      <c r="G81" t="str">
        <f t="shared" si="24"/>
        <v>448633484</v>
      </c>
      <c r="H81" t="str">
        <f t="shared" si="25"/>
        <v>Display</v>
      </c>
      <c r="I81">
        <f t="shared" si="26"/>
        <v>836281</v>
      </c>
      <c r="J81">
        <f t="shared" si="27"/>
        <v>409</v>
      </c>
      <c r="K81" s="4">
        <f t="shared" si="16"/>
        <v>3.8199999999999998E-2</v>
      </c>
      <c r="L81">
        <f t="shared" si="17"/>
        <v>0.09</v>
      </c>
      <c r="M81" s="4">
        <f t="shared" si="14"/>
        <v>31.9459342</v>
      </c>
      <c r="N81" s="4">
        <f t="shared" si="15"/>
        <v>75.265289999999993</v>
      </c>
    </row>
    <row r="82" spans="1:14">
      <c r="A82" t="str">
        <f t="shared" si="18"/>
        <v>MK|BR_CN|AFFLUENT_MN|NONE_YQ|19Q1Q4_CP|PO5020004141-9_SP|N/A_AC|AFF_OB|CON_U1|DCM</v>
      </c>
      <c r="B82" t="str">
        <f t="shared" si="19"/>
        <v>Verizon</v>
      </c>
      <c r="C82" t="str">
        <f t="shared" si="20"/>
        <v>MK|BR_CH|PD_DT|CROSS_PB|VER_FM|BAN_RT|CPM_PD|AFFLUENT-TRAVEL-SEGURO-VIAGEM_TG|NON_ST|NON_TS|NONE_SZ|320x100_AD|CM_IT|OO</v>
      </c>
      <c r="D82" t="str">
        <f t="shared" si="21"/>
        <v>252243071</v>
      </c>
      <c r="E82" t="str">
        <f t="shared" si="22"/>
        <v>Standard</v>
      </c>
      <c r="F82" t="str">
        <f t="shared" si="23"/>
        <v>MK|BR_CH|PD_DT|CROSS_PB|VER_FM|BAN_RT|CPM_PD|AFFLUENT-TRAVEL-SEGURO-VIAGEM_TG|NON_ST|NON_TS|NONE_SZ|320x100_AD|CM_IT|OO</v>
      </c>
      <c r="G82" t="str">
        <f t="shared" si="24"/>
        <v>448633472</v>
      </c>
      <c r="H82" t="str">
        <f t="shared" si="25"/>
        <v>Display</v>
      </c>
      <c r="I82">
        <f t="shared" si="26"/>
        <v>659249</v>
      </c>
      <c r="J82">
        <f t="shared" si="27"/>
        <v>1025</v>
      </c>
      <c r="K82" s="4">
        <f t="shared" si="16"/>
        <v>3.8199999999999998E-2</v>
      </c>
      <c r="L82">
        <f t="shared" si="17"/>
        <v>0.09</v>
      </c>
      <c r="M82" s="4">
        <f t="shared" si="14"/>
        <v>25.183311799999998</v>
      </c>
      <c r="N82" s="4">
        <f t="shared" si="15"/>
        <v>59.332409999999996</v>
      </c>
    </row>
    <row r="83" spans="1:14">
      <c r="A83" t="str">
        <f t="shared" si="18"/>
        <v>MK|BR_CN|AFFLUENT_MN|NONE_YQ|19Q1Q4_CP|PO5020004141-9_SP|N/A_AC|AFF_OB|CON_U1|DCM</v>
      </c>
      <c r="B83" t="str">
        <f t="shared" si="19"/>
        <v>Verizon</v>
      </c>
      <c r="C83" t="str">
        <f t="shared" si="20"/>
        <v>MK|BR_CH|PD_DT|CROSS_PB|VER_FM|BAN_RT|CPM_PD|AFFLUENT-TRAVEL-SEGURO-VIAGEM_TG|NON_ST|NON_TS|NONE_SZ|320x50_AD|CM_IT|OO</v>
      </c>
      <c r="D83" t="str">
        <f t="shared" si="21"/>
        <v>252243074</v>
      </c>
      <c r="E83" t="str">
        <f t="shared" si="22"/>
        <v>Standard</v>
      </c>
      <c r="F83" t="str">
        <f t="shared" si="23"/>
        <v>MK|BR_CH|PD_DT|CROSS_PB|VER_FM|BAN_RT|CPM_PD|AFFLUENT-TRAVEL-SEGURO-VIAGEM_TG|NON_ST|NON_TS|NONE_SZ|320x50_AD|CM_IT|OO</v>
      </c>
      <c r="G83" t="str">
        <f t="shared" si="24"/>
        <v>448633478</v>
      </c>
      <c r="H83" t="str">
        <f t="shared" si="25"/>
        <v>Display</v>
      </c>
      <c r="I83">
        <f t="shared" si="26"/>
        <v>3067951</v>
      </c>
      <c r="J83">
        <f t="shared" si="27"/>
        <v>7185</v>
      </c>
      <c r="K83" s="4">
        <f t="shared" si="16"/>
        <v>3.8199999999999998E-2</v>
      </c>
      <c r="L83">
        <f t="shared" si="17"/>
        <v>0.09</v>
      </c>
      <c r="M83" s="4">
        <f t="shared" si="14"/>
        <v>117.19572819999999</v>
      </c>
      <c r="N83" s="4">
        <f t="shared" si="15"/>
        <v>276.11558999999994</v>
      </c>
    </row>
    <row r="84" spans="1:14">
      <c r="A84" t="str">
        <f t="shared" si="18"/>
        <v>MK|BR_CN|AFFLUENT_MN|NONE_YQ|19Q1Q4_CP|PO5020004141-9_SP|N/A_AC|AFF_OB|CON_U1|DCM</v>
      </c>
      <c r="B84" t="str">
        <f t="shared" si="19"/>
        <v>Verizon</v>
      </c>
      <c r="C84" t="str">
        <f t="shared" si="20"/>
        <v>MK|BR_CH|PD_DT|CROSS_PB|VER_FM|BAN_RT|CPM_PD|AFFLUENT-TRAVEL-SEGURO-VIAGEM_TG|NON_ST|NON_TS|NONE_SZ|728x90_AD|CM_IT|OO</v>
      </c>
      <c r="D84" t="str">
        <f t="shared" si="21"/>
        <v>252243068</v>
      </c>
      <c r="E84" t="str">
        <f t="shared" si="22"/>
        <v>Standard</v>
      </c>
      <c r="F84" t="str">
        <f t="shared" si="23"/>
        <v>MK|BR_CH|PD_DT|CROSS_PB|VER_FM|BAN_RT|CPM_PD|AFFLUENT-TRAVEL-SEGURO-VIAGEM_TG|NON_ST|NON_TS|NONE_SZ|728x90_AD|CM_IT|OO</v>
      </c>
      <c r="G84" t="str">
        <f t="shared" si="24"/>
        <v>448633466</v>
      </c>
      <c r="H84" t="str">
        <f t="shared" si="25"/>
        <v>Display</v>
      </c>
      <c r="I84">
        <f t="shared" si="26"/>
        <v>494158</v>
      </c>
      <c r="J84">
        <f t="shared" si="27"/>
        <v>25</v>
      </c>
      <c r="K84" s="4">
        <f t="shared" si="16"/>
        <v>3.8199999999999998E-2</v>
      </c>
      <c r="L84">
        <f t="shared" si="17"/>
        <v>0.09</v>
      </c>
      <c r="M84" s="4">
        <f t="shared" si="14"/>
        <v>18.8768356</v>
      </c>
      <c r="N84" s="4">
        <f t="shared" si="15"/>
        <v>44.474220000000003</v>
      </c>
    </row>
    <row r="85" spans="1:14">
      <c r="A85" t="str">
        <f t="shared" si="18"/>
        <v>MK|BR_CN|AFFLUENT_MN|NONE_YQ|19Q1Q4_CP|PO5020004141-9_SP|N/A_AC|AFF_OB|CON_U1|DCM</v>
      </c>
      <c r="B85" t="str">
        <f t="shared" si="19"/>
        <v>Verizon</v>
      </c>
      <c r="C85" t="str">
        <f t="shared" si="20"/>
        <v>MK|BR_CH|PD_DT|CROSS_PB|VER_FM|NAT_RT|CPM_PD|AFFLUENT-CABIFY-50OFF_TG|NON_ST|NON_TS|NONE_SZ|720x1280_AD|CM1_IT|OO</v>
      </c>
      <c r="D85" t="str">
        <f t="shared" si="21"/>
        <v>253727857</v>
      </c>
      <c r="E85" t="str">
        <f t="shared" si="22"/>
        <v>Dynamic Click</v>
      </c>
      <c r="F85" t="str">
        <f t="shared" si="23"/>
        <v>MK|BR_CH|PD_DT|CROSS_PB|VER_FM|NAT_RT|CPM_PD|AFFLUENT-CABIFY-50OFF_TG|NON_ST|NON_TS|NONE_SZ|720x1280_AD|CM1_IT|OO</v>
      </c>
      <c r="G85" t="str">
        <f t="shared" si="24"/>
        <v>449821429</v>
      </c>
      <c r="H85" t="str">
        <f t="shared" si="25"/>
        <v>Tracking</v>
      </c>
      <c r="I85">
        <f t="shared" si="26"/>
        <v>3437549</v>
      </c>
      <c r="J85">
        <f t="shared" si="27"/>
        <v>41978</v>
      </c>
      <c r="K85" s="4">
        <f t="shared" si="16"/>
        <v>3.5000000000000001E-3</v>
      </c>
      <c r="L85">
        <f t="shared" si="17"/>
        <v>0.02</v>
      </c>
      <c r="M85" s="4">
        <f t="shared" si="14"/>
        <v>146.923</v>
      </c>
      <c r="N85" s="4">
        <f t="shared" si="15"/>
        <v>839.56000000000006</v>
      </c>
    </row>
    <row r="86" spans="1:14">
      <c r="A86" t="str">
        <f t="shared" si="18"/>
        <v>MK|BR_CN|AFFLUENT_MN|NONE_YQ|19Q1Q4_CP|PO5020004141-9_SP|N/A_AC|AFF_OB|CON_U1|DCM</v>
      </c>
      <c r="B86" t="str">
        <f t="shared" si="19"/>
        <v>Verizon</v>
      </c>
      <c r="C86" t="str">
        <f t="shared" si="20"/>
        <v>MK|BR_CH|PD_DT|CROSS_PB|VER_FM|NAT_RT|CPM_PD|AFFLUENT-SHOPPING-GARANTIA-ESTENDIDA_TG|NON_ST|NON_TS|NONE_SZ|1080x1920_AD|CM1_IT|OO</v>
      </c>
      <c r="D86" t="str">
        <f t="shared" si="21"/>
        <v>256267110</v>
      </c>
      <c r="E86" t="str">
        <f t="shared" si="22"/>
        <v>Dynamic Click</v>
      </c>
      <c r="F86" t="str">
        <f t="shared" si="23"/>
        <v>MK|BR_CH|PD_DT|CROSS_PB|VER_FM|NAT_RT|CPM_PD|AFFLUENT-SHOPPING-GARANTIA-ESTENDIDA_TG|NON_ST|NON_TS|NONE_SZ|1080x1920_AD|CM1_IT|OO</v>
      </c>
      <c r="G86" t="str">
        <f t="shared" si="24"/>
        <v>452047343</v>
      </c>
      <c r="H86" t="str">
        <f t="shared" si="25"/>
        <v>Tracking</v>
      </c>
      <c r="I86">
        <f t="shared" si="26"/>
        <v>0</v>
      </c>
      <c r="J86">
        <f t="shared" si="27"/>
        <v>1</v>
      </c>
      <c r="K86" s="4">
        <f t="shared" si="16"/>
        <v>3.5000000000000001E-3</v>
      </c>
      <c r="L86">
        <f t="shared" si="17"/>
        <v>0.02</v>
      </c>
      <c r="M86" s="4">
        <f t="shared" si="14"/>
        <v>3.5000000000000001E-3</v>
      </c>
      <c r="N86" s="4">
        <f t="shared" si="15"/>
        <v>0.02</v>
      </c>
    </row>
    <row r="87" spans="1:14">
      <c r="A87" t="str">
        <f t="shared" si="18"/>
        <v>MK|BR_CN|AFFLUENT_MN|NONE_YQ|19Q1Q4_CP|PO5020004141-9_SP|N/A_AC|AFF_OB|CON_U1|DCM</v>
      </c>
      <c r="B87" t="str">
        <f t="shared" si="19"/>
        <v>Verizon</v>
      </c>
      <c r="C87" t="str">
        <f t="shared" si="20"/>
        <v>MK|BR_CH|PD_DT|CROSS_PB|VER_FM|NAT_RT|CPM_PD|AFFLUENT-SHOPPING-GARANTIA-ESTENDIDA_TG|NON_ST|NON_TS|NONE_SZ|720X280_AD|CM1_IT|OO</v>
      </c>
      <c r="D87" t="str">
        <f t="shared" si="21"/>
        <v>255811106</v>
      </c>
      <c r="E87" t="str">
        <f t="shared" si="22"/>
        <v>Dynamic Click</v>
      </c>
      <c r="F87" t="str">
        <f t="shared" si="23"/>
        <v>MK|BR_CH|PD_DT|CROSS_PB|VER_FM|NAT_RT|CPM_PD|AFFLUENT-SHOPPING-GARANTIA-ESTENDIDA_TG|NON_ST|NON_TS|NONE_SZ|720X280_AD|CM1_IT|OO</v>
      </c>
      <c r="G87" t="str">
        <f t="shared" si="24"/>
        <v>452092657</v>
      </c>
      <c r="H87" t="str">
        <f t="shared" si="25"/>
        <v>Tracking</v>
      </c>
      <c r="I87">
        <f t="shared" si="26"/>
        <v>257205</v>
      </c>
      <c r="J87">
        <f t="shared" si="27"/>
        <v>4623</v>
      </c>
      <c r="K87" s="4">
        <f t="shared" si="16"/>
        <v>3.5000000000000001E-3</v>
      </c>
      <c r="L87">
        <f t="shared" si="17"/>
        <v>0.02</v>
      </c>
      <c r="M87" s="4">
        <f t="shared" si="14"/>
        <v>16.180500000000002</v>
      </c>
      <c r="N87" s="4">
        <f t="shared" si="15"/>
        <v>92.460000000000008</v>
      </c>
    </row>
    <row r="88" spans="1:14">
      <c r="A88" t="str">
        <f t="shared" si="18"/>
        <v>MK|BR_CN|AFFLUENT_MN|NONE_YQ|19Q1Q4_CP|PO5020004141-9_SP|N/A_AC|AFF_OB|CON_U1|DCM</v>
      </c>
      <c r="B88" t="str">
        <f t="shared" si="19"/>
        <v>Verizon</v>
      </c>
      <c r="C88" t="str">
        <f t="shared" si="20"/>
        <v>MK|BR_CH|PD_DT|CROSS_PB|VER_FM|NAT_RT|CPM_PD|AFFLUENT-SHOPPING-PROTECAO-DE-PRECO_TG|NON_ST|NON_TS|NONE_SZ|720X280_AD|CM1_IT|OO</v>
      </c>
      <c r="D88" t="str">
        <f t="shared" si="21"/>
        <v>256123885</v>
      </c>
      <c r="E88" t="str">
        <f t="shared" si="22"/>
        <v>Dynamic Click</v>
      </c>
      <c r="F88" t="str">
        <f t="shared" si="23"/>
        <v>MK|BR_CH|PD_DT|CROSS_PB|VER_FM|NAT_RT|CPM_PD|AFFLUENT-SHOPPING-PROTECAO-DE-PRECO_TG|NON_ST|NON_TS|NONE_SZ|720X280_AD|CM1_IT|OO</v>
      </c>
      <c r="G88" t="str">
        <f t="shared" si="24"/>
        <v>452046869</v>
      </c>
      <c r="H88" t="str">
        <f t="shared" si="25"/>
        <v>Tracking</v>
      </c>
      <c r="I88">
        <f t="shared" si="26"/>
        <v>420587</v>
      </c>
      <c r="J88">
        <f t="shared" si="27"/>
        <v>6862</v>
      </c>
      <c r="K88" s="4">
        <f t="shared" si="16"/>
        <v>3.5000000000000001E-3</v>
      </c>
      <c r="L88">
        <f t="shared" si="17"/>
        <v>0.02</v>
      </c>
      <c r="M88" s="4">
        <f t="shared" si="14"/>
        <v>24.016999999999999</v>
      </c>
      <c r="N88" s="4">
        <f t="shared" si="15"/>
        <v>137.24</v>
      </c>
    </row>
    <row r="89" spans="1:14">
      <c r="A89" t="str">
        <f t="shared" si="18"/>
        <v>MK|BR_CN|AFFLUENT_MN|NONE_YQ|19Q1Q4_CP|PO5020004141-9_SP|N/A_AC|AFF_OB|CON_U1|DCM</v>
      </c>
      <c r="B89" t="str">
        <f t="shared" si="19"/>
        <v>Verizon</v>
      </c>
      <c r="C89" t="str">
        <f t="shared" si="20"/>
        <v>MK|BR_CH|PD_DT|CROSS_PB|VER_FM|NAT_RT|CPM_PD|AFFLUENT-TRAVEL-CHIP_TG|NON_ST|NON_TS|NONE_SZ|720x1280_AD|CM1_IT|OO</v>
      </c>
      <c r="D89" t="str">
        <f t="shared" si="21"/>
        <v>253727863</v>
      </c>
      <c r="E89" t="str">
        <f t="shared" si="22"/>
        <v>Dynamic Click</v>
      </c>
      <c r="F89" t="str">
        <f t="shared" si="23"/>
        <v>MK|BR_CH|PD_DT|CROSS_PB|VER_FM|NAT_RT|CPM_PD|AFFLUENT-TRAVEL-CHIP_TG|NON_ST|NON_TS|NONE_SZ|720x1280_AD|CM1_IT|OO</v>
      </c>
      <c r="G89" t="str">
        <f t="shared" si="24"/>
        <v>449821423</v>
      </c>
      <c r="H89" t="str">
        <f t="shared" si="25"/>
        <v>Tracking</v>
      </c>
      <c r="I89">
        <f t="shared" si="26"/>
        <v>359355</v>
      </c>
      <c r="J89">
        <f t="shared" si="27"/>
        <v>4675</v>
      </c>
      <c r="K89" s="4">
        <f t="shared" si="16"/>
        <v>3.5000000000000001E-3</v>
      </c>
      <c r="L89">
        <f t="shared" si="17"/>
        <v>0.02</v>
      </c>
      <c r="M89" s="4">
        <f t="shared" si="14"/>
        <v>16.362500000000001</v>
      </c>
      <c r="N89" s="4">
        <f t="shared" si="15"/>
        <v>93.5</v>
      </c>
    </row>
    <row r="90" spans="1:14">
      <c r="A90" t="str">
        <f t="shared" si="18"/>
        <v>MK|BR_CN|AFFLUENT_MN|NONE_YQ|19Q1Q4_CP|PO5020004141-9_SP|N/A_AC|AFF_OB|CON_U1|DCM</v>
      </c>
      <c r="B90" t="str">
        <f t="shared" si="19"/>
        <v>Verizon</v>
      </c>
      <c r="C90" t="str">
        <f t="shared" si="20"/>
        <v>MK|BR_CH|PD_DT|CROSS_PB|VER_FM|NAT_RT|CPM_PD|AFFLUENT-TRAVEL-DIGITAL-CONCIERGE_TG|NON_ST|NON_TS|NONE_SZ|720x1280_AD|CM1_IT|OO</v>
      </c>
      <c r="D90" t="str">
        <f t="shared" si="21"/>
        <v>252165329</v>
      </c>
      <c r="E90" t="str">
        <f t="shared" si="22"/>
        <v>Dynamic Click</v>
      </c>
      <c r="F90" t="str">
        <f t="shared" si="23"/>
        <v>MK|BR_CH|PD_DT|CROSS_PB|VER_FM|NAT_RT|CPM_PD|AFFLUENT-TRAVEL-DIGITAL-CONCIERGE_TG|NON_ST|NON_TS|NONE_SZ|720x1280_AD|CM1_IT|OO</v>
      </c>
      <c r="G90" t="str">
        <f t="shared" si="24"/>
        <v>448630528</v>
      </c>
      <c r="H90" t="str">
        <f t="shared" si="25"/>
        <v>Tracking</v>
      </c>
      <c r="I90">
        <f t="shared" si="26"/>
        <v>0</v>
      </c>
      <c r="J90">
        <f t="shared" si="27"/>
        <v>9613</v>
      </c>
      <c r="K90" s="4">
        <f t="shared" si="16"/>
        <v>3.5000000000000001E-3</v>
      </c>
      <c r="L90">
        <f t="shared" si="17"/>
        <v>0.02</v>
      </c>
      <c r="M90" s="4">
        <f t="shared" si="14"/>
        <v>33.645499999999998</v>
      </c>
      <c r="N90" s="4">
        <f t="shared" si="15"/>
        <v>192.26</v>
      </c>
    </row>
    <row r="91" spans="1:14">
      <c r="A91" t="str">
        <f t="shared" si="18"/>
        <v>MK|BR_CN|AFFLUENT_MN|NONE_YQ|19Q1Q4_CP|PO5020004141-9_SP|N/A_AC|AFF_OB|CON_U1|DCM</v>
      </c>
      <c r="B91" t="str">
        <f t="shared" si="19"/>
        <v>Verizon</v>
      </c>
      <c r="C91" t="str">
        <f t="shared" si="20"/>
        <v>MK|BR_CH|PD_DT|CROSS_PB|VER_FM|NAT_RT|CPM_PD|AFFLUENT-TRAVEL-MEDICO-ONLINE_TG|NON_ST|NON_TS|NONE_SZ|1080x1920_AD|CM1_IT|OO</v>
      </c>
      <c r="D91" t="str">
        <f t="shared" si="21"/>
        <v>252515875</v>
      </c>
      <c r="E91" t="str">
        <f t="shared" si="22"/>
        <v>Dynamic Click</v>
      </c>
      <c r="F91" t="str">
        <f t="shared" si="23"/>
        <v>MK|BR_CH|PD_DT|CROSS_PB|VER_FM|NAT_RT|CPM_PD|AFFLUENT-TRAVEL-MEDICO-ONLINE_TG|NON_ST|NON_TS|NONE_SZ|1080x1920_AD|CM1_IT|OO</v>
      </c>
      <c r="G91" t="str">
        <f t="shared" si="24"/>
        <v>448504239</v>
      </c>
      <c r="H91" t="str">
        <f t="shared" si="25"/>
        <v>Tracking</v>
      </c>
      <c r="I91">
        <f t="shared" si="26"/>
        <v>0</v>
      </c>
      <c r="J91">
        <f t="shared" si="27"/>
        <v>3364</v>
      </c>
      <c r="K91" s="4">
        <f t="shared" si="16"/>
        <v>3.5000000000000001E-3</v>
      </c>
      <c r="L91">
        <f t="shared" si="17"/>
        <v>0.02</v>
      </c>
      <c r="M91" s="4">
        <f t="shared" si="14"/>
        <v>11.774000000000001</v>
      </c>
      <c r="N91" s="4">
        <f t="shared" si="15"/>
        <v>67.28</v>
      </c>
    </row>
    <row r="92" spans="1:14">
      <c r="A92" t="str">
        <f t="shared" si="18"/>
        <v>MK|BR_CN|AFFLUENT_MN|NONE_YQ|19Q1Q4_CP|PO5020004141-9_SP|N/A_AC|AFF_OB|CON_U1|DCM</v>
      </c>
      <c r="B92" t="str">
        <f t="shared" si="19"/>
        <v>Verizon</v>
      </c>
      <c r="C92" t="str">
        <f t="shared" si="20"/>
        <v>MK|BR_CH|PD_DT|CROSS_PB|VER_FM|NAT_RT|CPM_PD|AFFLUENT-TRAVEL-SEGURO-VIAGEM_TG|NON_ST|NON_TS|NONE_SZ|1080x1920_AD|CM1_IT|OO</v>
      </c>
      <c r="D92" t="str">
        <f t="shared" si="21"/>
        <v>252516007</v>
      </c>
      <c r="E92" t="str">
        <f t="shared" si="22"/>
        <v>Dynamic Click</v>
      </c>
      <c r="F92" t="str">
        <f t="shared" si="23"/>
        <v>MK|BR_CH|PD_DT|CROSS_PB|VER_FM|NAT_RT|CPM_PD|AFFLUENT-TRAVEL-SEGURO-VIAGEM_TG|NON_ST|NON_TS|NONE_SZ|1080x1920_AD|CM1_IT|OO</v>
      </c>
      <c r="G92" t="str">
        <f t="shared" si="24"/>
        <v>448564892</v>
      </c>
      <c r="H92" t="str">
        <f t="shared" si="25"/>
        <v>Tracking</v>
      </c>
      <c r="I92">
        <f t="shared" si="26"/>
        <v>0</v>
      </c>
      <c r="J92">
        <f t="shared" si="27"/>
        <v>3679</v>
      </c>
      <c r="K92" s="4">
        <f t="shared" si="16"/>
        <v>3.5000000000000001E-3</v>
      </c>
      <c r="L92">
        <f t="shared" si="17"/>
        <v>0.02</v>
      </c>
      <c r="M92" s="4">
        <f t="shared" si="14"/>
        <v>12.8765</v>
      </c>
      <c r="N92" s="4">
        <f t="shared" si="15"/>
        <v>73.58</v>
      </c>
    </row>
    <row r="93" spans="1:14">
      <c r="A93" t="str">
        <f t="shared" si="18"/>
        <v>MK|BR_CN|AFFLUENT_MN|NONE_YQ|19Q1Q4_CP|PO5020004141-9_SP|N/A_AC|AFF_OB|CON_U1|DCM</v>
      </c>
      <c r="B93" t="str">
        <f t="shared" si="19"/>
        <v>Verizon</v>
      </c>
      <c r="C93" t="str">
        <f t="shared" si="20"/>
        <v>MK|BR_CH|PV_DT|CROSS_PB|VER_FM|VID_RT|CPM_PD|AFFLUENT-AWARENESS-WATER_TG|NON_ST|NON_TS|NONE_SZ|Video :30_AD|CM_IT|OO</v>
      </c>
      <c r="D93" t="str">
        <f t="shared" si="21"/>
        <v>255479357</v>
      </c>
      <c r="E93" t="str">
        <f t="shared" si="22"/>
        <v>Rich Media display banner</v>
      </c>
      <c r="F93" t="str">
        <f t="shared" si="23"/>
        <v>MK|BR_CH|PV_DT|CROSS_PB|VER_FM|VID_RT|CPM_PD|AFFLUENT-AWARENESS-WATER_TG|NON_ST|NON_TS|NONE_SZ|Video :30_AD|CM_IT|OO</v>
      </c>
      <c r="G93" t="str">
        <f t="shared" si="24"/>
        <v>451760147</v>
      </c>
      <c r="H93" t="str">
        <f t="shared" si="25"/>
        <v>In-Stream Video</v>
      </c>
      <c r="I93">
        <f t="shared" si="26"/>
        <v>3413445</v>
      </c>
      <c r="J93">
        <f t="shared" si="27"/>
        <v>28981</v>
      </c>
      <c r="K93" s="4">
        <f t="shared" si="16"/>
        <v>0.6</v>
      </c>
      <c r="L93">
        <f t="shared" si="17"/>
        <v>0.35</v>
      </c>
      <c r="M93" s="4">
        <f t="shared" si="14"/>
        <v>2048.067</v>
      </c>
      <c r="N93" s="4">
        <f t="shared" si="15"/>
        <v>1194.7057500000001</v>
      </c>
    </row>
    <row r="94" spans="1:14">
      <c r="A94" t="str">
        <f t="shared" si="18"/>
        <v>MK|BR_CN|AFFLUENT_MN|NONE_YQ|19Q1Q4_CP|PO5020004141-9_SP|N/A_AC|AFF_OB|CON_U1|DCM</v>
      </c>
      <c r="B94" t="str">
        <f t="shared" si="19"/>
        <v>Vivo Ads</v>
      </c>
      <c r="C94" t="str">
        <f t="shared" si="20"/>
        <v>MK|BR_CH|DDSP_DT|CROSS_PB|VVO_FM|PUSH_RT|CPM_PD|AFFLUENT-TRAVEL-AIRPORT-COMPANION_TG|NON_ST|NON_TS|NONE_SZ|1000X572_AD|CM1_IT|OO</v>
      </c>
      <c r="D94" t="str">
        <f t="shared" si="21"/>
        <v>256265082</v>
      </c>
      <c r="E94" t="str">
        <f t="shared" si="22"/>
        <v>Dynamic Click</v>
      </c>
      <c r="F94" t="str">
        <f t="shared" si="23"/>
        <v>MK|BR_CH|DDSP_DT|CROSS_PB|VVO_FM|PUSH_RT|CPM_PD|AFFLUENT-TRAVEL-AIRPORT-COMPANION_TG|NON_ST|NON_TS|NONE_SZ|1000X572_AD|CM1_IT|OO</v>
      </c>
      <c r="G94" t="str">
        <f t="shared" si="24"/>
        <v>452045993</v>
      </c>
      <c r="H94" t="str">
        <f t="shared" si="25"/>
        <v>Tracking</v>
      </c>
      <c r="I94">
        <f t="shared" si="26"/>
        <v>0</v>
      </c>
      <c r="J94">
        <f t="shared" si="27"/>
        <v>1</v>
      </c>
      <c r="K94" s="4">
        <f t="shared" si="16"/>
        <v>3.5000000000000001E-3</v>
      </c>
      <c r="L94">
        <f t="shared" si="17"/>
        <v>0.02</v>
      </c>
      <c r="M94" s="4">
        <f t="shared" si="14"/>
        <v>3.5000000000000001E-3</v>
      </c>
      <c r="N94" s="4">
        <f t="shared" si="15"/>
        <v>0.02</v>
      </c>
    </row>
    <row r="95" spans="1:14">
      <c r="A95" t="str">
        <f t="shared" si="18"/>
        <v>MK|BR_CN|AFFLUENT_MN|NONE_YQ|19Q1Q4_CP|PO5020004141-9_SP|N/A_AC|AFF_OB|CON_U1|DCM</v>
      </c>
      <c r="B95" t="str">
        <f t="shared" si="19"/>
        <v>teads.tv</v>
      </c>
      <c r="C95" t="str">
        <f t="shared" si="20"/>
        <v>MK|BR_CH|PD_DT|CROSS_PB|TEAD_FM|CAR_RT|CPM_PD|AFFLUENT-SHOPPING-GARANTIA-ESTENDIDA_TG|NON_ST|NON_TS|NONE_SZ|1X1_AD|CM1_IT|OO</v>
      </c>
      <c r="D95" t="str">
        <f t="shared" si="21"/>
        <v>253647783</v>
      </c>
      <c r="E95" t="str">
        <f t="shared" si="22"/>
        <v>Dynamic Click</v>
      </c>
      <c r="F95" t="str">
        <f t="shared" si="23"/>
        <v>MK|BR_CH|PD_DT|CROSS_PB|TEAD_FM|CAR_RT|CPM_PD|AFFLUENT-SHOPPING-GARANTIA-ESTENDIDA_TG|NON_ST|NON_TS|NONE_SZ|1X1_AD|CM1_IT|OO</v>
      </c>
      <c r="G95" t="str">
        <f t="shared" si="24"/>
        <v>449552094</v>
      </c>
      <c r="H95" t="str">
        <f t="shared" si="25"/>
        <v>Tracking</v>
      </c>
      <c r="I95">
        <f t="shared" si="26"/>
        <v>753776</v>
      </c>
      <c r="J95">
        <f t="shared" si="27"/>
        <v>1743</v>
      </c>
      <c r="K95" s="4">
        <f t="shared" si="16"/>
        <v>3.5000000000000001E-3</v>
      </c>
      <c r="L95">
        <f t="shared" si="17"/>
        <v>0.02</v>
      </c>
      <c r="M95" s="4">
        <f t="shared" si="14"/>
        <v>6.1005000000000003</v>
      </c>
      <c r="N95" s="4">
        <f t="shared" si="15"/>
        <v>34.86</v>
      </c>
    </row>
    <row r="96" spans="1:14">
      <c r="A96" t="str">
        <f t="shared" si="18"/>
        <v>MK|BR_CN|AFFLUENT_MN|NONE_YQ|19Q1Q4_CP|PO5020004141-9_SP|N/A_AC|AFF_OB|CON_U1|DCM</v>
      </c>
      <c r="B96" t="str">
        <f t="shared" si="19"/>
        <v>teads.tv</v>
      </c>
      <c r="C96" t="str">
        <f t="shared" si="20"/>
        <v>MK|BR_CH|PD_DT|CROSS_PB|TEAD_FM|CAR_RT|CPM_PD|AFFLUENT-SHOPPING-PROTECAO-DE-PRECO_TG|NON_ST|NON_TS|NONE_SZ|1X1_AD|CM1_IT|OO</v>
      </c>
      <c r="D96" t="str">
        <f t="shared" si="21"/>
        <v>253647792</v>
      </c>
      <c r="E96" t="str">
        <f t="shared" si="22"/>
        <v>Dynamic Click</v>
      </c>
      <c r="F96" t="str">
        <f t="shared" si="23"/>
        <v>MK|BR_CH|PD_DT|CROSS_PB|TEAD_FM|CAR_RT|CPM_PD|AFFLUENT-SHOPPING-PROTECAO-DE-PRECO_TG|NON_ST|NON_TS|NONE_SZ|1X1_AD|CM1_IT|OO</v>
      </c>
      <c r="G96" t="str">
        <f t="shared" si="24"/>
        <v>449552103</v>
      </c>
      <c r="H96" t="str">
        <f t="shared" si="25"/>
        <v>Tracking</v>
      </c>
      <c r="I96">
        <f t="shared" si="26"/>
        <v>208697</v>
      </c>
      <c r="J96">
        <f t="shared" si="27"/>
        <v>609</v>
      </c>
      <c r="K96" s="4">
        <f t="shared" si="16"/>
        <v>3.5000000000000001E-3</v>
      </c>
      <c r="L96">
        <f t="shared" si="17"/>
        <v>0.02</v>
      </c>
      <c r="M96" s="4">
        <f t="shared" si="14"/>
        <v>2.1315</v>
      </c>
      <c r="N96" s="4">
        <f t="shared" si="15"/>
        <v>12.18</v>
      </c>
    </row>
    <row r="97" spans="1:14">
      <c r="A97" t="str">
        <f t="shared" si="18"/>
        <v>MK|BR_CN|AFFLUENT_MN|NONE_YQ|19Q1Q4_CP|PO5020004141-9_SP|N/A_AC|AFF_OB|CON_U1|DCM</v>
      </c>
      <c r="B97" t="str">
        <f t="shared" si="19"/>
        <v>teads.tv</v>
      </c>
      <c r="C97" t="str">
        <f t="shared" si="20"/>
        <v>MK|BR_CH|PD_DT|CROSS_PB|TEAD_FM|CAR_RT|CPM_PD|AFFLUENT-TRAVEL-MEDICO-ONLINE_TG|NON_ST|NON_TS|NONE_SZ|1X1_AD|CM1_IT|OO</v>
      </c>
      <c r="D97" t="str">
        <f t="shared" si="21"/>
        <v>253647807</v>
      </c>
      <c r="E97" t="str">
        <f t="shared" si="22"/>
        <v>Dynamic Click</v>
      </c>
      <c r="F97" t="str">
        <f t="shared" si="23"/>
        <v>MK|BR_CH|PD_DT|CROSS_PB|TEAD_FM|CAR_RT|CPM_PD|AFFLUENT-TRAVEL-MEDICO-ONLINE_TG|NON_ST|NON_TS|NONE_SZ|1X1_AD|CM1_IT|OO</v>
      </c>
      <c r="G97" t="str">
        <f t="shared" si="24"/>
        <v>449552118</v>
      </c>
      <c r="H97" t="str">
        <f t="shared" si="25"/>
        <v>Tracking</v>
      </c>
      <c r="I97">
        <f t="shared" si="26"/>
        <v>593316</v>
      </c>
      <c r="J97">
        <f t="shared" si="27"/>
        <v>1424</v>
      </c>
      <c r="K97" s="4">
        <f t="shared" si="16"/>
        <v>3.5000000000000001E-3</v>
      </c>
      <c r="L97">
        <f t="shared" si="17"/>
        <v>0.02</v>
      </c>
      <c r="M97" s="4">
        <f t="shared" si="14"/>
        <v>4.984</v>
      </c>
      <c r="N97" s="4">
        <f t="shared" si="15"/>
        <v>28.48</v>
      </c>
    </row>
    <row r="98" spans="1:14">
      <c r="A98" t="str">
        <f t="shared" si="18"/>
        <v>MK|BR_CN|AFFLUENT_MN|NONE_YQ|19Q1Q4_CP|PO5020004141-9_SP|N/A_AC|AFF_OB|CON_U1|DCM</v>
      </c>
      <c r="B98" t="str">
        <f t="shared" si="19"/>
        <v>teads.tv</v>
      </c>
      <c r="C98" t="str">
        <f t="shared" si="20"/>
        <v>MK|BR_CH|PD_DT|CROSS_PB|TEAD_FM|CAR_RT|CPM_PD|AFFLUENT-TRAVEL-MOBILE-CHIP_TG|NON_ST|NON_TS|NONE_SZ|1X1_AD|CM1_IT|OO</v>
      </c>
      <c r="D98" t="str">
        <f t="shared" si="21"/>
        <v>253647798</v>
      </c>
      <c r="E98" t="str">
        <f t="shared" si="22"/>
        <v>Dynamic Click</v>
      </c>
      <c r="F98" t="str">
        <f t="shared" si="23"/>
        <v>MK|BR_CH|PD_DT|CROSS_PB|TEAD_FM|CAR_RT|CPM_PD|AFFLUENT-TRAVEL-MOBILE-CHIP_TG|NON_ST|NON_TS|NONE_SZ|1X1_AD|CM1_IT|OO</v>
      </c>
      <c r="G98" t="str">
        <f t="shared" si="24"/>
        <v>449552109</v>
      </c>
      <c r="H98" t="str">
        <f t="shared" si="25"/>
        <v>Tracking</v>
      </c>
      <c r="I98">
        <f t="shared" si="26"/>
        <v>568543</v>
      </c>
      <c r="J98">
        <f t="shared" si="27"/>
        <v>1611</v>
      </c>
      <c r="K98" s="4">
        <f t="shared" si="16"/>
        <v>3.5000000000000001E-3</v>
      </c>
      <c r="L98">
        <f t="shared" si="17"/>
        <v>0.02</v>
      </c>
      <c r="M98" s="4">
        <f t="shared" si="14"/>
        <v>5.6385000000000005</v>
      </c>
      <c r="N98" s="4">
        <f t="shared" si="15"/>
        <v>32.22</v>
      </c>
    </row>
    <row r="99" spans="1:14">
      <c r="A99" t="str">
        <f t="shared" si="18"/>
        <v>MK|BR_CN|AFFLUENT_MN|NONE_YQ|19Q1Q4_CP|PO5020004141-9_SP|N/A_AC|AFF_OB|CON_U1|DCM</v>
      </c>
      <c r="B99" t="str">
        <f t="shared" si="19"/>
        <v>teads.tv</v>
      </c>
      <c r="C99" t="str">
        <f t="shared" si="20"/>
        <v>MK|BR_CH|PD_DT|CROSS_PB|TEAD_FM|FLOW_RT|CPM_PD|AFFLUENT-SHOPPING-GARANTIA-ESTENDIDA_TG|NON_ST|NON_TS|NONE_SZ|1X1_AD|CM1_IT|OO</v>
      </c>
      <c r="D99" t="str">
        <f t="shared" si="21"/>
        <v>253647789</v>
      </c>
      <c r="E99" t="str">
        <f t="shared" si="22"/>
        <v>Dynamic Click</v>
      </c>
      <c r="F99" t="str">
        <f t="shared" si="23"/>
        <v>MK|BR_CH|PD_DT|CROSS_PB|TEAD_FM|FLOW_RT|CPM_PD|AFFLUENT-SHOPPING-GARANTIA-ESTENDIDA_TG|NON_ST|NON_TS|NONE_SZ|1X1_AD|CM1_IT|OO</v>
      </c>
      <c r="G99" t="str">
        <f t="shared" si="24"/>
        <v>449552100</v>
      </c>
      <c r="H99" t="str">
        <f t="shared" si="25"/>
        <v>Tracking</v>
      </c>
      <c r="I99">
        <f t="shared" si="26"/>
        <v>343601</v>
      </c>
      <c r="J99">
        <f t="shared" si="27"/>
        <v>692</v>
      </c>
      <c r="K99" s="4">
        <f t="shared" si="16"/>
        <v>3.5000000000000001E-3</v>
      </c>
      <c r="L99">
        <f t="shared" si="17"/>
        <v>0.02</v>
      </c>
      <c r="M99" s="4">
        <f t="shared" ref="M99:M162" si="28">IF(E99="Dynamic Click",J99*K99,K99*$I99/1000)</f>
        <v>2.4220000000000002</v>
      </c>
      <c r="N99" s="4">
        <f t="shared" ref="N99:N162" si="29">IF(E99="Dynamic Click",J99*L99,L99*$I99/1000)</f>
        <v>13.84</v>
      </c>
    </row>
    <row r="100" spans="1:14">
      <c r="A100" t="str">
        <f t="shared" si="18"/>
        <v>MK|BR_CN|AFFLUENT_MN|NONE_YQ|19Q1Q4_CP|PO5020004141-9_SP|N/A_AC|AFF_OB|CON_U1|DCM</v>
      </c>
      <c r="B100" t="str">
        <f t="shared" si="19"/>
        <v>teads.tv</v>
      </c>
      <c r="C100" t="str">
        <f t="shared" si="20"/>
        <v>MK|BR_CH|PD_DT|CROSS_PB|TEAD_FM|FLOW_RT|CPM_PD|AFFLUENT-SHOPPING-PROTECAO-DE-PRECO_TG|NON_ST|NON_TS|NONE_SZ|1X1_AD|CM1_IT|OO</v>
      </c>
      <c r="D100" t="str">
        <f t="shared" si="21"/>
        <v>253647801</v>
      </c>
      <c r="E100" t="str">
        <f t="shared" si="22"/>
        <v>Dynamic Click</v>
      </c>
      <c r="F100" t="str">
        <f t="shared" si="23"/>
        <v>MK|BR_CH|PD_DT|CROSS_PB|TEAD_FM|FLOW_RT|CPM_PD|AFFLUENT-SHOPPING-PROTECAO-DE-PRECO_TG|NON_ST|NON_TS|NONE_SZ|1X1_AD|CM1_IT|OO</v>
      </c>
      <c r="G100" t="str">
        <f t="shared" si="24"/>
        <v>449552112</v>
      </c>
      <c r="H100" t="str">
        <f t="shared" si="25"/>
        <v>Tracking</v>
      </c>
      <c r="I100">
        <f t="shared" si="26"/>
        <v>389500</v>
      </c>
      <c r="J100">
        <f t="shared" si="27"/>
        <v>854</v>
      </c>
      <c r="K100" s="4">
        <f t="shared" si="16"/>
        <v>3.5000000000000001E-3</v>
      </c>
      <c r="L100">
        <f t="shared" si="17"/>
        <v>0.02</v>
      </c>
      <c r="M100" s="4">
        <f t="shared" si="28"/>
        <v>2.9889999999999999</v>
      </c>
      <c r="N100" s="4">
        <f t="shared" si="29"/>
        <v>17.080000000000002</v>
      </c>
    </row>
    <row r="101" spans="1:14">
      <c r="A101" t="str">
        <f t="shared" si="18"/>
        <v>MK|BR_CN|AFFLUENT_MN|NONE_YQ|19Q1Q4_CP|PO5020004141-9_SP|N/A_AC|AFF_OB|CON_U1|DCM</v>
      </c>
      <c r="B101" t="str">
        <f t="shared" si="19"/>
        <v>teads.tv</v>
      </c>
      <c r="C101" t="str">
        <f t="shared" si="20"/>
        <v>MK|BR_CH|PD_DT|CROSS_PB|TEAD_FM|FLOW_RT|CPM_PD|AFFLUENT-TRAVEL-MEDICO-ONLINE_TG|NON_ST|NON_TS|NONE_SZ|1X1_AD|CM1_IT|OO</v>
      </c>
      <c r="D101" t="str">
        <f t="shared" si="21"/>
        <v>253667154</v>
      </c>
      <c r="E101" t="str">
        <f t="shared" si="22"/>
        <v>Dynamic Click</v>
      </c>
      <c r="F101" t="str">
        <f t="shared" si="23"/>
        <v>MK|BR_CH|PD_DT|CROSS_PB|TEAD_FM|FLOW_RT|CPM_PD|AFFLUENT-TRAVEL-MEDICO-ONLINE_TG|NON_ST|NON_TS|NONE_SZ|1X1_AD|CM1_IT|OO</v>
      </c>
      <c r="G101" t="str">
        <f t="shared" si="24"/>
        <v>449672884</v>
      </c>
      <c r="H101" t="str">
        <f t="shared" si="25"/>
        <v>Tracking</v>
      </c>
      <c r="I101">
        <f t="shared" si="26"/>
        <v>575202</v>
      </c>
      <c r="J101">
        <f t="shared" si="27"/>
        <v>1186</v>
      </c>
      <c r="K101" s="4">
        <f t="shared" si="16"/>
        <v>3.5000000000000001E-3</v>
      </c>
      <c r="L101">
        <f t="shared" si="17"/>
        <v>0.02</v>
      </c>
      <c r="M101" s="4">
        <f t="shared" si="28"/>
        <v>4.1509999999999998</v>
      </c>
      <c r="N101" s="4">
        <f t="shared" si="29"/>
        <v>23.72</v>
      </c>
    </row>
    <row r="102" spans="1:14">
      <c r="A102" t="str">
        <f t="shared" si="18"/>
        <v>MK|BR_CN|AFFLUENT_MN|NONE_YQ|19Q1Q4_CP|PO5020004141-9_SP|N/A_AC|AFF_OB|CON_U1|DCM</v>
      </c>
      <c r="B102" t="str">
        <f t="shared" si="19"/>
        <v>teads.tv</v>
      </c>
      <c r="C102" t="str">
        <f t="shared" si="20"/>
        <v>MK|BR_CH|PD_DT|CROSS_PB|TEAD_FM|FLOW_RT|CPM_PD|AFFLUENT-TRAVEL-MOBILE-CHIP_TG|NON_ST|NON_TS|NONE_SZ|1X1_AD|CM1_IT|OO</v>
      </c>
      <c r="D102" t="str">
        <f t="shared" si="21"/>
        <v>253647810</v>
      </c>
      <c r="E102" t="str">
        <f t="shared" si="22"/>
        <v>Dynamic Click</v>
      </c>
      <c r="F102" t="str">
        <f t="shared" si="23"/>
        <v>MK|BR_CH|PD_DT|CROSS_PB|TEAD_FM|FLOW_RT|CPM_PD|AFFLUENT-TRAVEL-MOBILE-CHIP_TG|NON_ST|NON_TS|NONE_SZ|1X1_AD|CM1_IT|OO</v>
      </c>
      <c r="G102" t="str">
        <f t="shared" si="24"/>
        <v>449552121</v>
      </c>
      <c r="H102" t="str">
        <f t="shared" si="25"/>
        <v>Tracking</v>
      </c>
      <c r="I102">
        <f t="shared" si="26"/>
        <v>372092</v>
      </c>
      <c r="J102">
        <f t="shared" si="27"/>
        <v>688</v>
      </c>
      <c r="K102" s="4">
        <f t="shared" si="16"/>
        <v>3.5000000000000001E-3</v>
      </c>
      <c r="L102">
        <f t="shared" si="17"/>
        <v>0.02</v>
      </c>
      <c r="M102" s="4">
        <f t="shared" si="28"/>
        <v>2.4079999999999999</v>
      </c>
      <c r="N102" s="4">
        <f t="shared" si="29"/>
        <v>13.76</v>
      </c>
    </row>
    <row r="103" spans="1:14">
      <c r="A103" t="str">
        <f t="shared" si="18"/>
        <v>MK|BR_CN|AFFLUENT_MN|NONE_YQ|19Q1Q4_CP|PO5020004141-9_SP|N/A_AC|AFF_OB|CON_U1|DCM</v>
      </c>
      <c r="B103" t="str">
        <f t="shared" si="19"/>
        <v>teads.tv</v>
      </c>
      <c r="C103" t="str">
        <f t="shared" si="20"/>
        <v>MK|BR_CH|PD_DT|CROSS_PB|TEAD_FM|SCL_RT|CPM_PD|AFFLUENT-SHOPPING-PROTECAO-DE-PRECO_TG|NON_ST|NON_TS|NONE_SZ|1X1_AD|CM1_IT|OO</v>
      </c>
      <c r="D103" t="str">
        <f t="shared" si="21"/>
        <v>253647795</v>
      </c>
      <c r="E103" t="str">
        <f t="shared" si="22"/>
        <v>Dynamic Click</v>
      </c>
      <c r="F103" t="str">
        <f t="shared" si="23"/>
        <v>MK|BR_CH|PD_DT|CROSS_PB|TEAD_FM|SCL_RT|CPM_PD|AFFLUENT-SHOPPING-PROTECAO-DE-PRECO_TG|NON_ST|NON_TS|NONE_SZ|1X1_AD|CM1_IT|OO</v>
      </c>
      <c r="G103" t="str">
        <f t="shared" si="24"/>
        <v>449552106</v>
      </c>
      <c r="H103" t="str">
        <f t="shared" si="25"/>
        <v>Tracking</v>
      </c>
      <c r="I103">
        <f t="shared" si="26"/>
        <v>396969</v>
      </c>
      <c r="J103">
        <f t="shared" si="27"/>
        <v>1391</v>
      </c>
      <c r="K103" s="4">
        <f t="shared" si="16"/>
        <v>3.5000000000000001E-3</v>
      </c>
      <c r="L103">
        <f t="shared" si="17"/>
        <v>0.02</v>
      </c>
      <c r="M103" s="4">
        <f t="shared" si="28"/>
        <v>4.8685</v>
      </c>
      <c r="N103" s="4">
        <f t="shared" si="29"/>
        <v>27.82</v>
      </c>
    </row>
    <row r="104" spans="1:14">
      <c r="A104" t="str">
        <f t="shared" si="18"/>
        <v>MK|BR_CN|AFFLUENT_MN|NONE_YQ|19Q1Q4_CP|PO5020004141-9_SP|N/A_AC|AFF_OB|CON_U1|DCM</v>
      </c>
      <c r="B104" t="str">
        <f t="shared" si="19"/>
        <v>teads.tv</v>
      </c>
      <c r="C104" t="str">
        <f t="shared" si="20"/>
        <v>MK|BR_CH|PD_DT|CROSS_PB|TEAD_FM|SCL_RT|CPM_PD|AFFLUENT-TRAVEL-MEDICO-ONLINE_TG|NON_ST|NON_TS|NONE_SZ|1X1_AD|CM1_IT|OO</v>
      </c>
      <c r="D104" t="str">
        <f t="shared" si="21"/>
        <v>253647813</v>
      </c>
      <c r="E104" t="str">
        <f t="shared" si="22"/>
        <v>Dynamic Click</v>
      </c>
      <c r="F104" t="str">
        <f t="shared" si="23"/>
        <v>MK|BR_CH|PD_DT|CROSS_PB|TEAD_FM|SCL_RT|CPM_PD|AFFLUENT-TRAVEL-MEDICO-ONLINE_TG|NON_ST|NON_TS|NONE_SZ|1X1_AD|CM1_IT|OO</v>
      </c>
      <c r="G104" t="str">
        <f t="shared" si="24"/>
        <v>449552124</v>
      </c>
      <c r="H104" t="str">
        <f t="shared" si="25"/>
        <v>Tracking</v>
      </c>
      <c r="I104">
        <f t="shared" si="26"/>
        <v>706467</v>
      </c>
      <c r="J104">
        <f t="shared" si="27"/>
        <v>2428</v>
      </c>
      <c r="K104" s="4">
        <f t="shared" si="16"/>
        <v>3.5000000000000001E-3</v>
      </c>
      <c r="L104">
        <f t="shared" si="17"/>
        <v>0.02</v>
      </c>
      <c r="M104" s="4">
        <f t="shared" si="28"/>
        <v>8.4979999999999993</v>
      </c>
      <c r="N104" s="4">
        <f t="shared" si="29"/>
        <v>48.56</v>
      </c>
    </row>
    <row r="105" spans="1:14">
      <c r="A105" t="str">
        <f t="shared" si="18"/>
        <v>MK|BR_CN|AFFLUENT_MN|NONE_YQ|19Q1Q4_CP|PO5020004141-9_SP|N/A_AC|AFF_OB|CON_U1|DCM</v>
      </c>
      <c r="B105" t="str">
        <f t="shared" si="19"/>
        <v>teads.tv</v>
      </c>
      <c r="C105" t="str">
        <f t="shared" si="20"/>
        <v>MK|BR_CH|PD_DT|CROSS_PB|TEAD_FM|SCL_RT|CPM_PD|AFFLUENT-TRAVEL-MOBILE-CHIP_TG|NON_ST|NON_TS|NONE_SZ|1X1_AD|CM1_IT|OO</v>
      </c>
      <c r="D105" t="str">
        <f t="shared" si="21"/>
        <v>253647804</v>
      </c>
      <c r="E105" t="str">
        <f t="shared" si="22"/>
        <v>Dynamic Click</v>
      </c>
      <c r="F105" t="str">
        <f t="shared" si="23"/>
        <v>MK|BR_CH|PD_DT|CROSS_PB|TEAD_FM|SCL_RT|CPM_PD|AFFLUENT-TRAVEL-MOBILE-CHIP_TG|NON_ST|NON_TS|NONE_SZ|1X1_AD|CM1_IT|OO</v>
      </c>
      <c r="G105" t="str">
        <f t="shared" si="24"/>
        <v>449552115</v>
      </c>
      <c r="H105" t="str">
        <f t="shared" si="25"/>
        <v>Tracking</v>
      </c>
      <c r="I105">
        <f t="shared" si="26"/>
        <v>890431</v>
      </c>
      <c r="J105">
        <f t="shared" si="27"/>
        <v>2937</v>
      </c>
      <c r="K105" s="4">
        <f t="shared" si="16"/>
        <v>3.5000000000000001E-3</v>
      </c>
      <c r="L105">
        <f t="shared" si="17"/>
        <v>0.02</v>
      </c>
      <c r="M105" s="4">
        <f t="shared" si="28"/>
        <v>10.279500000000001</v>
      </c>
      <c r="N105" s="4">
        <f t="shared" si="29"/>
        <v>58.74</v>
      </c>
    </row>
    <row r="106" spans="1:14">
      <c r="A106" t="str">
        <f t="shared" si="18"/>
        <v>MK|BR_CN|CAUSAS_MN|NONE_YQ|19Q1Q4_CP|PO5020004141_SP|N/A_AC|CC_OB|ACQ_U1|DCM</v>
      </c>
      <c r="B106" t="str">
        <f t="shared" si="19"/>
        <v>Editora Mol</v>
      </c>
      <c r="C106" t="str">
        <f t="shared" si="20"/>
        <v>MK|BR_CH|DNM_DT|CROSS_PB|MOL_FM|QRC_RT|CPM_PD|CAUSAS-DEPOIMENTOS-DONACIDA_TG|NON_ST|NON_TS|NONE_SZ|1X1_AD|CM1_IT|SOC</v>
      </c>
      <c r="D106" t="str">
        <f t="shared" si="21"/>
        <v>254299329</v>
      </c>
      <c r="E106" t="str">
        <f t="shared" si="22"/>
        <v>Dynamic Click</v>
      </c>
      <c r="F106" t="str">
        <f t="shared" si="23"/>
        <v>MK|BR_CH|DNM_DT|CROSS_PB|MOL_FM|QRC_RT|CPM_PD|CAUSAS-DEPOIMENTOS-DONACIDA_TG|NON_ST|NON_TS|NONE_SZ|1X1_AD|CM1_IT|SOC</v>
      </c>
      <c r="G106" t="str">
        <f t="shared" si="24"/>
        <v>450218492</v>
      </c>
      <c r="H106" t="str">
        <f t="shared" si="25"/>
        <v>Tracking</v>
      </c>
      <c r="I106">
        <f t="shared" si="26"/>
        <v>0</v>
      </c>
      <c r="J106">
        <f t="shared" si="27"/>
        <v>17</v>
      </c>
      <c r="K106" s="4">
        <f t="shared" si="16"/>
        <v>3.5000000000000001E-3</v>
      </c>
      <c r="L106">
        <f t="shared" si="17"/>
        <v>0.02</v>
      </c>
      <c r="M106" s="4">
        <f t="shared" si="28"/>
        <v>5.9500000000000004E-2</v>
      </c>
      <c r="N106" s="4">
        <f t="shared" si="29"/>
        <v>0.34</v>
      </c>
    </row>
    <row r="107" spans="1:14">
      <c r="A107" t="str">
        <f t="shared" si="18"/>
        <v>MK|BR_CN|CAUSAS_MN|NONE_YQ|19Q1Q4_CP|PO5020004141_SP|N/A_AC|CC_OB|ACQ_U1|DCM</v>
      </c>
      <c r="B107" t="str">
        <f t="shared" si="19"/>
        <v>Facebook</v>
      </c>
      <c r="C107" t="str">
        <f t="shared" si="20"/>
        <v>MK|BR_CH|PSD_DT|CROSS_PB|FCBK_FM|LNK_RT|CPM_PD|CAUSAS-FUNDOBRANCO-CADASTRE-SE_TG|NON_ST|NON_TS|NONE_SZ|1X1_AD|CM1_IT|SOC</v>
      </c>
      <c r="D107" t="str">
        <f t="shared" si="21"/>
        <v>247124497</v>
      </c>
      <c r="E107" t="str">
        <f t="shared" si="22"/>
        <v>Dynamic Click</v>
      </c>
      <c r="F107" t="str">
        <f t="shared" si="23"/>
        <v>MK|BR_CH|PSD_DT|CROSS_PB|FCBK_FM|LNK_RT|CPM_PD|CAUSAS-FUNDOBRANCO-CADASTRE-SE_TG|NON_ST|NON_TS|NONE_SZ|1X1_AD|CM1_IT|SOC</v>
      </c>
      <c r="G107" t="str">
        <f t="shared" si="24"/>
        <v>443585395</v>
      </c>
      <c r="H107" t="str">
        <f t="shared" si="25"/>
        <v>Tracking</v>
      </c>
      <c r="I107">
        <f t="shared" si="26"/>
        <v>0</v>
      </c>
      <c r="J107">
        <f t="shared" si="27"/>
        <v>2</v>
      </c>
      <c r="K107" s="4">
        <f t="shared" si="16"/>
        <v>3.5000000000000001E-3</v>
      </c>
      <c r="L107">
        <f t="shared" si="17"/>
        <v>0.02</v>
      </c>
      <c r="M107" s="4">
        <f t="shared" si="28"/>
        <v>7.0000000000000001E-3</v>
      </c>
      <c r="N107" s="4">
        <f t="shared" si="29"/>
        <v>0.04</v>
      </c>
    </row>
    <row r="108" spans="1:14">
      <c r="A108" t="str">
        <f t="shared" si="18"/>
        <v>MK|BR_CN|CAUSAS_MN|NONE_YQ|19Q1Q4_CP|PO5020004141_SP|N/A_AC|CC_OB|ACQ_U1|DCM</v>
      </c>
      <c r="B108" t="str">
        <f t="shared" si="19"/>
        <v>Facebook</v>
      </c>
      <c r="C108" t="str">
        <f t="shared" si="20"/>
        <v>MK|BR_CH|PSD_DT|CROSS_PB|FCBK_FM|LNK_RT|CPM_PD|CAUSAS-NATAL-CADASTRE-SE-ANIMADO_TG|NON_ST|NON_TS|NONE_SZ|1X1_AD|CM1_IT|SOC</v>
      </c>
      <c r="D108" t="str">
        <f t="shared" si="21"/>
        <v>236524072</v>
      </c>
      <c r="E108" t="str">
        <f t="shared" si="22"/>
        <v>Dynamic Click</v>
      </c>
      <c r="F108" t="str">
        <f t="shared" si="23"/>
        <v>MK|BR_CH|PSD_DT|CROSS_PB|FCBK_FM|LNK_RT|CPM_PD|CAUSAS-NATAL-CADASTRE-SE-ANIMADO_TG|NON_ST|NON_TS|NONE_SZ|1X1_AD|CM1_IT|SOC</v>
      </c>
      <c r="G108" t="str">
        <f t="shared" si="24"/>
        <v>433986273</v>
      </c>
      <c r="H108" t="str">
        <f t="shared" si="25"/>
        <v>Tracking</v>
      </c>
      <c r="I108">
        <f t="shared" si="26"/>
        <v>0</v>
      </c>
      <c r="J108">
        <f t="shared" si="27"/>
        <v>15</v>
      </c>
      <c r="K108" s="4">
        <f t="shared" ref="K108:K171" si="30">IF(LEFT(B108,3)="DBM",0,VLOOKUP(E108,tabela,2,FALSE))</f>
        <v>3.5000000000000001E-3</v>
      </c>
      <c r="L108">
        <f t="shared" ref="L108:L171" si="31">VLOOKUP(E108,tabela,3,FALSE)</f>
        <v>0.02</v>
      </c>
      <c r="M108" s="4">
        <f t="shared" si="28"/>
        <v>5.2499999999999998E-2</v>
      </c>
      <c r="N108" s="4">
        <f t="shared" si="29"/>
        <v>0.3</v>
      </c>
    </row>
    <row r="109" spans="1:14">
      <c r="A109" t="str">
        <f t="shared" si="18"/>
        <v>MK|BR_CN|CAUSAS_MN|NONE_YQ|19Q1Q4_CP|PO5020004141_SP|N/A_AC|CC_OB|ACQ_U1|DCM</v>
      </c>
      <c r="B109" t="str">
        <f t="shared" si="19"/>
        <v>Facebook</v>
      </c>
      <c r="C109" t="str">
        <f t="shared" si="20"/>
        <v>MK|BR_CH|PSD_DT|CROSS_PB|FCBK_FM|LNK_RT|CPM_PD|CAUSAS-PASSOAPASSO-CADASTRE-SE_TG|NON_ST|NON_TS|NONE_SZ|1X1_AD|CM1_IT|SOC</v>
      </c>
      <c r="D109" t="str">
        <f t="shared" si="21"/>
        <v>247124491</v>
      </c>
      <c r="E109" t="str">
        <f t="shared" si="22"/>
        <v>Dynamic Click</v>
      </c>
      <c r="F109" t="str">
        <f t="shared" si="23"/>
        <v>MK|BR_CH|PSD_DT|CROSS_PB|FCBK_FM|LNK_RT|CPM_PD|CAUSAS-PASSOAPASSO-CADASTRE-SE_TG|NON_ST|NON_TS|NONE_SZ|1X1_AD|CM1_IT|SOC</v>
      </c>
      <c r="G109" t="str">
        <f t="shared" si="24"/>
        <v>443585389</v>
      </c>
      <c r="H109" t="str">
        <f t="shared" si="25"/>
        <v>Tracking</v>
      </c>
      <c r="I109">
        <f t="shared" si="26"/>
        <v>0</v>
      </c>
      <c r="J109">
        <f t="shared" si="27"/>
        <v>2</v>
      </c>
      <c r="K109" s="4">
        <f t="shared" si="30"/>
        <v>3.5000000000000001E-3</v>
      </c>
      <c r="L109">
        <f t="shared" si="31"/>
        <v>0.02</v>
      </c>
      <c r="M109" s="4">
        <f t="shared" si="28"/>
        <v>7.0000000000000001E-3</v>
      </c>
      <c r="N109" s="4">
        <f t="shared" si="29"/>
        <v>0.04</v>
      </c>
    </row>
    <row r="110" spans="1:14">
      <c r="A110" t="str">
        <f t="shared" si="18"/>
        <v>MK|BR_CN|CAUSAS_MN|NONE_YQ|19Q1Q4_CP|PO5020004141_SP|N/A_AC|CC_OB|ACQ_U1|DCM</v>
      </c>
      <c r="B110" t="str">
        <f t="shared" si="19"/>
        <v>Facebook</v>
      </c>
      <c r="C110" t="str">
        <f t="shared" si="20"/>
        <v>MK|BR_CH|PSD_DT|CROSS_PB|FCBK_FM|LNK_RT|CPM_PD|CROSSBORDER-CASHBACK-GOURMET-BASEEUA_TG|NON_ST|NON_TS|NONE_SZ|1X1_AD|CM1_IT|SOC</v>
      </c>
      <c r="D110" t="str">
        <f t="shared" si="21"/>
        <v>249253701</v>
      </c>
      <c r="E110" t="str">
        <f t="shared" si="22"/>
        <v>Dynamic Click</v>
      </c>
      <c r="F110" t="str">
        <f t="shared" si="23"/>
        <v>MK|BR_CH|PSD_DT|CROSS_PB|FCBK_FM|LNK_RT|CPM_PD|CROSSBORDER-CASHBACK-GOURMET-BASEEUA_TG|NON_ST|NON_TS|NONE_SZ|1X1_AD|CM1_IT|SOC</v>
      </c>
      <c r="G110" t="str">
        <f t="shared" si="24"/>
        <v>445278498</v>
      </c>
      <c r="H110" t="str">
        <f t="shared" si="25"/>
        <v>Tracking</v>
      </c>
      <c r="I110">
        <f t="shared" si="26"/>
        <v>0</v>
      </c>
      <c r="J110">
        <f t="shared" si="27"/>
        <v>1</v>
      </c>
      <c r="K110" s="4">
        <f t="shared" si="30"/>
        <v>3.5000000000000001E-3</v>
      </c>
      <c r="L110">
        <f t="shared" si="31"/>
        <v>0.02</v>
      </c>
      <c r="M110" s="4">
        <f t="shared" si="28"/>
        <v>3.5000000000000001E-3</v>
      </c>
      <c r="N110" s="4">
        <f t="shared" si="29"/>
        <v>0.02</v>
      </c>
    </row>
    <row r="111" spans="1:14">
      <c r="A111" t="str">
        <f t="shared" si="18"/>
        <v>MK|BR_CN|CAUSAS_MN|NONE_YQ|19Q1Q4_CP|PO5020004141_SP|N/A_AC|CC_OB|ACQ_U1|DCM</v>
      </c>
      <c r="B111" t="str">
        <f t="shared" si="19"/>
        <v>Facebook</v>
      </c>
      <c r="C111" t="str">
        <f t="shared" si="20"/>
        <v>MK|BR_CH|PSD_DT|CROSS_PB|FCBK_FM|SPRE_RT|CPM_PD|CAUSAS-CAMERAESCONDIDA-LONGO-06-LEGENDADO_TG|NON_ST|NON_TS|NONE_SZ|1X1_AD|CM1_IT|SOC</v>
      </c>
      <c r="D111" t="str">
        <f t="shared" si="21"/>
        <v>236902928</v>
      </c>
      <c r="E111" t="str">
        <f t="shared" si="22"/>
        <v>Dynamic Click</v>
      </c>
      <c r="F111" t="str">
        <f t="shared" si="23"/>
        <v>MK|BR_CH|PSD_DT|CROSS_PB|FCBK_FM|SPRE_RT|CPM_PD|CAUSAS-CAMERAESCONDIDA-LONGO-06-LEGENDADO_TG|NON_ST|NON_TS|NONE_SZ|1X1_AD|CM1_IT|SOC</v>
      </c>
      <c r="G111" t="str">
        <f t="shared" si="24"/>
        <v>434283725</v>
      </c>
      <c r="H111" t="str">
        <f t="shared" si="25"/>
        <v>Tracking</v>
      </c>
      <c r="I111">
        <f t="shared" si="26"/>
        <v>0</v>
      </c>
      <c r="J111">
        <f t="shared" si="27"/>
        <v>8</v>
      </c>
      <c r="K111" s="4">
        <f t="shared" si="30"/>
        <v>3.5000000000000001E-3</v>
      </c>
      <c r="L111">
        <f t="shared" si="31"/>
        <v>0.02</v>
      </c>
      <c r="M111" s="4">
        <f t="shared" si="28"/>
        <v>2.8000000000000001E-2</v>
      </c>
      <c r="N111" s="4">
        <f t="shared" si="29"/>
        <v>0.16</v>
      </c>
    </row>
    <row r="112" spans="1:14">
      <c r="A112" t="str">
        <f t="shared" si="18"/>
        <v>MK|BR_CN|CAUSAS_MN|NONE_YQ|19Q1Q4_CP|PO5020004141_SP|N/A_AC|CC_OB|ACQ_U1|DCM</v>
      </c>
      <c r="B112" t="str">
        <f t="shared" si="19"/>
        <v>Facebook</v>
      </c>
      <c r="C112" t="str">
        <f t="shared" si="20"/>
        <v>MK|BR_CH|PSV_DT|CROSS_PB|FCBK_FM|SPRE_RT|CPM_PD|CAUSAS-DEPOIMENTOS-DONACIDA_TG|NON_ST|NON_TS|NONE_SZ|Video:15_AD|CM1_IT|SOC</v>
      </c>
      <c r="D112" t="str">
        <f t="shared" si="21"/>
        <v>255040686</v>
      </c>
      <c r="E112" t="str">
        <f t="shared" si="22"/>
        <v>Dynamic Click</v>
      </c>
      <c r="F112" t="str">
        <f t="shared" si="23"/>
        <v>MK|BR_CH|PSV_DT|CROSS_PB|FCBK_FM|SPRE_RT|CPM_PD|CAUSAS-DEPOIMENTOS-DONACIDA_TG|NON_ST|NON_TS|NONE_SZ|Video:15_AD|CM1_IT|SOC</v>
      </c>
      <c r="G112" t="str">
        <f t="shared" si="24"/>
        <v>450840156</v>
      </c>
      <c r="H112" t="str">
        <f t="shared" si="25"/>
        <v>Tracking</v>
      </c>
      <c r="I112">
        <f t="shared" si="26"/>
        <v>0</v>
      </c>
      <c r="J112">
        <f t="shared" si="27"/>
        <v>4960</v>
      </c>
      <c r="K112" s="4">
        <f t="shared" si="30"/>
        <v>3.5000000000000001E-3</v>
      </c>
      <c r="L112">
        <f t="shared" si="31"/>
        <v>0.02</v>
      </c>
      <c r="M112" s="4">
        <f t="shared" si="28"/>
        <v>17.36</v>
      </c>
      <c r="N112" s="4">
        <f t="shared" si="29"/>
        <v>99.2</v>
      </c>
    </row>
    <row r="113" spans="1:14">
      <c r="A113" t="str">
        <f t="shared" si="18"/>
        <v>MK|BR_CN|CAUSAS_MN|NONE_YQ|19Q1Q4_CP|PO5020004141_SP|N/A_AC|CC_OB|ACQ_U1|DCM</v>
      </c>
      <c r="B113" t="str">
        <f t="shared" si="19"/>
        <v>Facebook</v>
      </c>
      <c r="C113" t="str">
        <f t="shared" si="20"/>
        <v>MK|BR_CH|PSV_DT|CROSS_PB|FCBK_FM|SPRE_RT|CPM_PD|CAUSAS-DEPOIMENTOS-JOSEROBERTO_TG|NON_ST|NON_TS|NONE_SZ|Video:15_AD|CM1_IT|SOC</v>
      </c>
      <c r="D113" t="str">
        <f t="shared" si="21"/>
        <v>254917423</v>
      </c>
      <c r="E113" t="str">
        <f t="shared" si="22"/>
        <v>Dynamic Click</v>
      </c>
      <c r="F113" t="str">
        <f t="shared" si="23"/>
        <v>MK|BR_CH|PSV_DT|CROSS_PB|FCBK_FM|SPRE_RT|CPM_PD|CAUSAS-DEPOIMENTOS-JOSEROBERTO_TG|NON_ST|NON_TS|NONE_SZ|Video:15_AD|CM1_IT|SOC</v>
      </c>
      <c r="G113" t="str">
        <f t="shared" si="24"/>
        <v>450948601</v>
      </c>
      <c r="H113" t="str">
        <f t="shared" si="25"/>
        <v>Tracking</v>
      </c>
      <c r="I113">
        <f t="shared" si="26"/>
        <v>0</v>
      </c>
      <c r="J113">
        <f t="shared" si="27"/>
        <v>396</v>
      </c>
      <c r="K113" s="4">
        <f t="shared" si="30"/>
        <v>3.5000000000000001E-3</v>
      </c>
      <c r="L113">
        <f t="shared" si="31"/>
        <v>0.02</v>
      </c>
      <c r="M113" s="4">
        <f t="shared" si="28"/>
        <v>1.3860000000000001</v>
      </c>
      <c r="N113" s="4">
        <f t="shared" si="29"/>
        <v>7.92</v>
      </c>
    </row>
    <row r="114" spans="1:14">
      <c r="A114" t="str">
        <f t="shared" si="18"/>
        <v>MK|BR_CN|CAUSAS_MN|NONE_YQ|19Q1Q4_CP|PO5020004141_SP|N/A_AC|CC_OB|ACQ_U1|DCM</v>
      </c>
      <c r="B114" t="str">
        <f t="shared" si="19"/>
        <v>Facebook</v>
      </c>
      <c r="C114" t="str">
        <f t="shared" si="20"/>
        <v>MK|BR_CH|PSV_DT|CROSS_PB|FCBK_FM|SPRE_RT|CPM_PD|CAUSAS-DEPOIMENTOS-MICHAELDOUGLAS_TG|NON_ST|NON_TS|NONE_SZ|Video:15_AD|CM1_IT|SOC</v>
      </c>
      <c r="D114" t="str">
        <f t="shared" si="21"/>
        <v>254917306</v>
      </c>
      <c r="E114" t="str">
        <f t="shared" si="22"/>
        <v>Dynamic Click</v>
      </c>
      <c r="F114" t="str">
        <f t="shared" si="23"/>
        <v>MK|BR_CH|PSV_DT|CROSS_PB|FCBK_FM|SPRE_RT|CPM_PD|CAUSAS-DEPOIMENTOS-MICHAELDOUGLAS_TG|NON_ST|NON_TS|NONE_SZ|Video:15_AD|CM1_IT|SOC</v>
      </c>
      <c r="G114" t="str">
        <f t="shared" si="24"/>
        <v>450948481</v>
      </c>
      <c r="H114" t="str">
        <f t="shared" si="25"/>
        <v>Tracking</v>
      </c>
      <c r="I114">
        <f t="shared" si="26"/>
        <v>0</v>
      </c>
      <c r="J114">
        <f t="shared" si="27"/>
        <v>443</v>
      </c>
      <c r="K114" s="4">
        <f t="shared" si="30"/>
        <v>3.5000000000000001E-3</v>
      </c>
      <c r="L114">
        <f t="shared" si="31"/>
        <v>0.02</v>
      </c>
      <c r="M114" s="4">
        <f t="shared" si="28"/>
        <v>1.5505</v>
      </c>
      <c r="N114" s="4">
        <f t="shared" si="29"/>
        <v>8.86</v>
      </c>
    </row>
    <row r="115" spans="1:14">
      <c r="A115" t="str">
        <f t="shared" si="18"/>
        <v>MK|BR_CN|CAUSAS_MN|NONE_YQ|19Q1Q4_CP|PO5020004141_SP|N/A_AC|CC_OB|ACQ_U1|DCM</v>
      </c>
      <c r="B115" t="str">
        <f t="shared" si="19"/>
        <v>Facebook</v>
      </c>
      <c r="C115" t="str">
        <f t="shared" si="20"/>
        <v>MK|BR_CH|PSV_DT|CROSS_PB|FCBK_FM|SPRE_RT|CPM_PD|CAUSAS-DEPOIMENTOS-RAFAELA_TG|NON_ST|NON_TS|NONE_SZ|Video:15_AD|CM1_IT|SOC</v>
      </c>
      <c r="D115" t="str">
        <f t="shared" si="21"/>
        <v>255040743</v>
      </c>
      <c r="E115" t="str">
        <f t="shared" si="22"/>
        <v>Dynamic Click</v>
      </c>
      <c r="F115" t="str">
        <f t="shared" si="23"/>
        <v>MK|BR_CH|PSV_DT|CROSS_PB|FCBK_FM|SPRE_RT|CPM_PD|CAUSAS-DEPOIMENTOS-RAFAELA_TG|NON_ST|NON_TS|NONE_SZ|Video:15_AD|CM1_IT|SOC</v>
      </c>
      <c r="G115" t="str">
        <f t="shared" si="24"/>
        <v>450899891</v>
      </c>
      <c r="H115" t="str">
        <f t="shared" si="25"/>
        <v>Tracking</v>
      </c>
      <c r="I115">
        <f t="shared" si="26"/>
        <v>0</v>
      </c>
      <c r="J115">
        <f t="shared" si="27"/>
        <v>1140</v>
      </c>
      <c r="K115" s="4">
        <f t="shared" si="30"/>
        <v>3.5000000000000001E-3</v>
      </c>
      <c r="L115">
        <f t="shared" si="31"/>
        <v>0.02</v>
      </c>
      <c r="M115" s="4">
        <f t="shared" si="28"/>
        <v>3.99</v>
      </c>
      <c r="N115" s="4">
        <f t="shared" si="29"/>
        <v>22.8</v>
      </c>
    </row>
    <row r="116" spans="1:14">
      <c r="A116" t="str">
        <f t="shared" si="18"/>
        <v>MK|BR_CN|CAUSAS_MN|NONE_YQ|19Q1Q4_CP|PO5020004141_SP|N/A_AC|CC_OB|ACQ_U1|DCM</v>
      </c>
      <c r="B116" t="str">
        <f t="shared" si="19"/>
        <v>Facebook</v>
      </c>
      <c r="C116" t="str">
        <f t="shared" si="20"/>
        <v>MK|BR_CH|PSV_DT|CROSS_PB|FCBK_FM|SPRE_RT|CPM_PD|CAUSAS-DEPOIMENTOS-THAIS_TG|NON_ST|NON_TS|NONE_SZ|Video:15_AD|CM1_IT|SOC</v>
      </c>
      <c r="D116" t="str">
        <f t="shared" si="21"/>
        <v>255039984</v>
      </c>
      <c r="E116" t="str">
        <f t="shared" si="22"/>
        <v>Dynamic Click</v>
      </c>
      <c r="F116" t="str">
        <f t="shared" si="23"/>
        <v>MK|BR_CH|PSV_DT|CROSS_PB|FCBK_FM|SPRE_RT|CPM_PD|CAUSAS-DEPOIMENTOS-THAIS_TG|NON_ST|NON_TS|NONE_SZ|Video:15_AD|CM1_IT|SOC</v>
      </c>
      <c r="G116" t="str">
        <f t="shared" si="24"/>
        <v>450838755</v>
      </c>
      <c r="H116" t="str">
        <f t="shared" si="25"/>
        <v>Tracking</v>
      </c>
      <c r="I116">
        <f t="shared" si="26"/>
        <v>0</v>
      </c>
      <c r="J116">
        <f t="shared" si="27"/>
        <v>1332</v>
      </c>
      <c r="K116" s="4">
        <f t="shared" si="30"/>
        <v>3.5000000000000001E-3</v>
      </c>
      <c r="L116">
        <f t="shared" si="31"/>
        <v>0.02</v>
      </c>
      <c r="M116" s="4">
        <f t="shared" si="28"/>
        <v>4.6619999999999999</v>
      </c>
      <c r="N116" s="4">
        <f t="shared" si="29"/>
        <v>26.64</v>
      </c>
    </row>
    <row r="117" spans="1:14">
      <c r="A117" t="str">
        <f t="shared" si="18"/>
        <v>MK|BR_CN|CAUSAS_MN|NONE_YQ|19Q1Q4_CP|PO5020004141_SP|N/A_AC|CC_OB|ACQ_U1|DCM</v>
      </c>
      <c r="B117" t="str">
        <f t="shared" si="19"/>
        <v>Facebook</v>
      </c>
      <c r="C117" t="str">
        <f t="shared" si="20"/>
        <v>MK|BR_CH|PSV_DT|CROSS_PB|FCBK_FM|SPRE_RT|CPM_PD|CAUSAS-DEPOIMENTOS-TIADAG_TG|NON_ST|NON_TS|NONE_SZ|Video:15_AD|CM1_IT|SOC</v>
      </c>
      <c r="D117" t="str">
        <f t="shared" si="21"/>
        <v>255040776</v>
      </c>
      <c r="E117" t="str">
        <f t="shared" si="22"/>
        <v>Dynamic Click</v>
      </c>
      <c r="F117" t="str">
        <f t="shared" si="23"/>
        <v>MK|BR_CH|PSV_DT|CROSS_PB|FCBK_FM|SPRE_RT|CPM_PD|CAUSAS-DEPOIMENTOS-TIADAG_TG|NON_ST|NON_TS|NONE_SZ|Video:15_AD|CM1_IT|SOC</v>
      </c>
      <c r="G117" t="str">
        <f t="shared" si="24"/>
        <v>450949444</v>
      </c>
      <c r="H117" t="str">
        <f t="shared" si="25"/>
        <v>Tracking</v>
      </c>
      <c r="I117">
        <f t="shared" si="26"/>
        <v>0</v>
      </c>
      <c r="J117">
        <f t="shared" si="27"/>
        <v>3463</v>
      </c>
      <c r="K117" s="4">
        <f t="shared" si="30"/>
        <v>3.5000000000000001E-3</v>
      </c>
      <c r="L117">
        <f t="shared" si="31"/>
        <v>0.02</v>
      </c>
      <c r="M117" s="4">
        <f t="shared" si="28"/>
        <v>12.1205</v>
      </c>
      <c r="N117" s="4">
        <f t="shared" si="29"/>
        <v>69.260000000000005</v>
      </c>
    </row>
    <row r="118" spans="1:14">
      <c r="A118" t="str">
        <f t="shared" si="18"/>
        <v>MK|BR_CN|CAUSAS_MN|NONE_YQ|19Q1Q4_CP|PO5020004141_SP|N/A_AC|CC_OB|ACQ_U1|DCM</v>
      </c>
      <c r="B118" t="str">
        <f t="shared" si="19"/>
        <v>Google - YouTube</v>
      </c>
      <c r="C118" t="str">
        <f t="shared" si="20"/>
        <v>MK|BR_CH|OV_DT|CROSS_PB|YOUT_FM|VID_RT|CPM_PD|CAUSAS-AMPARA-ANIMAL_TG|NON_ST|NON_TS|NONE_SZ|Video:2_AD|CM1_IT|NE</v>
      </c>
      <c r="D118" t="str">
        <f t="shared" si="21"/>
        <v>255728942</v>
      </c>
      <c r="E118" t="str">
        <f t="shared" si="22"/>
        <v>Dynamic Click</v>
      </c>
      <c r="F118" t="str">
        <f t="shared" si="23"/>
        <v>MK|BR_CH|OV_DT|CROSS_PB|YOUT_FM|VID_RT|CPM_PD|CAUSAS-AMPARA-ANIMAL_TG|NON_ST|NON_TS|NONE_SZ|Video:2_AD|CM1_IT|NE</v>
      </c>
      <c r="G118" t="str">
        <f t="shared" si="24"/>
        <v>451964630</v>
      </c>
      <c r="H118" t="str">
        <f t="shared" si="25"/>
        <v>Tracking</v>
      </c>
      <c r="I118">
        <f t="shared" si="26"/>
        <v>8556808</v>
      </c>
      <c r="J118">
        <f t="shared" si="27"/>
        <v>62593</v>
      </c>
      <c r="K118" s="4">
        <f t="shared" si="30"/>
        <v>3.5000000000000001E-3</v>
      </c>
      <c r="L118">
        <f t="shared" si="31"/>
        <v>0.02</v>
      </c>
      <c r="M118" s="4">
        <f t="shared" si="28"/>
        <v>219.07550000000001</v>
      </c>
      <c r="N118" s="4">
        <f t="shared" si="29"/>
        <v>1251.8600000000001</v>
      </c>
    </row>
    <row r="119" spans="1:14">
      <c r="A119" t="str">
        <f t="shared" si="18"/>
        <v>MK|BR_CN|CAUSAS_MN|NONE_YQ|19Q1Q4_CP|PO5020004141_SP|N/A_AC|CC_OB|ACQ_U1|DCM</v>
      </c>
      <c r="B119" t="str">
        <f t="shared" si="19"/>
        <v>Google - YouTube</v>
      </c>
      <c r="C119" t="str">
        <f t="shared" si="20"/>
        <v>MK|BR_CH|OV_DT|CROSS_PB|YOUT_FM|VID_RT|CPM_PD|CAUSAS-DEPOIMENTOS-DONACIDA_TG|NON_ST|NON_TS|NONE_SZ|Video:15_AD|CM1_IT|NE</v>
      </c>
      <c r="D119" t="str">
        <f t="shared" si="21"/>
        <v>255625821</v>
      </c>
      <c r="E119" t="str">
        <f t="shared" si="22"/>
        <v>Dynamic Click</v>
      </c>
      <c r="F119" t="str">
        <f t="shared" si="23"/>
        <v>MK|BR_CH|OV_DT|CROSS_PB|YOUT_FM|VID_RT|CPM_PD|CAUSAS-DEPOIMENTOS-DONACIDA_TG|NON_ST|NON_TS|NONE_SZ|Video:15_AD|CM1_IT|NE</v>
      </c>
      <c r="G119" t="str">
        <f t="shared" si="24"/>
        <v>451478668</v>
      </c>
      <c r="H119" t="str">
        <f t="shared" si="25"/>
        <v>Tracking</v>
      </c>
      <c r="I119">
        <f t="shared" si="26"/>
        <v>232896</v>
      </c>
      <c r="J119">
        <f t="shared" si="27"/>
        <v>2810</v>
      </c>
      <c r="K119" s="4">
        <f t="shared" si="30"/>
        <v>3.5000000000000001E-3</v>
      </c>
      <c r="L119">
        <f t="shared" si="31"/>
        <v>0.02</v>
      </c>
      <c r="M119" s="4">
        <f t="shared" si="28"/>
        <v>9.8350000000000009</v>
      </c>
      <c r="N119" s="4">
        <f t="shared" si="29"/>
        <v>56.2</v>
      </c>
    </row>
    <row r="120" spans="1:14">
      <c r="A120" t="str">
        <f t="shared" si="18"/>
        <v>MK|BR_CN|CAUSAS_MN|NONE_YQ|19Q1Q4_CP|PO5020004141_SP|N/A_AC|CC_OB|ACQ_U1|DCM</v>
      </c>
      <c r="B120" t="str">
        <f t="shared" si="19"/>
        <v>Google - YouTube</v>
      </c>
      <c r="C120" t="str">
        <f t="shared" si="20"/>
        <v>MK|BR_CH|OV_DT|CROSS_PB|YOUT_FM|VID_RT|CPM_PD|CAUSAS-DEPOIMENTOS-JOSEROBERTO_TG|NON_ST|NON_TS|NONE_SZ|Video:2_AD|CM1_IT|NE</v>
      </c>
      <c r="D120" t="str">
        <f t="shared" si="21"/>
        <v>254872161</v>
      </c>
      <c r="E120" t="str">
        <f t="shared" si="22"/>
        <v>Dynamic Click</v>
      </c>
      <c r="F120" t="str">
        <f t="shared" si="23"/>
        <v>MK|BR_CH|OV_DT|CROSS_PB|YOUT_FM|VID_RT|CPM_PD|CAUSAS-DEPOIMENTOS-JOSEROBERTO_TG|NON_ST|NON_TS|NONE_SZ|Video:2_AD|CM1_IT|NE</v>
      </c>
      <c r="G120" t="str">
        <f t="shared" si="24"/>
        <v>450681108</v>
      </c>
      <c r="H120" t="str">
        <f t="shared" si="25"/>
        <v>Tracking</v>
      </c>
      <c r="I120">
        <f t="shared" si="26"/>
        <v>0</v>
      </c>
      <c r="J120">
        <f t="shared" si="27"/>
        <v>1</v>
      </c>
      <c r="K120" s="4">
        <f t="shared" si="30"/>
        <v>3.5000000000000001E-3</v>
      </c>
      <c r="L120">
        <f t="shared" si="31"/>
        <v>0.02</v>
      </c>
      <c r="M120" s="4">
        <f t="shared" si="28"/>
        <v>3.5000000000000001E-3</v>
      </c>
      <c r="N120" s="4">
        <f t="shared" si="29"/>
        <v>0.02</v>
      </c>
    </row>
    <row r="121" spans="1:14">
      <c r="A121" t="str">
        <f t="shared" si="18"/>
        <v>MK|BR_CN|CAUSAS_MN|NONE_YQ|19Q1Q4_CP|PO5020004141_SP|N/A_AC|CC_OB|ACQ_U1|DCM</v>
      </c>
      <c r="B121" t="str">
        <f t="shared" si="19"/>
        <v>Google - YouTube</v>
      </c>
      <c r="C121" t="str">
        <f t="shared" si="20"/>
        <v>MK|BR_CH|OV_DT|CROSS_PB|YOUT_FM|VID_RT|CPM_PD|CAUSAS-DEPOIMENTOS-JOSEROBERTO_TG|NON_ST|NON_TS|NONE_SZ|Video:2_AD|CM1_IT|NE_U1|ESTOU-VIVO</v>
      </c>
      <c r="D121" t="str">
        <f t="shared" si="21"/>
        <v>254965843</v>
      </c>
      <c r="E121" t="str">
        <f t="shared" si="22"/>
        <v>Dynamic Click</v>
      </c>
      <c r="F121" t="str">
        <f t="shared" si="23"/>
        <v>MK|BR_CH|OV_DT|CROSS_PB|YOUT_FM|VID_RT|CPM_PD|CAUSAS-DEPOIMENTOS-JOSEROBERTO_TG|NON_ST|NON_TS|NONE_SZ|Video:2_AD|CM1_IT|NE_U1|ESTOU-VIVO</v>
      </c>
      <c r="G121" t="str">
        <f t="shared" si="24"/>
        <v>450884580</v>
      </c>
      <c r="H121" t="str">
        <f t="shared" si="25"/>
        <v>Tracking</v>
      </c>
      <c r="I121">
        <f t="shared" si="26"/>
        <v>5377859</v>
      </c>
      <c r="J121">
        <f t="shared" si="27"/>
        <v>14732</v>
      </c>
      <c r="K121" s="4">
        <f t="shared" si="30"/>
        <v>3.5000000000000001E-3</v>
      </c>
      <c r="L121">
        <f t="shared" si="31"/>
        <v>0.02</v>
      </c>
      <c r="M121" s="4">
        <f t="shared" si="28"/>
        <v>51.561999999999998</v>
      </c>
      <c r="N121" s="4">
        <f t="shared" si="29"/>
        <v>294.64</v>
      </c>
    </row>
    <row r="122" spans="1:14">
      <c r="A122" t="str">
        <f t="shared" si="18"/>
        <v>MK|BR_CN|CAUSAS_MN|NONE_YQ|19Q1Q4_CP|PO5020004141_SP|N/A_AC|CC_OB|ACQ_U1|DCM</v>
      </c>
      <c r="B122" t="str">
        <f t="shared" si="19"/>
        <v>Google - YouTube</v>
      </c>
      <c r="C122" t="str">
        <f t="shared" si="20"/>
        <v>MK|BR_CH|OV_DT|CROSS_PB|YOUT_FM|VID_RT|CPM_PD|CAUSAS-DEPOIMENTOS-JOSEROBERTO_TG|NON_ST|NON_TS|NONE_SZ|Video:2_AD|CM1_IT|NE_U1|PASSADO-DIFICULDADE</v>
      </c>
      <c r="D122" t="str">
        <f t="shared" si="21"/>
        <v>254636021</v>
      </c>
      <c r="E122" t="str">
        <f t="shared" si="22"/>
        <v>Dynamic Click</v>
      </c>
      <c r="F122" t="str">
        <f t="shared" si="23"/>
        <v>MK|BR_CH|OV_DT|CROSS_PB|YOUT_FM|VID_RT|CPM_PD|CAUSAS-DEPOIMENTOS-JOSEROBERTO_TG|NON_ST|NON_TS|NONE_SZ|Video:2_AD|CM1_IT|NE_U1|PASSADO-DIFICULDADE</v>
      </c>
      <c r="G122" t="str">
        <f t="shared" si="24"/>
        <v>450951557</v>
      </c>
      <c r="H122" t="str">
        <f t="shared" si="25"/>
        <v>Tracking</v>
      </c>
      <c r="I122">
        <f t="shared" si="26"/>
        <v>2425957</v>
      </c>
      <c r="J122">
        <f t="shared" si="27"/>
        <v>38798</v>
      </c>
      <c r="K122" s="4">
        <f t="shared" si="30"/>
        <v>3.5000000000000001E-3</v>
      </c>
      <c r="L122">
        <f t="shared" si="31"/>
        <v>0.02</v>
      </c>
      <c r="M122" s="4">
        <f t="shared" si="28"/>
        <v>135.79300000000001</v>
      </c>
      <c r="N122" s="4">
        <f t="shared" si="29"/>
        <v>775.96</v>
      </c>
    </row>
    <row r="123" spans="1:14">
      <c r="A123" t="str">
        <f t="shared" si="18"/>
        <v>MK|BR_CN|CAUSAS_MN|NONE_YQ|19Q1Q4_CP|PO5020004141_SP|N/A_AC|CC_OB|ACQ_U1|DCM</v>
      </c>
      <c r="B123" t="str">
        <f t="shared" si="19"/>
        <v>Google - YouTube</v>
      </c>
      <c r="C123" t="str">
        <f t="shared" si="20"/>
        <v>MK|BR_CH|OV_DT|CROSS_PB|YOUT_FM|VID_RT|CPM_PD|CAUSAS-DEPOIMENTOS-MICHAELDOUGLAS_TG|NON_ST|NON_TS|NONE_SZ|Video:2_AD|CM1_IT|NE_U1|AWARENESS</v>
      </c>
      <c r="D123" t="str">
        <f t="shared" si="21"/>
        <v>254968287</v>
      </c>
      <c r="E123" t="str">
        <f t="shared" si="22"/>
        <v>Dynamic Click</v>
      </c>
      <c r="F123" t="str">
        <f t="shared" si="23"/>
        <v>MK|BR_CH|OV_DT|CROSS_PB|YOUT_FM|VID_RT|CPM_PD|CAUSAS-DEPOIMENTOS-MICHAELDOUGLAS_TG|NON_ST|NON_TS|NONE_SZ|Video:2_AD|CM1_IT|NE_U1|AWARENESS</v>
      </c>
      <c r="G123" t="str">
        <f t="shared" si="24"/>
        <v>450766239</v>
      </c>
      <c r="H123" t="str">
        <f t="shared" si="25"/>
        <v>Tracking</v>
      </c>
      <c r="I123">
        <f t="shared" si="26"/>
        <v>10277338</v>
      </c>
      <c r="J123">
        <f t="shared" si="27"/>
        <v>135858</v>
      </c>
      <c r="K123" s="4">
        <f t="shared" si="30"/>
        <v>3.5000000000000001E-3</v>
      </c>
      <c r="L123">
        <f t="shared" si="31"/>
        <v>0.02</v>
      </c>
      <c r="M123" s="4">
        <f t="shared" si="28"/>
        <v>475.50299999999999</v>
      </c>
      <c r="N123" s="4">
        <f t="shared" si="29"/>
        <v>2717.16</v>
      </c>
    </row>
    <row r="124" spans="1:14">
      <c r="A124" t="str">
        <f t="shared" si="18"/>
        <v>MK|BR_CN|CAUSAS_MN|NONE_YQ|19Q1Q4_CP|PO5020004141_SP|N/A_AC|CC_OB|ACQ_U1|DCM</v>
      </c>
      <c r="B124" t="str">
        <f t="shared" si="19"/>
        <v>Google - YouTube</v>
      </c>
      <c r="C124" t="str">
        <f t="shared" si="20"/>
        <v>MK|BR_CH|OV_DT|CROSS_PB|YOUT_FM|VID_RT|CPM_PD|CAUSAS-DEPOIMENTOS-MICHAELDOUGLAS_TG|NON_ST|NON_TS|NONE_SZ|Video:2_AD|CM1_IT|NE_U1|PERFORMANCE</v>
      </c>
      <c r="D124" t="str">
        <f t="shared" si="21"/>
        <v>254742616</v>
      </c>
      <c r="E124" t="str">
        <f t="shared" si="22"/>
        <v>Dynamic Click</v>
      </c>
      <c r="F124" t="str">
        <f t="shared" si="23"/>
        <v>MK|BR_CH|OV_DT|CROSS_PB|YOUT_FM|VID_RT|CPM_PD|CAUSAS-DEPOIMENTOS-MICHAELDOUGLAS_TG|NON_ST|NON_TS|NONE_SZ|Video:2_AD|CM1_IT|NE_U1|PERFORMANCE</v>
      </c>
      <c r="G124" t="str">
        <f t="shared" si="24"/>
        <v>450721097</v>
      </c>
      <c r="H124" t="str">
        <f t="shared" si="25"/>
        <v>Tracking</v>
      </c>
      <c r="I124">
        <f t="shared" si="26"/>
        <v>0</v>
      </c>
      <c r="J124">
        <f t="shared" si="27"/>
        <v>1</v>
      </c>
      <c r="K124" s="4">
        <f t="shared" si="30"/>
        <v>3.5000000000000001E-3</v>
      </c>
      <c r="L124">
        <f t="shared" si="31"/>
        <v>0.02</v>
      </c>
      <c r="M124" s="4">
        <f t="shared" si="28"/>
        <v>3.5000000000000001E-3</v>
      </c>
      <c r="N124" s="4">
        <f t="shared" si="29"/>
        <v>0.02</v>
      </c>
    </row>
    <row r="125" spans="1:14">
      <c r="A125" t="str">
        <f t="shared" si="18"/>
        <v>MK|BR_CN|CAUSAS_MN|NONE_YQ|19Q1Q4_CP|PO5020004141_SP|N/A_AC|CC_OB|ACQ_U1|DCM</v>
      </c>
      <c r="B125" t="str">
        <f t="shared" si="19"/>
        <v>Google - YouTube</v>
      </c>
      <c r="C125" t="str">
        <f t="shared" si="20"/>
        <v>MK|BR_CH|OV_DT|CROSS_PB|YOUT_FM|VID_RT|CPM_PD|CAUSAS-DEPOIMENTOS-RAFAELA_TG|NON_ST|NON_TS|NONE_SZ|Video:15_AD|CM1_IT|NE</v>
      </c>
      <c r="D125" t="str">
        <f t="shared" si="21"/>
        <v>255625824</v>
      </c>
      <c r="E125" t="str">
        <f t="shared" si="22"/>
        <v>Dynamic Click</v>
      </c>
      <c r="F125" t="str">
        <f t="shared" si="23"/>
        <v>MK|BR_CH|OV_DT|CROSS_PB|YOUT_FM|VID_RT|CPM_PD|CAUSAS-DEPOIMENTOS-RAFAELA_TG|NON_ST|NON_TS|NONE_SZ|Video:15_AD|CM1_IT|NE</v>
      </c>
      <c r="G125" t="str">
        <f t="shared" si="24"/>
        <v>451457015</v>
      </c>
      <c r="H125" t="str">
        <f t="shared" si="25"/>
        <v>Tracking</v>
      </c>
      <c r="I125">
        <f t="shared" si="26"/>
        <v>523437</v>
      </c>
      <c r="J125">
        <f t="shared" si="27"/>
        <v>6319</v>
      </c>
      <c r="K125" s="4">
        <f t="shared" si="30"/>
        <v>3.5000000000000001E-3</v>
      </c>
      <c r="L125">
        <f t="shared" si="31"/>
        <v>0.02</v>
      </c>
      <c r="M125" s="4">
        <f t="shared" si="28"/>
        <v>22.116500000000002</v>
      </c>
      <c r="N125" s="4">
        <f t="shared" si="29"/>
        <v>126.38000000000001</v>
      </c>
    </row>
    <row r="126" spans="1:14">
      <c r="A126" t="str">
        <f t="shared" si="18"/>
        <v>MK|BR_CN|CAUSAS_MN|NONE_YQ|19Q1Q4_CP|PO5020004141_SP|N/A_AC|CC_OB|ACQ_U1|DCM</v>
      </c>
      <c r="B126" t="str">
        <f t="shared" si="19"/>
        <v>Google - YouTube</v>
      </c>
      <c r="C126" t="str">
        <f t="shared" si="20"/>
        <v>MK|BR_CH|OV_DT|CROSS_PB|YOUT_FM|VID_RT|CPM_PD|CAUSAS-DEPOIMENTOS-THAIS_TG|NON_ST|NON_TS|NONE_SZ|Video:15_AD|CM1_IT|NE</v>
      </c>
      <c r="D126" t="str">
        <f t="shared" si="21"/>
        <v>255625815</v>
      </c>
      <c r="E126" t="str">
        <f t="shared" si="22"/>
        <v>Dynamic Click</v>
      </c>
      <c r="F126" t="str">
        <f t="shared" si="23"/>
        <v>MK|BR_CH|OV_DT|CROSS_PB|YOUT_FM|VID_RT|CPM_PD|CAUSAS-DEPOIMENTOS-THAIS_TG|NON_ST|NON_TS|NONE_SZ|Video:15_AD|CM1_IT|NE</v>
      </c>
      <c r="G126" t="str">
        <f t="shared" si="24"/>
        <v>451478662</v>
      </c>
      <c r="H126" t="str">
        <f t="shared" si="25"/>
        <v>Tracking</v>
      </c>
      <c r="I126">
        <f t="shared" si="26"/>
        <v>60638</v>
      </c>
      <c r="J126">
        <f t="shared" si="27"/>
        <v>656</v>
      </c>
      <c r="K126" s="4">
        <f t="shared" si="30"/>
        <v>3.5000000000000001E-3</v>
      </c>
      <c r="L126">
        <f t="shared" si="31"/>
        <v>0.02</v>
      </c>
      <c r="M126" s="4">
        <f t="shared" si="28"/>
        <v>2.2960000000000003</v>
      </c>
      <c r="N126" s="4">
        <f t="shared" si="29"/>
        <v>13.120000000000001</v>
      </c>
    </row>
    <row r="127" spans="1:14">
      <c r="A127" t="str">
        <f t="shared" si="18"/>
        <v>MK|BR_CN|CAUSAS_MN|NONE_YQ|19Q1Q4_CP|PO5020004141_SP|N/A_AC|CC_OB|ACQ_U1|DCM</v>
      </c>
      <c r="B127" t="str">
        <f t="shared" si="19"/>
        <v>Google - YouTube</v>
      </c>
      <c r="C127" t="str">
        <f t="shared" si="20"/>
        <v>MK|BR_CH|OV_DT|CROSS_PB|YOUT_FM|VID_RT|CPM_PD|CAUSAS-DEPOIMENTOS-TIADAG_TG|NON_ST|NON_TS|NONE_SZ|Video:15_AD|CM1_IT|NE</v>
      </c>
      <c r="D127" t="str">
        <f t="shared" si="21"/>
        <v>255625818</v>
      </c>
      <c r="E127" t="str">
        <f t="shared" si="22"/>
        <v>Dynamic Click</v>
      </c>
      <c r="F127" t="str">
        <f t="shared" si="23"/>
        <v>MK|BR_CH|OV_DT|CROSS_PB|YOUT_FM|VID_RT|CPM_PD|CAUSAS-DEPOIMENTOS-TIADAG_TG|NON_ST|NON_TS|NONE_SZ|Video:15_AD|CM1_IT|NE</v>
      </c>
      <c r="G127" t="str">
        <f t="shared" si="24"/>
        <v>451478665</v>
      </c>
      <c r="H127" t="str">
        <f t="shared" si="25"/>
        <v>Tracking</v>
      </c>
      <c r="I127">
        <f t="shared" si="26"/>
        <v>164954</v>
      </c>
      <c r="J127">
        <f t="shared" si="27"/>
        <v>1952</v>
      </c>
      <c r="K127" s="4">
        <f t="shared" si="30"/>
        <v>3.5000000000000001E-3</v>
      </c>
      <c r="L127">
        <f t="shared" si="31"/>
        <v>0.02</v>
      </c>
      <c r="M127" s="4">
        <f t="shared" si="28"/>
        <v>6.8319999999999999</v>
      </c>
      <c r="N127" s="4">
        <f t="shared" si="29"/>
        <v>39.04</v>
      </c>
    </row>
    <row r="128" spans="1:14">
      <c r="A128" t="str">
        <f t="shared" si="18"/>
        <v>MK|BR_CN|CAUSAS_MN|NONE_YQ|19Q1Q4_CP|PO5020004141_SP|N/A_AC|CC_OB|ACQ_U1|DCM</v>
      </c>
      <c r="B128" t="str">
        <f t="shared" si="19"/>
        <v>Google - YouTube</v>
      </c>
      <c r="C128" t="str">
        <f t="shared" si="20"/>
        <v>MK|BR_CH|OV_DT|CROSS_PB|YOUT_FM|VID_RT|CPM_PD|CAUSAS-IMBRA_TG|NON_ST|NON_TS|NONE_SZ|Video:2_AD|CM1_IT|NE</v>
      </c>
      <c r="D128" t="str">
        <f t="shared" si="21"/>
        <v>255728945</v>
      </c>
      <c r="E128" t="str">
        <f t="shared" si="22"/>
        <v>Dynamic Click</v>
      </c>
      <c r="F128" t="str">
        <f t="shared" si="23"/>
        <v>MK|BR_CH|OV_DT|CROSS_PB|YOUT_FM|VID_RT|CPM_PD|CAUSAS-IMBRA_TG|NON_ST|NON_TS|NONE_SZ|Video:2_AD|CM1_IT|NE</v>
      </c>
      <c r="G128" t="str">
        <f t="shared" si="24"/>
        <v>451964627</v>
      </c>
      <c r="H128" t="str">
        <f t="shared" si="25"/>
        <v>Tracking</v>
      </c>
      <c r="I128">
        <f t="shared" si="26"/>
        <v>9937668</v>
      </c>
      <c r="J128">
        <f t="shared" si="27"/>
        <v>58735</v>
      </c>
      <c r="K128" s="4">
        <f t="shared" si="30"/>
        <v>3.5000000000000001E-3</v>
      </c>
      <c r="L128">
        <f t="shared" si="31"/>
        <v>0.02</v>
      </c>
      <c r="M128" s="4">
        <f t="shared" si="28"/>
        <v>205.57249999999999</v>
      </c>
      <c r="N128" s="4">
        <f t="shared" si="29"/>
        <v>1174.7</v>
      </c>
    </row>
    <row r="129" spans="1:14">
      <c r="A129" t="str">
        <f t="shared" si="18"/>
        <v>MK|BR_CN|CAUSAS_MN|NONE_YQ|19Q1Q4_CP|PO5020004141_SP|N/A_AC|CC_OB|ACQ_U1|DCM</v>
      </c>
      <c r="B129" t="str">
        <f t="shared" si="19"/>
        <v>Google - YouTube</v>
      </c>
      <c r="C129" t="str">
        <f t="shared" si="20"/>
        <v>NÃO USAR</v>
      </c>
      <c r="D129" t="str">
        <f t="shared" si="21"/>
        <v>255728948</v>
      </c>
      <c r="E129" t="str">
        <f t="shared" si="22"/>
        <v>Dynamic Click</v>
      </c>
      <c r="F129" t="str">
        <f t="shared" si="23"/>
        <v>NÃO USAR</v>
      </c>
      <c r="G129" t="str">
        <f t="shared" si="24"/>
        <v>451899687</v>
      </c>
      <c r="H129" t="str">
        <f t="shared" si="25"/>
        <v>Tracking</v>
      </c>
      <c r="I129">
        <f t="shared" si="26"/>
        <v>0</v>
      </c>
      <c r="J129">
        <f t="shared" si="27"/>
        <v>1</v>
      </c>
      <c r="K129" s="4">
        <f t="shared" si="30"/>
        <v>3.5000000000000001E-3</v>
      </c>
      <c r="L129">
        <f t="shared" si="31"/>
        <v>0.02</v>
      </c>
      <c r="M129" s="4">
        <f t="shared" si="28"/>
        <v>3.5000000000000001E-3</v>
      </c>
      <c r="N129" s="4">
        <f t="shared" si="29"/>
        <v>0.02</v>
      </c>
    </row>
    <row r="130" spans="1:14">
      <c r="A130" t="str">
        <f t="shared" ref="A130:A193" si="32">bd_campaign</f>
        <v>MK|BR_CN|CAUSAS_MN|NONE_YQ|19Q1Q4_CP|PO5020004141_SP|N/A_AC|CC_OB|ACQ_U1|DCM</v>
      </c>
      <c r="B130" t="str">
        <f t="shared" ref="B130:B193" si="33">bd_site</f>
        <v>Google - YouTube</v>
      </c>
      <c r="C130" t="str">
        <f t="shared" ref="C130:C193" si="34">bd_placement</f>
        <v>NÃO USAR</v>
      </c>
      <c r="D130" t="str">
        <f t="shared" ref="D130:D193" si="35">bd_placementID</f>
        <v>255728951</v>
      </c>
      <c r="E130" t="str">
        <f t="shared" ref="E130:E193" si="36">VLOOKUP(CONCATENATE(bd_adtype,"_",bd_creativetype),tabela,2,FALSE)</f>
        <v>Dynamic Click</v>
      </c>
      <c r="F130" t="str">
        <f t="shared" ref="F130:F193" si="37">bd_ad</f>
        <v>NÃO USAR</v>
      </c>
      <c r="G130" t="str">
        <f t="shared" ref="G130:G193" si="38">bd_adid</f>
        <v>451899690</v>
      </c>
      <c r="H130" t="str">
        <f t="shared" ref="H130:H193" si="39">bd_creativetype</f>
        <v>Tracking</v>
      </c>
      <c r="I130">
        <f t="shared" ref="I130:I193" si="40">bd_impression</f>
        <v>0</v>
      </c>
      <c r="J130">
        <f t="shared" ref="J130:J193" si="41">bd_clicks</f>
        <v>1</v>
      </c>
      <c r="K130" s="4">
        <f t="shared" si="30"/>
        <v>3.5000000000000001E-3</v>
      </c>
      <c r="L130">
        <f t="shared" si="31"/>
        <v>0.02</v>
      </c>
      <c r="M130" s="4">
        <f t="shared" si="28"/>
        <v>3.5000000000000001E-3</v>
      </c>
      <c r="N130" s="4">
        <f t="shared" si="29"/>
        <v>0.02</v>
      </c>
    </row>
    <row r="131" spans="1:14">
      <c r="A131" t="str">
        <f t="shared" si="32"/>
        <v>MK|BR_CN|CAUSAS_MN|NONE_YQ|19Q1Q4_CP|PO5020004141_SP|N/A_AC|CC_OB|ACQ_U1|DCM</v>
      </c>
      <c r="B131" t="str">
        <f t="shared" si="33"/>
        <v>Google - YouTube</v>
      </c>
      <c r="C131" t="str">
        <f t="shared" si="34"/>
        <v>NÃO USAR</v>
      </c>
      <c r="D131" t="str">
        <f t="shared" si="35"/>
        <v>255728954</v>
      </c>
      <c r="E131" t="str">
        <f t="shared" si="36"/>
        <v>Dynamic Click</v>
      </c>
      <c r="F131" t="str">
        <f t="shared" si="37"/>
        <v>NÃO USAR</v>
      </c>
      <c r="G131" t="str">
        <f t="shared" si="38"/>
        <v>451899693</v>
      </c>
      <c r="H131" t="str">
        <f t="shared" si="39"/>
        <v>Tracking</v>
      </c>
      <c r="I131">
        <f t="shared" si="40"/>
        <v>0</v>
      </c>
      <c r="J131">
        <f t="shared" si="41"/>
        <v>1</v>
      </c>
      <c r="K131" s="4">
        <f t="shared" si="30"/>
        <v>3.5000000000000001E-3</v>
      </c>
      <c r="L131">
        <f t="shared" si="31"/>
        <v>0.02</v>
      </c>
      <c r="M131" s="4">
        <f t="shared" si="28"/>
        <v>3.5000000000000001E-3</v>
      </c>
      <c r="N131" s="4">
        <f t="shared" si="29"/>
        <v>0.02</v>
      </c>
    </row>
    <row r="132" spans="1:14">
      <c r="A132" t="str">
        <f t="shared" si="32"/>
        <v>MK|BR_CN|CAUSAS_MN|NONE_YQ|19Q1Q4_CP|PO5020004141_SP|N/A_AC|CC_OB|ACQ_U1|DCM</v>
      </c>
      <c r="B132" t="str">
        <f t="shared" si="33"/>
        <v>Google - YouTube</v>
      </c>
      <c r="C132" t="str">
        <f t="shared" si="34"/>
        <v>Não usar</v>
      </c>
      <c r="D132" t="str">
        <f t="shared" si="35"/>
        <v>255728957</v>
      </c>
      <c r="E132" t="str">
        <f t="shared" si="36"/>
        <v>Dynamic Click</v>
      </c>
      <c r="F132" t="str">
        <f t="shared" si="37"/>
        <v>NÃO USAR</v>
      </c>
      <c r="G132" t="str">
        <f t="shared" si="38"/>
        <v>451899696</v>
      </c>
      <c r="H132" t="str">
        <f t="shared" si="39"/>
        <v>Tracking</v>
      </c>
      <c r="I132">
        <f t="shared" si="40"/>
        <v>0</v>
      </c>
      <c r="J132">
        <f t="shared" si="41"/>
        <v>1</v>
      </c>
      <c r="K132" s="4">
        <f t="shared" si="30"/>
        <v>3.5000000000000001E-3</v>
      </c>
      <c r="L132">
        <f t="shared" si="31"/>
        <v>0.02</v>
      </c>
      <c r="M132" s="4">
        <f t="shared" si="28"/>
        <v>3.5000000000000001E-3</v>
      </c>
      <c r="N132" s="4">
        <f t="shared" si="29"/>
        <v>0.02</v>
      </c>
    </row>
    <row r="133" spans="1:14">
      <c r="A133" t="str">
        <f t="shared" si="32"/>
        <v>MK|BR_CN|CAUSAS_MN|NONE_YQ|19Q1Q4_CP|PO5020004141_SP|N/A_AC|CC_OB|ACQ_U1|DCM</v>
      </c>
      <c r="B133" t="str">
        <f t="shared" si="33"/>
        <v>Google Brasil</v>
      </c>
      <c r="C133" t="str">
        <f t="shared" si="34"/>
        <v>MK|BR_CH|OV_DT|CROSS_PB|YOUT_FM|VID_RT|CPM_PD|CAUSAS-DEPOIMENTOS-RAFAELA_TG|NON_ST|NON_TS|NONE_SZ|Video:15_AD|CM1_IT|NE</v>
      </c>
      <c r="D133" t="str">
        <f t="shared" si="35"/>
        <v>253483945</v>
      </c>
      <c r="E133" t="str">
        <f t="shared" si="36"/>
        <v>Dynamic Click</v>
      </c>
      <c r="F133" t="str">
        <f t="shared" si="37"/>
        <v>MK|BR_CH|OV_DT|CROSS_PB|YOUT_FM|VID_RT|CPM_PD|CAUSAS-DEPOIMENTOS-RAFAELA_TG|NON_ST|NON_TS|NONE_SZ|Video:15_AD|CM1_IT|NE</v>
      </c>
      <c r="G133" t="str">
        <f t="shared" si="38"/>
        <v>449520917</v>
      </c>
      <c r="H133" t="str">
        <f t="shared" si="39"/>
        <v>Tracking</v>
      </c>
      <c r="I133">
        <f t="shared" si="40"/>
        <v>3</v>
      </c>
      <c r="J133">
        <f t="shared" si="41"/>
        <v>0</v>
      </c>
      <c r="K133" s="4">
        <f t="shared" si="30"/>
        <v>3.5000000000000001E-3</v>
      </c>
      <c r="L133">
        <f t="shared" si="31"/>
        <v>0.02</v>
      </c>
      <c r="M133" s="4">
        <f t="shared" si="28"/>
        <v>0</v>
      </c>
      <c r="N133" s="4">
        <f t="shared" si="29"/>
        <v>0</v>
      </c>
    </row>
    <row r="134" spans="1:14">
      <c r="A134" t="str">
        <f t="shared" si="32"/>
        <v>MK|BR_CN|CAUSAS_MN|NONE_YQ|19Q1Q4_CP|PO5020004141_SP|N/A_AC|CC_OB|ACQ_U1|DCM</v>
      </c>
      <c r="B134" t="str">
        <f t="shared" si="33"/>
        <v>Google Brasil</v>
      </c>
      <c r="C134" t="str">
        <f t="shared" si="34"/>
        <v>MK|BR_CH|OV_DT|CROSS_PB|YOUT_FM|VID_RT|CPM_PD|CAUSAS-DEPOIMENTOS-RAFAELA_TG|NON_ST|NON_TS|NONE_SZ|Video:2_AD|CM1_IT|NE</v>
      </c>
      <c r="D134" t="str">
        <f t="shared" si="35"/>
        <v>253073504</v>
      </c>
      <c r="E134" t="str">
        <f t="shared" si="36"/>
        <v>Dynamic Click</v>
      </c>
      <c r="F134" t="str">
        <f t="shared" si="37"/>
        <v>MK|BR_CH|OV_DT|CROSS_PB|YOUT_FM|VID_RT|CPM_PD|CAUSAS-DEPOIMENTOS-RAFAELA_TG|NON_ST|NON_TS|NONE_SZ|Video:2_AD|CM1_IT|NE</v>
      </c>
      <c r="G134" t="str">
        <f t="shared" si="38"/>
        <v>449421921</v>
      </c>
      <c r="H134" t="str">
        <f t="shared" si="39"/>
        <v>Tracking</v>
      </c>
      <c r="I134">
        <f t="shared" si="40"/>
        <v>40</v>
      </c>
      <c r="J134">
        <f t="shared" si="41"/>
        <v>61</v>
      </c>
      <c r="K134" s="4">
        <f t="shared" si="30"/>
        <v>3.5000000000000001E-3</v>
      </c>
      <c r="L134">
        <f t="shared" si="31"/>
        <v>0.02</v>
      </c>
      <c r="M134" s="4">
        <f t="shared" si="28"/>
        <v>0.2135</v>
      </c>
      <c r="N134" s="4">
        <f t="shared" si="29"/>
        <v>1.22</v>
      </c>
    </row>
    <row r="135" spans="1:14">
      <c r="A135" t="str">
        <f t="shared" si="32"/>
        <v>MK|BR_CN|CAUSAS_MN|NONE_YQ|19Q1Q4_CP|PO5020004141_SP|N/A_AC|CC_OB|ACQ_U1|DCM</v>
      </c>
      <c r="B135" t="str">
        <f t="shared" si="33"/>
        <v>Google Brasil</v>
      </c>
      <c r="C135" t="str">
        <f t="shared" si="34"/>
        <v>MK|BR_CH|OV_DT|CROSS_PB|YOUT_FM|VID_RT|CPM_PD|CAUSAS-DEPOIMENTOS-TIADAG-WIDE_TG|NON_ST|NON_TS|NONE_SZ|Video:15_AD|CM1_IT|NE</v>
      </c>
      <c r="D135" t="str">
        <f t="shared" si="35"/>
        <v>253137581</v>
      </c>
      <c r="E135" t="str">
        <f t="shared" si="36"/>
        <v>Dynamic Click</v>
      </c>
      <c r="F135" t="str">
        <f t="shared" si="37"/>
        <v>MK|BR_CH|OV_DT|CROSS_PB|YOUT_FM|VID_RT|CPM_PD|CAUSAS-DEPOIMENTOS-TIADAG-WIDE_TG|NON_ST|NON_TS|NONE_SZ|Video:15_AD|CM1_IT|NE</v>
      </c>
      <c r="G135" t="str">
        <f t="shared" si="38"/>
        <v>449521697</v>
      </c>
      <c r="H135" t="str">
        <f t="shared" si="39"/>
        <v>Tracking</v>
      </c>
      <c r="I135">
        <f t="shared" si="40"/>
        <v>0</v>
      </c>
      <c r="J135">
        <f t="shared" si="41"/>
        <v>1</v>
      </c>
      <c r="K135" s="4">
        <f t="shared" si="30"/>
        <v>3.5000000000000001E-3</v>
      </c>
      <c r="L135">
        <f t="shared" si="31"/>
        <v>0.02</v>
      </c>
      <c r="M135" s="4">
        <f t="shared" si="28"/>
        <v>3.5000000000000001E-3</v>
      </c>
      <c r="N135" s="4">
        <f t="shared" si="29"/>
        <v>0.02</v>
      </c>
    </row>
    <row r="136" spans="1:14">
      <c r="A136" t="str">
        <f t="shared" si="32"/>
        <v>MK|BR_CN|CAUSAS_MN|NONE_YQ|19Q1Q4_CP|PO5020004141_SP|N/A_AC|CC_OB|ACQ_U1|DCM</v>
      </c>
      <c r="B136" t="str">
        <f t="shared" si="33"/>
        <v>Google Brasil</v>
      </c>
      <c r="C136" t="str">
        <f t="shared" si="34"/>
        <v>MK|BR_CH|OV_DT|CROSS_PB|YOUT_FM|VID_RT|CPM_PD|CAUSAS-DEPOIMENTOS-TIADAG_TG|NON_ST|NON_TS|NONE_SZ|Video:2_AD|CM1_IT|NE</v>
      </c>
      <c r="D136" t="str">
        <f t="shared" si="35"/>
        <v>253073396</v>
      </c>
      <c r="E136" t="str">
        <f t="shared" si="36"/>
        <v>Dynamic Click</v>
      </c>
      <c r="F136" t="str">
        <f t="shared" si="37"/>
        <v>MK|BR_CH|OV_DT|CROSS_PB|YOUT_FM|VID_RT|CPM_PD|CAUSAS-DEPOIMENTOS-TIADAG_TG|NON_ST|NON_TS|NONE_SZ|Video:2_AD|CM1_IT|NE</v>
      </c>
      <c r="G136" t="str">
        <f t="shared" si="38"/>
        <v>449420889</v>
      </c>
      <c r="H136" t="str">
        <f t="shared" si="39"/>
        <v>Tracking</v>
      </c>
      <c r="I136">
        <f t="shared" si="40"/>
        <v>57</v>
      </c>
      <c r="J136">
        <f t="shared" si="41"/>
        <v>61</v>
      </c>
      <c r="K136" s="4">
        <f t="shared" si="30"/>
        <v>3.5000000000000001E-3</v>
      </c>
      <c r="L136">
        <f t="shared" si="31"/>
        <v>0.02</v>
      </c>
      <c r="M136" s="4">
        <f t="shared" si="28"/>
        <v>0.2135</v>
      </c>
      <c r="N136" s="4">
        <f t="shared" si="29"/>
        <v>1.22</v>
      </c>
    </row>
    <row r="137" spans="1:14">
      <c r="A137" t="str">
        <f t="shared" si="32"/>
        <v>MK|BR_CN|CAUSAS_MN|NONE_YQ|19Q1Q4_CP|PO5020004141_SP|N/A_AC|CC_OB|ACQ_U1|DCM</v>
      </c>
      <c r="B137" t="str">
        <f t="shared" si="33"/>
        <v>Google Brasil</v>
      </c>
      <c r="C137" t="str">
        <f t="shared" si="34"/>
        <v>MK|BR_CH|PD_DT|CROSS_PB|DV36_FM|BAN_RT|CPM_PD|CAUSAS-CADASTRE-SE_TG|NON_ST|NON_TS|NONE_SZ|120x600_AD|CM_IT|POE_U1|CRIANCAS-ADOLESCENTES</v>
      </c>
      <c r="D137" t="str">
        <f t="shared" si="35"/>
        <v>255477289</v>
      </c>
      <c r="E137" t="str">
        <f t="shared" si="36"/>
        <v>Standard</v>
      </c>
      <c r="F137" t="str">
        <f t="shared" si="37"/>
        <v>MK|BR_CH|PD_DT|CROSS_PB|DV36_FM|BAN_RT|CPM_PD|CAUSAS-CADASTRE-SE_TG|NON_ST|NON_TS|NONE_SZ|120x600_AD|CM_IT|POE_U1|CRIANCAS-ADOLESCENTES</v>
      </c>
      <c r="G137" t="str">
        <f t="shared" si="38"/>
        <v>451446536</v>
      </c>
      <c r="H137" t="str">
        <f t="shared" si="39"/>
        <v>Display</v>
      </c>
      <c r="I137">
        <f t="shared" si="40"/>
        <v>31365</v>
      </c>
      <c r="J137">
        <f t="shared" si="41"/>
        <v>8</v>
      </c>
      <c r="K137" s="4">
        <f t="shared" si="30"/>
        <v>3.8199999999999998E-2</v>
      </c>
      <c r="L137">
        <f t="shared" si="31"/>
        <v>0.09</v>
      </c>
      <c r="M137" s="4">
        <f t="shared" si="28"/>
        <v>1.198143</v>
      </c>
      <c r="N137" s="4">
        <f t="shared" si="29"/>
        <v>2.8228499999999999</v>
      </c>
    </row>
    <row r="138" spans="1:14">
      <c r="A138" t="str">
        <f t="shared" si="32"/>
        <v>MK|BR_CN|CAUSAS_MN|NONE_YQ|19Q1Q4_CP|PO5020004141_SP|N/A_AC|CC_OB|ACQ_U1|DCM</v>
      </c>
      <c r="B138" t="str">
        <f t="shared" si="33"/>
        <v>Google Brasil</v>
      </c>
      <c r="C138" t="str">
        <f t="shared" si="34"/>
        <v>MK|BR_CH|PD_DT|CROSS_PB|DV36_FM|BAN_RT|CPM_PD|CAUSAS-CADASTRE-SE_TG|NON_ST|NON_TS|NONE_SZ|120x600_AD|CM_IT|POE_U1|IDOSOS</v>
      </c>
      <c r="D138" t="str">
        <f t="shared" si="35"/>
        <v>255477274</v>
      </c>
      <c r="E138" t="str">
        <f t="shared" si="36"/>
        <v>Standard</v>
      </c>
      <c r="F138" t="str">
        <f t="shared" si="37"/>
        <v>MK|BR_CH|PD_DT|CROSS_PB|DV36_FM|BAN_RT|CPM_PD|CAUSAS-CADASTRE-SE_TG|NON_ST|NON_TS|NONE_SZ|120x600_AD|CM_IT|POE_U1|IDOSOS</v>
      </c>
      <c r="G138" t="str">
        <f t="shared" si="38"/>
        <v>451446521</v>
      </c>
      <c r="H138" t="str">
        <f t="shared" si="39"/>
        <v>Display</v>
      </c>
      <c r="I138">
        <f t="shared" si="40"/>
        <v>95745</v>
      </c>
      <c r="J138">
        <f t="shared" si="41"/>
        <v>6</v>
      </c>
      <c r="K138" s="4">
        <f t="shared" si="30"/>
        <v>3.8199999999999998E-2</v>
      </c>
      <c r="L138">
        <f t="shared" si="31"/>
        <v>0.09</v>
      </c>
      <c r="M138" s="4">
        <f t="shared" si="28"/>
        <v>3.6574589999999998</v>
      </c>
      <c r="N138" s="4">
        <f t="shared" si="29"/>
        <v>8.617049999999999</v>
      </c>
    </row>
    <row r="139" spans="1:14">
      <c r="A139" t="str">
        <f t="shared" si="32"/>
        <v>MK|BR_CN|CAUSAS_MN|NONE_YQ|19Q1Q4_CP|PO5020004141_SP|N/A_AC|CC_OB|ACQ_U1|DCM</v>
      </c>
      <c r="B139" t="str">
        <f t="shared" si="33"/>
        <v>Google Brasil</v>
      </c>
      <c r="C139" t="str">
        <f t="shared" si="34"/>
        <v>MK|BR_CH|PD_DT|CROSS_PB|DV36_FM|BAN_RT|CPM_PD|CAUSAS-CADASTRE-SE_TG|NON_ST|NON_TS|NONE_SZ|300x250_AD|CM_IT|POE_U1|CRIANCAS-ADOLESCENTES</v>
      </c>
      <c r="D139" t="str">
        <f t="shared" si="35"/>
        <v>255477292</v>
      </c>
      <c r="E139" t="str">
        <f t="shared" si="36"/>
        <v>Standard</v>
      </c>
      <c r="F139" t="str">
        <f t="shared" si="37"/>
        <v>MK|BR_CH|PD_DT|CROSS_PB|DV36_FM|BAN_RT|CPM_PD|CAUSAS-CADASTRE-SE_TG|NON_ST|NON_TS|NONE_SZ|300x250_AD|CM_IT|POE_U1|CRIANCAS-ADOLESCENTES</v>
      </c>
      <c r="G139" t="str">
        <f t="shared" si="38"/>
        <v>451446539</v>
      </c>
      <c r="H139" t="str">
        <f t="shared" si="39"/>
        <v>Display</v>
      </c>
      <c r="I139">
        <f t="shared" si="40"/>
        <v>1209858</v>
      </c>
      <c r="J139">
        <f t="shared" si="41"/>
        <v>1200</v>
      </c>
      <c r="K139" s="4">
        <f t="shared" si="30"/>
        <v>3.8199999999999998E-2</v>
      </c>
      <c r="L139">
        <f t="shared" si="31"/>
        <v>0.09</v>
      </c>
      <c r="M139" s="4">
        <f t="shared" si="28"/>
        <v>46.216575599999999</v>
      </c>
      <c r="N139" s="4">
        <f t="shared" si="29"/>
        <v>108.88722</v>
      </c>
    </row>
    <row r="140" spans="1:14">
      <c r="A140" t="str">
        <f t="shared" si="32"/>
        <v>MK|BR_CN|CAUSAS_MN|NONE_YQ|19Q1Q4_CP|PO5020004141_SP|N/A_AC|CC_OB|ACQ_U1|DCM</v>
      </c>
      <c r="B140" t="str">
        <f t="shared" si="33"/>
        <v>Google Brasil</v>
      </c>
      <c r="C140" t="str">
        <f t="shared" si="34"/>
        <v>MK|BR_CH|PD_DT|CROSS_PB|DV36_FM|BAN_RT|CPM_PD|CAUSAS-CADASTRE-SE_TG|NON_ST|NON_TS|NONE_SZ|300x250_AD|CM_IT|POE_U1|IDOSOS</v>
      </c>
      <c r="D140" t="str">
        <f t="shared" si="35"/>
        <v>255477277</v>
      </c>
      <c r="E140" t="str">
        <f t="shared" si="36"/>
        <v>Standard</v>
      </c>
      <c r="F140" t="str">
        <f t="shared" si="37"/>
        <v>MK|BR_CH|PD_DT|CROSS_PB|DV36_FM|BAN_RT|CPM_PD|CAUSAS-CADASTRE-SE_TG|NON_ST|NON_TS|NONE_SZ|300x250_AD|CM_IT|POE_U1|IDOSOS</v>
      </c>
      <c r="G140" t="str">
        <f t="shared" si="38"/>
        <v>451446524</v>
      </c>
      <c r="H140" t="str">
        <f t="shared" si="39"/>
        <v>Display</v>
      </c>
      <c r="I140">
        <f t="shared" si="40"/>
        <v>3651380</v>
      </c>
      <c r="J140">
        <f t="shared" si="41"/>
        <v>5467</v>
      </c>
      <c r="K140" s="4">
        <f t="shared" si="30"/>
        <v>3.8199999999999998E-2</v>
      </c>
      <c r="L140">
        <f t="shared" si="31"/>
        <v>0.09</v>
      </c>
      <c r="M140" s="4">
        <f t="shared" si="28"/>
        <v>139.48271599999998</v>
      </c>
      <c r="N140" s="4">
        <f t="shared" si="29"/>
        <v>328.62420000000003</v>
      </c>
    </row>
    <row r="141" spans="1:14">
      <c r="A141" t="str">
        <f t="shared" si="32"/>
        <v>MK|BR_CN|CAUSAS_MN|NONE_YQ|19Q1Q4_CP|PO5020004141_SP|N/A_AC|CC_OB|ACQ_U1|DCM</v>
      </c>
      <c r="B141" t="str">
        <f t="shared" si="33"/>
        <v>Google Brasil</v>
      </c>
      <c r="C141" t="str">
        <f t="shared" si="34"/>
        <v>MK|BR_CH|PD_DT|CROSS_PB|DV36_FM|BAN_RT|CPM_PD|CAUSAS-CADASTRE-SE_TG|NON_ST|NON_TS|NONE_SZ|300x50_AD|CM_IT|POE_U1|CRIANCAS-ADOLESCENTES</v>
      </c>
      <c r="D141" t="str">
        <f t="shared" si="35"/>
        <v>255477286</v>
      </c>
      <c r="E141" t="str">
        <f t="shared" si="36"/>
        <v>Standard</v>
      </c>
      <c r="F141" t="str">
        <f t="shared" si="37"/>
        <v>MK|BR_CH|PD_DT|CROSS_PB|DV36_FM|BAN_RT|CPM_PD|CAUSAS-CADASTRE-SE_TG|NON_ST|NON_TS|NONE_SZ|300x50_AD|CM_IT|POE_U1|CRIANCAS-ADOLESCENTES</v>
      </c>
      <c r="G141" t="str">
        <f t="shared" si="38"/>
        <v>451446533</v>
      </c>
      <c r="H141" t="str">
        <f t="shared" si="39"/>
        <v>Display</v>
      </c>
      <c r="I141">
        <f t="shared" si="40"/>
        <v>377314</v>
      </c>
      <c r="J141">
        <f t="shared" si="41"/>
        <v>867</v>
      </c>
      <c r="K141" s="4">
        <f t="shared" si="30"/>
        <v>3.8199999999999998E-2</v>
      </c>
      <c r="L141">
        <f t="shared" si="31"/>
        <v>0.09</v>
      </c>
      <c r="M141" s="4">
        <f t="shared" si="28"/>
        <v>14.413394800000001</v>
      </c>
      <c r="N141" s="4">
        <f t="shared" si="29"/>
        <v>33.958260000000003</v>
      </c>
    </row>
    <row r="142" spans="1:14">
      <c r="A142" t="str">
        <f t="shared" si="32"/>
        <v>MK|BR_CN|CAUSAS_MN|NONE_YQ|19Q1Q4_CP|PO5020004141_SP|N/A_AC|CC_OB|ACQ_U1|DCM</v>
      </c>
      <c r="B142" t="str">
        <f t="shared" si="33"/>
        <v>Google Brasil</v>
      </c>
      <c r="C142" t="str">
        <f t="shared" si="34"/>
        <v>MK|BR_CH|PD_DT|CROSS_PB|DV36_FM|BAN_RT|CPM_PD|CAUSAS-CADASTRE-SE_TG|NON_ST|NON_TS|NONE_SZ|300x50_AD|CM_IT|POE_U1|IDOSOS</v>
      </c>
      <c r="D142" t="str">
        <f t="shared" si="35"/>
        <v>255477271</v>
      </c>
      <c r="E142" t="str">
        <f t="shared" si="36"/>
        <v>Standard</v>
      </c>
      <c r="F142" t="str">
        <f t="shared" si="37"/>
        <v>MK|BR_CH|PD_DT|CROSS_PB|DV36_FM|BAN_RT|CPM_PD|CAUSAS-CADASTRE-SE_TG|NON_ST|NON_TS|NONE_SZ|300x50_AD|CM_IT|POE_U1|IDOSOS</v>
      </c>
      <c r="G142" t="str">
        <f t="shared" si="38"/>
        <v>451446518</v>
      </c>
      <c r="H142" t="str">
        <f t="shared" si="39"/>
        <v>Display</v>
      </c>
      <c r="I142">
        <f t="shared" si="40"/>
        <v>1235647</v>
      </c>
      <c r="J142">
        <f t="shared" si="41"/>
        <v>1849</v>
      </c>
      <c r="K142" s="4">
        <f t="shared" si="30"/>
        <v>3.8199999999999998E-2</v>
      </c>
      <c r="L142">
        <f t="shared" si="31"/>
        <v>0.09</v>
      </c>
      <c r="M142" s="4">
        <f t="shared" si="28"/>
        <v>47.201715399999998</v>
      </c>
      <c r="N142" s="4">
        <f t="shared" si="29"/>
        <v>111.20823</v>
      </c>
    </row>
    <row r="143" spans="1:14">
      <c r="A143" t="str">
        <f t="shared" si="32"/>
        <v>MK|BR_CN|CAUSAS_MN|NONE_YQ|19Q1Q4_CP|PO5020004141_SP|N/A_AC|CC_OB|ACQ_U1|DCM</v>
      </c>
      <c r="B143" t="str">
        <f t="shared" si="33"/>
        <v>Google Brasil</v>
      </c>
      <c r="C143" t="str">
        <f t="shared" si="34"/>
        <v>MK|BR_CH|PD_DT|CROSS_PB|DV36_FM|BAN_RT|CPM_PD|CAUSAS-CADASTRE-SE_TG|NON_ST|NON_TS|NONE_SZ|320x100_AD|CM_IT|POE_U1|CRIANCAS-ADOLESCENTES</v>
      </c>
      <c r="D143" t="str">
        <f t="shared" si="35"/>
        <v>255477280</v>
      </c>
      <c r="E143" t="str">
        <f t="shared" si="36"/>
        <v>Standard</v>
      </c>
      <c r="F143" t="str">
        <f t="shared" si="37"/>
        <v>MK|BR_CH|PD_DT|CROSS_PB|DV36_FM|BAN_RT|CPM_PD|CAUSAS-CADASTRE-SE_TG|NON_ST|NON_TS|NONE_SZ|320x100_AD|CM_IT|POE_U1|CRIANCAS-ADOLESCENTES</v>
      </c>
      <c r="G143" t="str">
        <f t="shared" si="38"/>
        <v>451446527</v>
      </c>
      <c r="H143" t="str">
        <f t="shared" si="39"/>
        <v>Display</v>
      </c>
      <c r="I143">
        <f t="shared" si="40"/>
        <v>52872</v>
      </c>
      <c r="J143">
        <f t="shared" si="41"/>
        <v>84</v>
      </c>
      <c r="K143" s="4">
        <f t="shared" si="30"/>
        <v>3.8199999999999998E-2</v>
      </c>
      <c r="L143">
        <f t="shared" si="31"/>
        <v>0.09</v>
      </c>
      <c r="M143" s="4">
        <f t="shared" si="28"/>
        <v>2.0197104000000001</v>
      </c>
      <c r="N143" s="4">
        <f t="shared" si="29"/>
        <v>4.7584799999999996</v>
      </c>
    </row>
    <row r="144" spans="1:14">
      <c r="A144" t="str">
        <f t="shared" si="32"/>
        <v>MK|BR_CN|CAUSAS_MN|NONE_YQ|19Q1Q4_CP|PO5020004141_SP|N/A_AC|CC_OB|ACQ_U1|DCM</v>
      </c>
      <c r="B144" t="str">
        <f t="shared" si="33"/>
        <v>Google Brasil</v>
      </c>
      <c r="C144" t="str">
        <f t="shared" si="34"/>
        <v>MK|BR_CH|PD_DT|CROSS_PB|DV36_FM|BAN_RT|CPM_PD|CAUSAS-CADASTRE-SE_TG|NON_ST|NON_TS|NONE_SZ|320x100_AD|CM_IT|POE_U1|IDOSOS</v>
      </c>
      <c r="D144" t="str">
        <f t="shared" si="35"/>
        <v>255477265</v>
      </c>
      <c r="E144" t="str">
        <f t="shared" si="36"/>
        <v>Standard</v>
      </c>
      <c r="F144" t="str">
        <f t="shared" si="37"/>
        <v>MK|BR_CH|PD_DT|CROSS_PB|DV36_FM|BAN_RT|CPM_PD|CAUSAS-CADASTRE-SE_TG|NON_ST|NON_TS|NONE_SZ|320x100_AD|CM_IT|POE_U1|IDOSOS</v>
      </c>
      <c r="G144" t="str">
        <f t="shared" si="38"/>
        <v>451484968</v>
      </c>
      <c r="H144" t="str">
        <f t="shared" si="39"/>
        <v>Display</v>
      </c>
      <c r="I144">
        <f t="shared" si="40"/>
        <v>436867</v>
      </c>
      <c r="J144">
        <f t="shared" si="41"/>
        <v>734</v>
      </c>
      <c r="K144" s="4">
        <f t="shared" si="30"/>
        <v>3.8199999999999998E-2</v>
      </c>
      <c r="L144">
        <f t="shared" si="31"/>
        <v>0.09</v>
      </c>
      <c r="M144" s="4">
        <f t="shared" si="28"/>
        <v>16.688319400000001</v>
      </c>
      <c r="N144" s="4">
        <f t="shared" si="29"/>
        <v>39.31803</v>
      </c>
    </row>
    <row r="145" spans="1:14">
      <c r="A145" t="str">
        <f t="shared" si="32"/>
        <v>MK|BR_CN|CAUSAS_MN|NONE_YQ|19Q1Q4_CP|PO5020004141_SP|N/A_AC|CC_OB|ACQ_U1|DCM</v>
      </c>
      <c r="B145" t="str">
        <f t="shared" si="33"/>
        <v>Google Brasil</v>
      </c>
      <c r="C145" t="str">
        <f t="shared" si="34"/>
        <v>MK|BR_CH|PD_DT|CROSS_PB|DV36_FM|BAN_RT|CPM_PD|CAUSAS-CADASTRE-SE_TG|NON_ST|NON_TS|NONE_SZ|728x90_AD|CM_IT|POE_U1|CRIANCAS-ADOLESCENTES</v>
      </c>
      <c r="D145" t="str">
        <f t="shared" si="35"/>
        <v>255477283</v>
      </c>
      <c r="E145" t="str">
        <f t="shared" si="36"/>
        <v>Standard</v>
      </c>
      <c r="F145" t="str">
        <f t="shared" si="37"/>
        <v>MK|BR_CH|PD_DT|CROSS_PB|DV36_FM|BAN_RT|CPM_PD|CAUSAS-CADASTRE-SE_TG|NON_ST|NON_TS|NONE_SZ|728x90_AD|CM_IT|POE_U1|CRIANCAS-ADOLESCENTES</v>
      </c>
      <c r="G145" t="str">
        <f t="shared" si="38"/>
        <v>451446530</v>
      </c>
      <c r="H145" t="str">
        <f t="shared" si="39"/>
        <v>Display</v>
      </c>
      <c r="I145">
        <f t="shared" si="40"/>
        <v>108193</v>
      </c>
      <c r="J145">
        <f t="shared" si="41"/>
        <v>27</v>
      </c>
      <c r="K145" s="4">
        <f t="shared" si="30"/>
        <v>3.8199999999999998E-2</v>
      </c>
      <c r="L145">
        <f t="shared" si="31"/>
        <v>0.09</v>
      </c>
      <c r="M145" s="4">
        <f t="shared" si="28"/>
        <v>4.1329726000000004</v>
      </c>
      <c r="N145" s="4">
        <f t="shared" si="29"/>
        <v>9.7373699999999985</v>
      </c>
    </row>
    <row r="146" spans="1:14">
      <c r="A146" t="str">
        <f t="shared" si="32"/>
        <v>MK|BR_CN|CAUSAS_MN|NONE_YQ|19Q1Q4_CP|PO5020004141_SP|N/A_AC|CC_OB|ACQ_U1|DCM</v>
      </c>
      <c r="B146" t="str">
        <f t="shared" si="33"/>
        <v>Google Brasil</v>
      </c>
      <c r="C146" t="str">
        <f t="shared" si="34"/>
        <v>MK|BR_CH|PD_DT|CROSS_PB|DV36_FM|BAN_RT|CPM_PD|CAUSAS-CADASTRE-SE_TG|NON_ST|NON_TS|NONE_SZ|728x90_AD|CM_IT|POE_U1|IDOSOS</v>
      </c>
      <c r="D146" t="str">
        <f t="shared" si="35"/>
        <v>255477268</v>
      </c>
      <c r="E146" t="str">
        <f t="shared" si="36"/>
        <v>Standard</v>
      </c>
      <c r="F146" t="str">
        <f t="shared" si="37"/>
        <v>MK|BR_CH|PD_DT|CROSS_PB|DV36_FM|BAN_RT|CPM_PD|CAUSAS-CADASTRE-SE_TG|NON_ST|NON_TS|NONE_SZ|728x90_AD|CM_IT|POE_U1|IDOSOS</v>
      </c>
      <c r="G146" t="str">
        <f t="shared" si="38"/>
        <v>451446515</v>
      </c>
      <c r="H146" t="str">
        <f t="shared" si="39"/>
        <v>Display</v>
      </c>
      <c r="I146">
        <f t="shared" si="40"/>
        <v>274995</v>
      </c>
      <c r="J146">
        <f t="shared" si="41"/>
        <v>114</v>
      </c>
      <c r="K146" s="4">
        <f t="shared" si="30"/>
        <v>3.8199999999999998E-2</v>
      </c>
      <c r="L146">
        <f t="shared" si="31"/>
        <v>0.09</v>
      </c>
      <c r="M146" s="4">
        <f t="shared" si="28"/>
        <v>10.504809</v>
      </c>
      <c r="N146" s="4">
        <f t="shared" si="29"/>
        <v>24.749549999999999</v>
      </c>
    </row>
    <row r="147" spans="1:14">
      <c r="A147" t="str">
        <f t="shared" si="32"/>
        <v>MK|BR_CN|CAUSAS_MN|NONE_YQ|19Q1Q4_CP|PO5020004141_SP|N/A_AC|CC_OB|ACQ_U1|DCM</v>
      </c>
      <c r="B147" t="str">
        <f t="shared" si="33"/>
        <v>Google Brasil</v>
      </c>
      <c r="C147" t="str">
        <f t="shared" si="34"/>
        <v>MK|BR_CH|PD_DT|CROSS_PB|DV36_FM|BAN_RT|CPM_PD|CAUSAS-FINALIZE_TG|NON_ST|NON_TS|NONE_SZ|320x100_AD|CM_IT|POE_U1|CRIANCAS-ADOLESCENTES</v>
      </c>
      <c r="D147" t="str">
        <f t="shared" si="35"/>
        <v>255477250</v>
      </c>
      <c r="E147" t="str">
        <f t="shared" si="36"/>
        <v>Standard</v>
      </c>
      <c r="F147" t="str">
        <f t="shared" si="37"/>
        <v>MK|BR_CH|PD_DT|CROSS_PB|DV36_FM|BAN_RT|CPM_PD|CAUSAS-FINALIZE_TG|NON_ST|NON_TS|NONE_SZ|320x100_AD|CM_IT|POE_U1|CRIANCAS-ADOLESCENTES</v>
      </c>
      <c r="G147" t="str">
        <f t="shared" si="38"/>
        <v>451484953</v>
      </c>
      <c r="H147" t="str">
        <f t="shared" si="39"/>
        <v>Display</v>
      </c>
      <c r="I147">
        <f t="shared" si="40"/>
        <v>1</v>
      </c>
      <c r="J147">
        <f t="shared" si="41"/>
        <v>1</v>
      </c>
      <c r="K147" s="4">
        <f t="shared" si="30"/>
        <v>3.8199999999999998E-2</v>
      </c>
      <c r="L147">
        <f t="shared" si="31"/>
        <v>0.09</v>
      </c>
      <c r="M147" s="4">
        <f t="shared" si="28"/>
        <v>3.82E-5</v>
      </c>
      <c r="N147" s="4">
        <f t="shared" si="29"/>
        <v>8.9999999999999992E-5</v>
      </c>
    </row>
    <row r="148" spans="1:14">
      <c r="A148" t="str">
        <f t="shared" si="32"/>
        <v>MK|BR_CN|CAUSAS_MN|NONE_YQ|19Q1Q4_CP|PO5020004141_SP|N/A_AC|CC_OB|ACQ_U1|DCM</v>
      </c>
      <c r="B148" t="str">
        <f t="shared" si="33"/>
        <v>Google Brasil</v>
      </c>
      <c r="C148" t="str">
        <f t="shared" si="34"/>
        <v>MK|BR_CH|PD_DT|CROSS_PB|DV36_FM|BAN_RT|CPM_PD|CAUSAS-FINALIZE_TG|NON_ST|NON_TS|NONE_SZ|320x100_AD|CM_IT|POE_U1|IDOSOS</v>
      </c>
      <c r="D148" t="str">
        <f t="shared" si="35"/>
        <v>255477235</v>
      </c>
      <c r="E148" t="str">
        <f t="shared" si="36"/>
        <v>Standard</v>
      </c>
      <c r="F148" t="str">
        <f t="shared" si="37"/>
        <v>MK|BR_CH|PD_DT|CROSS_PB|DV36_FM|BAN_RT|CPM_PD|CAUSAS-FINALIZE_TG|NON_ST|NON_TS|NONE_SZ|320x100_AD|CM_IT|POE_U1|IDOSOS</v>
      </c>
      <c r="G148" t="str">
        <f t="shared" si="38"/>
        <v>451484938</v>
      </c>
      <c r="H148" t="str">
        <f t="shared" si="39"/>
        <v>Display</v>
      </c>
      <c r="I148">
        <f t="shared" si="40"/>
        <v>1</v>
      </c>
      <c r="J148">
        <f t="shared" si="41"/>
        <v>1</v>
      </c>
      <c r="K148" s="4">
        <f t="shared" si="30"/>
        <v>3.8199999999999998E-2</v>
      </c>
      <c r="L148">
        <f t="shared" si="31"/>
        <v>0.09</v>
      </c>
      <c r="M148" s="4">
        <f t="shared" si="28"/>
        <v>3.82E-5</v>
      </c>
      <c r="N148" s="4">
        <f t="shared" si="29"/>
        <v>8.9999999999999992E-5</v>
      </c>
    </row>
    <row r="149" spans="1:14">
      <c r="A149" t="str">
        <f t="shared" si="32"/>
        <v>MK|BR_CN|CAUSAS_MN|NONE_YQ|19Q1Q4_CP|PO5020004141_SP|N/A_AC|CC_OB|ACQ_U1|DCM</v>
      </c>
      <c r="B149" t="str">
        <f t="shared" si="33"/>
        <v>Google Brasil</v>
      </c>
      <c r="C149" t="str">
        <f t="shared" si="34"/>
        <v>MK|BR_CH|PD_DT|CROSS_PB|DV36_FM|BAN_RT|CPM_PD|CAUSAS-PERFORMANCE-CADASTRE-SE_TG|NON_ST|NON_TS|NONE_SZ|300x250_AD|CM_IT|POE</v>
      </c>
      <c r="D149" t="str">
        <f t="shared" si="35"/>
        <v>251369360</v>
      </c>
      <c r="E149" t="str">
        <f t="shared" si="36"/>
        <v>Standard</v>
      </c>
      <c r="F149" t="str">
        <f t="shared" si="37"/>
        <v>MK|BR_CH|PD_DT|CROSS_PB|DV36_FM|BAN_RT|CPM_PD|CAUSAS-PERFORMANCE-CADASTRE-SE_TG|NON_ST|NON_TS|NONE_SZ|300x250_AD|CM_IT|POE</v>
      </c>
      <c r="G149" t="str">
        <f t="shared" si="38"/>
        <v>447756125</v>
      </c>
      <c r="H149" t="str">
        <f t="shared" si="39"/>
        <v>Display</v>
      </c>
      <c r="I149">
        <f t="shared" si="40"/>
        <v>0</v>
      </c>
      <c r="J149">
        <f t="shared" si="41"/>
        <v>2</v>
      </c>
      <c r="K149" s="4">
        <f t="shared" si="30"/>
        <v>3.8199999999999998E-2</v>
      </c>
      <c r="L149">
        <f t="shared" si="31"/>
        <v>0.09</v>
      </c>
      <c r="M149" s="4">
        <f t="shared" si="28"/>
        <v>0</v>
      </c>
      <c r="N149" s="4">
        <f t="shared" si="29"/>
        <v>0</v>
      </c>
    </row>
    <row r="150" spans="1:14">
      <c r="A150" t="str">
        <f t="shared" si="32"/>
        <v>MK|BR_CN|CAUSAS_MN|NONE_YQ|19Q1Q4_CP|PO5020004141_SP|N/A_AC|CC_OB|ACQ_U1|DCM</v>
      </c>
      <c r="B150" t="str">
        <f t="shared" si="33"/>
        <v>Google Brasil</v>
      </c>
      <c r="C150" t="str">
        <f t="shared" si="34"/>
        <v>MK|BR_CH|PD_DT|CROSS_PB|DV36_FM|BAN_RT|CPM_PD|CAUSAS-PERFORMANCE-CADASTRE-SE_TG|NON_ST|NON_TS|NONE_SZ|300x50_AD|CM_IT|POE</v>
      </c>
      <c r="D150" t="str">
        <f t="shared" si="35"/>
        <v>251367896</v>
      </c>
      <c r="E150" t="str">
        <f t="shared" si="36"/>
        <v>Standard</v>
      </c>
      <c r="F150" t="str">
        <f t="shared" si="37"/>
        <v>MK|BR_CH|PD_DT|CROSS_PB|DV36_FM|BAN_RT|CPM_PD|CAUSAS-PERFORMANCE-CADASTRE-SE_TG|NON_ST|NON_TS|NONE_SZ|300x50_AD|CM_IT|POE</v>
      </c>
      <c r="G150" t="str">
        <f t="shared" si="38"/>
        <v>447851710</v>
      </c>
      <c r="H150" t="str">
        <f t="shared" si="39"/>
        <v>Display</v>
      </c>
      <c r="I150">
        <f t="shared" si="40"/>
        <v>0</v>
      </c>
      <c r="J150">
        <f t="shared" si="41"/>
        <v>26</v>
      </c>
      <c r="K150" s="4">
        <f t="shared" si="30"/>
        <v>3.8199999999999998E-2</v>
      </c>
      <c r="L150">
        <f t="shared" si="31"/>
        <v>0.09</v>
      </c>
      <c r="M150" s="4">
        <f t="shared" si="28"/>
        <v>0</v>
      </c>
      <c r="N150" s="4">
        <f t="shared" si="29"/>
        <v>0</v>
      </c>
    </row>
    <row r="151" spans="1:14">
      <c r="A151" t="str">
        <f t="shared" si="32"/>
        <v>MK|BR_CN|CAUSAS_MN|NONE_YQ|19Q1Q4_CP|PO5020004141_SP|N/A_AC|CC_OB|ACQ_U1|DCM</v>
      </c>
      <c r="B151" t="str">
        <f t="shared" si="33"/>
        <v>Google Brasil</v>
      </c>
      <c r="C151" t="str">
        <f t="shared" si="34"/>
        <v>MK|BR_CH|PD_DT|CROSS_PB|DV36_FM|BAN_RT|CPM_PD|CAUSAS-PERFORMANCE-CADASTRE-SE_TG|NON_ST|NON_TS|NONE_SZ|300x600_AD|CM_IT|POE</v>
      </c>
      <c r="D151" t="str">
        <f t="shared" si="35"/>
        <v>251375756</v>
      </c>
      <c r="E151" t="str">
        <f t="shared" si="36"/>
        <v>Standard</v>
      </c>
      <c r="F151" t="str">
        <f t="shared" si="37"/>
        <v>MK|BR_CH|PD_DT|CROSS_PB|DV36_FM|BAN_RT|CPM_PD|CAUSAS-PERFORMANCE-CADASTRE-SE_TG|NON_ST|NON_TS|NONE_SZ|300x600_AD|CM_IT|POE</v>
      </c>
      <c r="G151" t="str">
        <f t="shared" si="38"/>
        <v>447756131</v>
      </c>
      <c r="H151" t="str">
        <f t="shared" si="39"/>
        <v>Display</v>
      </c>
      <c r="I151">
        <f t="shared" si="40"/>
        <v>0</v>
      </c>
      <c r="J151">
        <f t="shared" si="41"/>
        <v>1</v>
      </c>
      <c r="K151" s="4">
        <f t="shared" si="30"/>
        <v>3.8199999999999998E-2</v>
      </c>
      <c r="L151">
        <f t="shared" si="31"/>
        <v>0.09</v>
      </c>
      <c r="M151" s="4">
        <f t="shared" si="28"/>
        <v>0</v>
      </c>
      <c r="N151" s="4">
        <f t="shared" si="29"/>
        <v>0</v>
      </c>
    </row>
    <row r="152" spans="1:14">
      <c r="A152" t="str">
        <f t="shared" si="32"/>
        <v>MK|BR_CN|CAUSAS_MN|NONE_YQ|19Q1Q4_CP|PO5020004141_SP|N/A_AC|CC_OB|ACQ_U1|DCM</v>
      </c>
      <c r="B152" t="str">
        <f t="shared" si="33"/>
        <v>Google Brasil</v>
      </c>
      <c r="C152" t="str">
        <f t="shared" si="34"/>
        <v>MK|BR_CH|PD_DT|CROSS_PB|DV36_FM|BAN_RT|CPM_PD|CAUSAS-PERFORMANCE-CADASTRE-SE_TG|NON_ST|NON_TS|NONE_SZ|300x600_AD|CM_IT|POE</v>
      </c>
      <c r="D152" t="str">
        <f t="shared" si="35"/>
        <v>251375756</v>
      </c>
      <c r="E152" t="str">
        <f t="shared" si="36"/>
        <v>Standard</v>
      </c>
      <c r="F152" t="str">
        <f t="shared" si="37"/>
        <v>MK|BR_CH|PD_DT|CROSS_PB|DV36_FM|BAN_RT|CPM_PD|CAUSAS-PERFORMANCE-CADASTRE-SE_TG|NON_ST|NON_TS|NONE_SZ|300x600_AD|CM_IT|POE</v>
      </c>
      <c r="G152" t="str">
        <f t="shared" si="38"/>
        <v>447866704</v>
      </c>
      <c r="H152" t="str">
        <f t="shared" si="39"/>
        <v>Display</v>
      </c>
      <c r="I152">
        <f t="shared" si="40"/>
        <v>0</v>
      </c>
      <c r="J152">
        <f t="shared" si="41"/>
        <v>2</v>
      </c>
      <c r="K152" s="4">
        <f t="shared" si="30"/>
        <v>3.8199999999999998E-2</v>
      </c>
      <c r="L152">
        <f t="shared" si="31"/>
        <v>0.09</v>
      </c>
      <c r="M152" s="4">
        <f t="shared" si="28"/>
        <v>0</v>
      </c>
      <c r="N152" s="4">
        <f t="shared" si="29"/>
        <v>0</v>
      </c>
    </row>
    <row r="153" spans="1:14">
      <c r="A153" t="str">
        <f t="shared" si="32"/>
        <v>MK|BR_CN|CAUSAS_MN|NONE_YQ|19Q1Q4_CP|PO5020004141_SP|N/A_AC|CC_OB|ACQ_U1|DCM</v>
      </c>
      <c r="B153" t="str">
        <f t="shared" si="33"/>
        <v>Google Brasil</v>
      </c>
      <c r="C153" t="str">
        <f t="shared" si="34"/>
        <v>MK|BR_CH|PD_DT|CROSS_PB|DV36_FM|BAN_RT|CPM_PD|CAUSAS-USEMAIS_TG|NON_ST|NON_TS|NONE_SZ|728x90_AD|CM_IT|POE_U1|CRIANCAS-ADOLESCENTES</v>
      </c>
      <c r="D153" t="str">
        <f t="shared" si="35"/>
        <v>255135254</v>
      </c>
      <c r="E153" t="str">
        <f t="shared" si="36"/>
        <v>Standard</v>
      </c>
      <c r="F153" t="str">
        <f t="shared" si="37"/>
        <v>MK|BR_CH|PD_DT|CROSS_PB|DV36_FM|BAN_RT|CPM_PD|CAUSAS-USEMAIS_TG|NON_ST|NON_TS|NONE_SZ|728x90_AD|CM_IT|POE_U1|CRIANCAS-ADOLESCENTES</v>
      </c>
      <c r="G153" t="str">
        <f t="shared" si="38"/>
        <v>451386180</v>
      </c>
      <c r="H153" t="str">
        <f t="shared" si="39"/>
        <v>Display</v>
      </c>
      <c r="I153">
        <f t="shared" si="40"/>
        <v>1</v>
      </c>
      <c r="J153">
        <f t="shared" si="41"/>
        <v>1</v>
      </c>
      <c r="K153" s="4">
        <f t="shared" si="30"/>
        <v>3.8199999999999998E-2</v>
      </c>
      <c r="L153">
        <f t="shared" si="31"/>
        <v>0.09</v>
      </c>
      <c r="M153" s="4">
        <f t="shared" si="28"/>
        <v>3.82E-5</v>
      </c>
      <c r="N153" s="4">
        <f t="shared" si="29"/>
        <v>8.9999999999999992E-5</v>
      </c>
    </row>
    <row r="154" spans="1:14">
      <c r="A154" t="str">
        <f t="shared" si="32"/>
        <v>MK|BR_CN|CAUSAS_MN|NONE_YQ|19Q1Q4_CP|PO5020004141_SP|N/A_AC|CC_OB|ACQ_U1|DCM</v>
      </c>
      <c r="B154" t="str">
        <f t="shared" si="33"/>
        <v>Google Brasil</v>
      </c>
      <c r="C154" t="str">
        <f t="shared" si="34"/>
        <v>MK|BR_CH|PD_DT|CROSS_PB|DV36_FM|BAN_RT|CPM_PD|CAUSAS-USEMAIS_TG|NON_ST|NON_TS|NONE_SZ|728x90_AD|CM_IT|POE_U1|IDOSOS</v>
      </c>
      <c r="D154" t="str">
        <f t="shared" si="35"/>
        <v>255135269</v>
      </c>
      <c r="E154" t="str">
        <f t="shared" si="36"/>
        <v>Standard</v>
      </c>
      <c r="F154" t="str">
        <f t="shared" si="37"/>
        <v>MK|BR_CH|PD_DT|CROSS_PB|DV36_FM|BAN_RT|CPM_PD|CAUSAS-USEMAIS_TG|NON_ST|NON_TS|NONE_SZ|728x90_AD|CM_IT|POE_U1|IDOSOS</v>
      </c>
      <c r="G154" t="str">
        <f t="shared" si="38"/>
        <v>451386195</v>
      </c>
      <c r="H154" t="str">
        <f t="shared" si="39"/>
        <v>Display</v>
      </c>
      <c r="I154">
        <f t="shared" si="40"/>
        <v>1</v>
      </c>
      <c r="J154">
        <f t="shared" si="41"/>
        <v>1</v>
      </c>
      <c r="K154" s="4">
        <f t="shared" si="30"/>
        <v>3.8199999999999998E-2</v>
      </c>
      <c r="L154">
        <f t="shared" si="31"/>
        <v>0.09</v>
      </c>
      <c r="M154" s="4">
        <f t="shared" si="28"/>
        <v>3.82E-5</v>
      </c>
      <c r="N154" s="4">
        <f t="shared" si="29"/>
        <v>8.9999999999999992E-5</v>
      </c>
    </row>
    <row r="155" spans="1:14">
      <c r="A155" t="str">
        <f t="shared" si="32"/>
        <v>MK|BR_CN|CAUSAS_MN|NONE_YQ|19Q1Q4_CP|PO5020004141_SP|N/A_AC|CC_OB|ACQ_U1|DCM</v>
      </c>
      <c r="B155" t="str">
        <f t="shared" si="33"/>
        <v>Google Brasil</v>
      </c>
      <c r="C155" t="str">
        <f t="shared" si="34"/>
        <v>MK|BR_CH|PV_DT|CROSS_PB|DV36_FM|VID_RT|CPM_PD|CAUSAS-DEPOIMENTOS-DONACIDA_TG|NON_ST|NON_TS|NONE_SZ|Video:2_AD|CM1_IT|POE</v>
      </c>
      <c r="D155" t="str">
        <f t="shared" si="35"/>
        <v>251338592</v>
      </c>
      <c r="E155" t="str">
        <f t="shared" si="36"/>
        <v>Dynamic Click</v>
      </c>
      <c r="F155" t="str">
        <f t="shared" si="37"/>
        <v>MK|BR_CH|PV_DT|CROSS_PB|DV36_FM|VID_RT|CPM_PD|CAUSAS-DEPOIMENTOS-DONACIDA_TG|NON_ST|NON_TS|NONE_SZ|Video:2_AD|CM1_IT|POE</v>
      </c>
      <c r="G155" t="str">
        <f t="shared" si="38"/>
        <v>447666591</v>
      </c>
      <c r="H155" t="str">
        <f t="shared" si="39"/>
        <v>Tracking</v>
      </c>
      <c r="I155">
        <f t="shared" si="40"/>
        <v>0</v>
      </c>
      <c r="J155">
        <f t="shared" si="41"/>
        <v>19</v>
      </c>
      <c r="K155" s="4">
        <f t="shared" si="30"/>
        <v>3.5000000000000001E-3</v>
      </c>
      <c r="L155">
        <f t="shared" si="31"/>
        <v>0.02</v>
      </c>
      <c r="M155" s="4">
        <f t="shared" si="28"/>
        <v>6.6500000000000004E-2</v>
      </c>
      <c r="N155" s="4">
        <f t="shared" si="29"/>
        <v>0.38</v>
      </c>
    </row>
    <row r="156" spans="1:14">
      <c r="A156" t="str">
        <f t="shared" si="32"/>
        <v>MK|BR_CN|CAUSAS_MN|NONE_YQ|19Q1Q4_CP|PO5020004141_SP|N/A_AC|CC_OB|ACQ_U1|DCM</v>
      </c>
      <c r="B156" t="str">
        <f t="shared" si="33"/>
        <v>Google Brasil</v>
      </c>
      <c r="C156" t="str">
        <f t="shared" si="34"/>
        <v>MK|BR_CH|PV_DT|CROSS_PB|DV36_FM|VID_RT|CPM_PD|CAUSAS-IDOSO_TG|NON_ST|NON_TS|NONE_SZ|Video:2_AD|CM1_IT|NE</v>
      </c>
      <c r="D156" t="str">
        <f t="shared" si="35"/>
        <v>251728422</v>
      </c>
      <c r="E156" t="str">
        <f t="shared" si="36"/>
        <v>Dynamic Click</v>
      </c>
      <c r="F156" t="str">
        <f t="shared" si="37"/>
        <v>MK|BR_CH|PV_DT|CROSS_PB|DV36_FM|VID_RT|CPM_PD|CAUSAS-IDOSO_TG|NON_ST|NON_TS|NONE_SZ|Video:2_AD|CM1_IT|NE</v>
      </c>
      <c r="G156" t="str">
        <f t="shared" si="38"/>
        <v>447792979</v>
      </c>
      <c r="H156" t="str">
        <f t="shared" si="39"/>
        <v>Tracking</v>
      </c>
      <c r="I156">
        <f t="shared" si="40"/>
        <v>0</v>
      </c>
      <c r="J156">
        <f t="shared" si="41"/>
        <v>2</v>
      </c>
      <c r="K156" s="4">
        <f t="shared" si="30"/>
        <v>3.5000000000000001E-3</v>
      </c>
      <c r="L156">
        <f t="shared" si="31"/>
        <v>0.02</v>
      </c>
      <c r="M156" s="4">
        <f t="shared" si="28"/>
        <v>7.0000000000000001E-3</v>
      </c>
      <c r="N156" s="4">
        <f t="shared" si="29"/>
        <v>0.04</v>
      </c>
    </row>
    <row r="157" spans="1:14">
      <c r="A157" t="str">
        <f t="shared" si="32"/>
        <v>MK|BR_CN|CAUSAS_MN|NONE_YQ|19Q1Q4_CP|PO5020004141_SP|N/A_AC|CC_OB|ACQ_U1|DCM</v>
      </c>
      <c r="B157" t="str">
        <f t="shared" si="33"/>
        <v>Oath BR</v>
      </c>
      <c r="C157" t="str">
        <f t="shared" si="34"/>
        <v>MK|BR_CH|PD_DT|CROSS_PB|VER_FM|NAT_RT|CPM_PD|CAUSAS-ICONE-MAILAD_TG|NON_ST|NON_TS|NONE_SZ|500x500_AD|CM1_IT|OO</v>
      </c>
      <c r="D157" t="str">
        <f t="shared" si="35"/>
        <v>233562480</v>
      </c>
      <c r="E157" t="str">
        <f t="shared" si="36"/>
        <v>Dynamic Click</v>
      </c>
      <c r="F157" t="str">
        <f t="shared" si="37"/>
        <v>MK|BR_CH|PD_DT|CROSS_PB|VER_FM|NAT_RT|CPM_PD|CAUSAS-ICONE-MAILAD_TG|NON_ST|NON_TS|NONE_SZ|500x500_AD|CM1_IT|OO</v>
      </c>
      <c r="G157" t="str">
        <f t="shared" si="38"/>
        <v>431068495</v>
      </c>
      <c r="H157" t="str">
        <f t="shared" si="39"/>
        <v>Tracking</v>
      </c>
      <c r="I157">
        <f t="shared" si="40"/>
        <v>2</v>
      </c>
      <c r="J157">
        <f t="shared" si="41"/>
        <v>0</v>
      </c>
      <c r="K157" s="4">
        <f t="shared" si="30"/>
        <v>3.5000000000000001E-3</v>
      </c>
      <c r="L157">
        <f t="shared" si="31"/>
        <v>0.02</v>
      </c>
      <c r="M157" s="4">
        <f t="shared" si="28"/>
        <v>0</v>
      </c>
      <c r="N157" s="4">
        <f t="shared" si="29"/>
        <v>0</v>
      </c>
    </row>
    <row r="158" spans="1:14">
      <c r="A158" t="str">
        <f t="shared" si="32"/>
        <v>MK|BR_CN|CAUSAS_MN|NONE_YQ|19Q1Q4_CP|PO5020004141_SP|N/A_AC|CC_OB|ACQ_U1|DCM</v>
      </c>
      <c r="B158" t="str">
        <f t="shared" si="33"/>
        <v>Oath BR</v>
      </c>
      <c r="C158" t="str">
        <f t="shared" si="34"/>
        <v>MK|BR_CH|PD_DT|CROSS_PB|VER_FM|NAT_RT|CPM_PD|CAUSAS-ICONE-STANDARD_TG|NON_ST|NON_TS|NONE_SZ|1200x627_AD|CM1_IT|OO</v>
      </c>
      <c r="D158" t="str">
        <f t="shared" si="35"/>
        <v>233562474</v>
      </c>
      <c r="E158" t="str">
        <f t="shared" si="36"/>
        <v>Dynamic Click</v>
      </c>
      <c r="F158" t="str">
        <f t="shared" si="37"/>
        <v>MK|BR_CH|PD_DT|CROSS_PB|VER_FM|NAT_RT|CPM_PD|CAUSAS-ICONE-STANDARD_TG|NON_ST|NON_TS|NONE_SZ|1200x627_AD|CM1_IT|OO</v>
      </c>
      <c r="G158" t="str">
        <f t="shared" si="38"/>
        <v>431068489</v>
      </c>
      <c r="H158" t="str">
        <f t="shared" si="39"/>
        <v>Tracking</v>
      </c>
      <c r="I158">
        <f t="shared" si="40"/>
        <v>0</v>
      </c>
      <c r="J158">
        <f t="shared" si="41"/>
        <v>8</v>
      </c>
      <c r="K158" s="4">
        <f t="shared" si="30"/>
        <v>3.5000000000000001E-3</v>
      </c>
      <c r="L158">
        <f t="shared" si="31"/>
        <v>0.02</v>
      </c>
      <c r="M158" s="4">
        <f t="shared" si="28"/>
        <v>2.8000000000000001E-2</v>
      </c>
      <c r="N158" s="4">
        <f t="shared" si="29"/>
        <v>0.16</v>
      </c>
    </row>
    <row r="159" spans="1:14">
      <c r="A159" t="str">
        <f t="shared" si="32"/>
        <v>MK|BR_CN|CAUSAS_MN|NONE_YQ|19Q1Q4_CP|PO5020004141_SP|N/A_AC|CC_OB|ACQ_U1|DCM</v>
      </c>
      <c r="B159" t="str">
        <f t="shared" si="33"/>
        <v>Oath BR</v>
      </c>
      <c r="C159" t="str">
        <f t="shared" si="34"/>
        <v>MK|BR_CH|PD_DT|CROSS_PB|VER_FM|NAT_RT|CPM_PD|CAUSAS-ICONE-STREAMAD-FUNDOAZUL_TG|NON_ST|NON_TS|NONE_SZ|1200x627_AD|CM1_IT|OO</v>
      </c>
      <c r="D159" t="str">
        <f t="shared" si="35"/>
        <v>240606020</v>
      </c>
      <c r="E159" t="str">
        <f t="shared" si="36"/>
        <v>Dynamic Click</v>
      </c>
      <c r="F159" t="str">
        <f t="shared" si="37"/>
        <v>MK|BR_CH|PD_DT|CROSS_PB|VER_FM|NAT_RT|CPM_PD|CAUSAS-ICONE-STREAMAD-FUNDOAZUL_TG|NON_ST|NON_TS|NONE_SZ|1200x627_AD|CM1_IT|OO</v>
      </c>
      <c r="G159" t="str">
        <f t="shared" si="38"/>
        <v>437679655</v>
      </c>
      <c r="H159" t="str">
        <f t="shared" si="39"/>
        <v>Tracking</v>
      </c>
      <c r="I159">
        <f t="shared" si="40"/>
        <v>18</v>
      </c>
      <c r="J159">
        <f t="shared" si="41"/>
        <v>0</v>
      </c>
      <c r="K159" s="4">
        <f t="shared" si="30"/>
        <v>3.5000000000000001E-3</v>
      </c>
      <c r="L159">
        <f t="shared" si="31"/>
        <v>0.02</v>
      </c>
      <c r="M159" s="4">
        <f t="shared" si="28"/>
        <v>0</v>
      </c>
      <c r="N159" s="4">
        <f t="shared" si="29"/>
        <v>0</v>
      </c>
    </row>
    <row r="160" spans="1:14">
      <c r="A160" t="str">
        <f t="shared" si="32"/>
        <v>MK|BR_CN|CAUSAS_MN|NONE_YQ|19Q1Q4_CP|PO5020004141_SP|N/A_AC|CC_OB|ACQ_U1|DCM</v>
      </c>
      <c r="B160" t="str">
        <f t="shared" si="33"/>
        <v>Oath BR</v>
      </c>
      <c r="C160" t="str">
        <f t="shared" si="34"/>
        <v>MK|BR_CH|PD_DT|CROSS_PB|VER_FM|NAT_RT|CPM_PD|CAUSAS-TINTURA-MAILAD_TG|NON_ST|NON_TS|NONE_SZ|500x500_AD|CM1_IT|OO</v>
      </c>
      <c r="D160" t="str">
        <f t="shared" si="35"/>
        <v>233562477</v>
      </c>
      <c r="E160" t="str">
        <f t="shared" si="36"/>
        <v>Dynamic Click</v>
      </c>
      <c r="F160" t="str">
        <f t="shared" si="37"/>
        <v>MK|BR_CH|PD_DT|CROSS_PB|VER_FM|NAT_RT|CPM_PD|CAUSAS-TINTURA-MAILAD_TG|NON_ST|NON_TS|NONE_SZ|500x500_AD|CM1_IT|OO</v>
      </c>
      <c r="G160" t="str">
        <f t="shared" si="38"/>
        <v>431068492</v>
      </c>
      <c r="H160" t="str">
        <f t="shared" si="39"/>
        <v>Tracking</v>
      </c>
      <c r="I160">
        <f t="shared" si="40"/>
        <v>0</v>
      </c>
      <c r="J160">
        <f t="shared" si="41"/>
        <v>1</v>
      </c>
      <c r="K160" s="4">
        <f t="shared" si="30"/>
        <v>3.5000000000000001E-3</v>
      </c>
      <c r="L160">
        <f t="shared" si="31"/>
        <v>0.02</v>
      </c>
      <c r="M160" s="4">
        <f t="shared" si="28"/>
        <v>3.5000000000000001E-3</v>
      </c>
      <c r="N160" s="4">
        <f t="shared" si="29"/>
        <v>0.02</v>
      </c>
    </row>
    <row r="161" spans="1:14">
      <c r="A161" t="str">
        <f t="shared" si="32"/>
        <v>MK|BR_CN|CAUSAS_MN|NONE_YQ|19Q1Q4_CP|PO5020004141_SP|N/A_AC|CC_OB|ACQ_U1|DCM</v>
      </c>
      <c r="B161" t="str">
        <f t="shared" si="33"/>
        <v>Oath BR</v>
      </c>
      <c r="C161" t="str">
        <f t="shared" si="34"/>
        <v>MK|BR_CH|PV_DT|CROSS_PB|VER_FM|VID_RT|CPM_PD|CAUSAS-DEPOIMENTOS-RAFAELA_TG|NON_ST|NON_TS|NONE_SZ|Video:2_AD|CM_IT|OO</v>
      </c>
      <c r="D161" t="str">
        <f t="shared" si="35"/>
        <v>253076129</v>
      </c>
      <c r="E161" t="str">
        <f t="shared" si="36"/>
        <v>Rich Media display banner</v>
      </c>
      <c r="F161" t="str">
        <f t="shared" si="37"/>
        <v>MK|BR_CH|PV_DT|CROSS_PB|VER_FM|VID_RT|CPM_PD|CAUSAS-DEPOIMENTOS-RAFAELA_TG|NON_ST|NON_TS|NONE_SZ|Video:2_AD|CM_IT|OO</v>
      </c>
      <c r="G161" t="str">
        <f t="shared" si="38"/>
        <v>449531275</v>
      </c>
      <c r="H161" t="str">
        <f t="shared" si="39"/>
        <v>In-Stream Video</v>
      </c>
      <c r="I161">
        <f t="shared" si="40"/>
        <v>49</v>
      </c>
      <c r="J161">
        <f t="shared" si="41"/>
        <v>3</v>
      </c>
      <c r="K161" s="4">
        <f t="shared" si="30"/>
        <v>0.6</v>
      </c>
      <c r="L161">
        <f t="shared" si="31"/>
        <v>0.35</v>
      </c>
      <c r="M161" s="4">
        <f t="shared" si="28"/>
        <v>2.9399999999999999E-2</v>
      </c>
      <c r="N161" s="4">
        <f t="shared" si="29"/>
        <v>1.7149999999999999E-2</v>
      </c>
    </row>
    <row r="162" spans="1:14">
      <c r="A162" t="str">
        <f t="shared" si="32"/>
        <v>MK|BR_CN|CAUSAS_MN|NONE_YQ|19Q1Q4_CP|PO5020004141_SP|N/A_AC|CC_OB|ACQ_U1|DCM</v>
      </c>
      <c r="B162" t="str">
        <f t="shared" si="33"/>
        <v>Oath BR</v>
      </c>
      <c r="C162" t="str">
        <f t="shared" si="34"/>
        <v>MK|BR_CH|PV_DT|CROSS_PB|VER_FM|VID_RT|CPM_PD|CAUSAS-DEPOIMENTOS-TIADAG_TG|NON_ST|NON_TS|NONE_SZ|Video:2_AD|CM_IT|OO</v>
      </c>
      <c r="D162" t="str">
        <f t="shared" si="35"/>
        <v>253519575</v>
      </c>
      <c r="E162" t="str">
        <f t="shared" si="36"/>
        <v>Rich Media display banner</v>
      </c>
      <c r="F162" t="str">
        <f t="shared" si="37"/>
        <v>MK|BR_CH|PV_DT|CROSS_PB|VER_FM|VID_RT|CPM_PD|CAUSAS-DEPOIMENTOS-TIADAG_TG|NON_ST|NON_TS|NONE_SZ|Video:2_AD|CM_IT|OO</v>
      </c>
      <c r="G162" t="str">
        <f t="shared" si="38"/>
        <v>449457968</v>
      </c>
      <c r="H162" t="str">
        <f t="shared" si="39"/>
        <v>In-Stream Video</v>
      </c>
      <c r="I162">
        <f t="shared" si="40"/>
        <v>27</v>
      </c>
      <c r="J162">
        <f t="shared" si="41"/>
        <v>0</v>
      </c>
      <c r="K162" s="4">
        <f t="shared" si="30"/>
        <v>0.6</v>
      </c>
      <c r="L162">
        <f t="shared" si="31"/>
        <v>0.35</v>
      </c>
      <c r="M162" s="4">
        <f t="shared" si="28"/>
        <v>1.6199999999999999E-2</v>
      </c>
      <c r="N162" s="4">
        <f t="shared" si="29"/>
        <v>9.4500000000000001E-3</v>
      </c>
    </row>
    <row r="163" spans="1:14">
      <c r="A163" t="str">
        <f t="shared" si="32"/>
        <v>MK|BR_CN|CAUSAS_MN|NONE_YQ|19Q1Q4_CP|PO5020004141_SP|N/A_AC|CC_OB|ACQ_U1|DCM</v>
      </c>
      <c r="B163" t="str">
        <f t="shared" si="33"/>
        <v>Oath BR</v>
      </c>
      <c r="C163" t="str">
        <f t="shared" si="34"/>
        <v>MK|BR_CH|PV_DT|CROSS_PB|VER_FM|VID_RT|CPM_PD|CAUSAS-IDOSO_TG|NON_ST|NON_TS|NONE_SZ|Video:2_AD|CM_IT|OO</v>
      </c>
      <c r="D163" t="str">
        <f t="shared" si="35"/>
        <v>251620264</v>
      </c>
      <c r="E163" t="str">
        <f t="shared" si="36"/>
        <v>Dynamic Click</v>
      </c>
      <c r="F163" t="str">
        <f t="shared" si="37"/>
        <v>MK|BR_CH|PV_DT|CROSS_PB|VER_FM|VID_RT|CPM_PD|CAUSAS-IDOSO_TG|NON_ST|NON_TS|NONE_SZ|Video:2_AD|CM_IT|OO</v>
      </c>
      <c r="G163" t="str">
        <f t="shared" si="38"/>
        <v>447699923</v>
      </c>
      <c r="H163" t="str">
        <f t="shared" si="39"/>
        <v>Tracking</v>
      </c>
      <c r="I163">
        <f t="shared" si="40"/>
        <v>0</v>
      </c>
      <c r="J163">
        <f t="shared" si="41"/>
        <v>1</v>
      </c>
      <c r="K163" s="4">
        <f t="shared" si="30"/>
        <v>3.5000000000000001E-3</v>
      </c>
      <c r="L163">
        <f t="shared" si="31"/>
        <v>0.02</v>
      </c>
      <c r="M163" s="4">
        <f t="shared" ref="M163:M226" si="42">IF(E163="Dynamic Click",J163*K163,K163*$I163/1000)</f>
        <v>3.5000000000000001E-3</v>
      </c>
      <c r="N163" s="4">
        <f t="shared" ref="N163:N226" si="43">IF(E163="Dynamic Click",J163*L163,L163*$I163/1000)</f>
        <v>0.02</v>
      </c>
    </row>
    <row r="164" spans="1:14">
      <c r="A164" t="str">
        <f t="shared" si="32"/>
        <v>MK|BR_CN|CAUSAS_MN|NONE_YQ|19Q1Q4_CP|PO5020004141_SP|N/A_AC|CC_OB|ACQ_U1|DCM</v>
      </c>
      <c r="B164" t="str">
        <f t="shared" si="33"/>
        <v>Shopback Brazil 1</v>
      </c>
      <c r="C164" t="str">
        <f t="shared" si="34"/>
        <v>MK|BR_CH|MDSP_DT|CROSS_PB|SPB_FM|PUSH_RT|CPM_PD|CAUSAS-SHOPBACK_TG|NON_ST|NON_TS|NONE_SZ|1X1_AD|CM1_IT|OO</v>
      </c>
      <c r="D164" t="str">
        <f t="shared" si="35"/>
        <v>233444519</v>
      </c>
      <c r="E164" t="str">
        <f t="shared" si="36"/>
        <v>Dynamic Click</v>
      </c>
      <c r="F164" t="str">
        <f t="shared" si="37"/>
        <v>MK|BR_CH|MDSP_DT|CROSS_PB|SPB_FM|PUSH_RT|CPM_PD|CAUSAS-SHOPBACK_TG|NON_ST|NON_TS|NONE_SZ|1X1_AD|CM1_IT|OO</v>
      </c>
      <c r="G164" t="str">
        <f t="shared" si="38"/>
        <v>431191476</v>
      </c>
      <c r="H164" t="str">
        <f t="shared" si="39"/>
        <v>Tracking</v>
      </c>
      <c r="I164">
        <f t="shared" si="40"/>
        <v>0</v>
      </c>
      <c r="J164">
        <f t="shared" si="41"/>
        <v>38247</v>
      </c>
      <c r="K164" s="4">
        <f t="shared" si="30"/>
        <v>3.5000000000000001E-3</v>
      </c>
      <c r="L164">
        <f t="shared" si="31"/>
        <v>0.02</v>
      </c>
      <c r="M164" s="4">
        <f t="shared" si="42"/>
        <v>133.86449999999999</v>
      </c>
      <c r="N164" s="4">
        <f t="shared" si="43"/>
        <v>764.94</v>
      </c>
    </row>
    <row r="165" spans="1:14">
      <c r="A165" t="str">
        <f t="shared" si="32"/>
        <v>MK|BR_CN|CAUSAS_MN|NONE_YQ|19Q1Q4_CP|PO5020004141_SP|N/A_AC|CC_OB|ACQ_U1|DCM</v>
      </c>
      <c r="B165" t="str">
        <f t="shared" si="33"/>
        <v>Verizon</v>
      </c>
      <c r="C165" t="str">
        <f t="shared" si="34"/>
        <v>MK|BR_CH|PV_DT|CROSS_PB|VER_FM|VID_RT|CPM_PD|CAUSAS-AMPARA-ANIMAL_TG|NON_ST|NON_TS|NONE_SZ|Video:2_AD|CM_IT|OO</v>
      </c>
      <c r="D165" t="str">
        <f t="shared" si="35"/>
        <v>255805592</v>
      </c>
      <c r="E165" t="str">
        <f t="shared" si="36"/>
        <v>Rich Media display banner</v>
      </c>
      <c r="F165" t="str">
        <f t="shared" si="37"/>
        <v>MK|BR_CH|PV_DT|CROSS_PB|VER_FM|VID_RT|CPM_PD|CAUSAS-AMPARA-ANIMAL_TG|NON_ST|NON_TS|NONE_SZ|Video:2_AD|CM_IT|OO</v>
      </c>
      <c r="G165" t="str">
        <f t="shared" si="38"/>
        <v>452013243</v>
      </c>
      <c r="H165" t="str">
        <f t="shared" si="39"/>
        <v>In-Stream Video</v>
      </c>
      <c r="I165">
        <f t="shared" si="40"/>
        <v>6577578</v>
      </c>
      <c r="J165">
        <f t="shared" si="41"/>
        <v>93266</v>
      </c>
      <c r="K165" s="4">
        <f t="shared" si="30"/>
        <v>0.6</v>
      </c>
      <c r="L165">
        <f t="shared" si="31"/>
        <v>0.35</v>
      </c>
      <c r="M165" s="4">
        <f t="shared" si="42"/>
        <v>3946.5467999999996</v>
      </c>
      <c r="N165" s="4">
        <f t="shared" si="43"/>
        <v>2302.1522999999997</v>
      </c>
    </row>
    <row r="166" spans="1:14">
      <c r="A166" t="str">
        <f t="shared" si="32"/>
        <v>MK|BR_CN|CAUSAS_MN|NONE_YQ|19Q1Q4_CP|PO5020004141_SP|N/A_AC|CC_OB|ACQ_U1|DCM</v>
      </c>
      <c r="B166" t="str">
        <f t="shared" si="33"/>
        <v>Verizon</v>
      </c>
      <c r="C166" t="str">
        <f t="shared" si="34"/>
        <v>MK|BR_CH|PV_DT|CROSS_PB|VER_FM|VID_RT|CPM_PD|CAUSAS-DEPOIMENTOS-JOSEROBERTO_TG|NON_ST|NON_TS|NONE_SZ|Video:2_AD|CM_IT|OO_U1|ESTOU-VIVO</v>
      </c>
      <c r="D166" t="str">
        <f t="shared" si="35"/>
        <v>254965999</v>
      </c>
      <c r="E166" t="str">
        <f t="shared" si="36"/>
        <v>Rich Media display banner</v>
      </c>
      <c r="F166" t="str">
        <f t="shared" si="37"/>
        <v>MK|BR_CH|PV_DT|CROSS_PB|VER_FM|VID_RT|CPM_PD|CAUSAS-DEPOIMENTOS-JOSEROBERTO_TG|NON_ST|NON_TS|NONE_SZ|Video:2_AD|CM_IT|OO_U1|ESTOU-VIVO</v>
      </c>
      <c r="G166" t="str">
        <f t="shared" si="38"/>
        <v>450992638</v>
      </c>
      <c r="H166" t="str">
        <f t="shared" si="39"/>
        <v>In-Stream Video</v>
      </c>
      <c r="I166">
        <f t="shared" si="40"/>
        <v>3622429</v>
      </c>
      <c r="J166">
        <f t="shared" si="41"/>
        <v>22119</v>
      </c>
      <c r="K166" s="4">
        <f t="shared" si="30"/>
        <v>0.6</v>
      </c>
      <c r="L166">
        <f t="shared" si="31"/>
        <v>0.35</v>
      </c>
      <c r="M166" s="4">
        <f t="shared" si="42"/>
        <v>2173.4573999999998</v>
      </c>
      <c r="N166" s="4">
        <f t="shared" si="43"/>
        <v>1267.85015</v>
      </c>
    </row>
    <row r="167" spans="1:14">
      <c r="A167" t="str">
        <f t="shared" si="32"/>
        <v>MK|BR_CN|CAUSAS_MN|NONE_YQ|19Q1Q4_CP|PO5020004141_SP|N/A_AC|CC_OB|ACQ_U1|DCM</v>
      </c>
      <c r="B167" t="str">
        <f t="shared" si="33"/>
        <v>Verizon</v>
      </c>
      <c r="C167" t="str">
        <f t="shared" si="34"/>
        <v>MK|BR_CH|PV_DT|CROSS_PB|VER_FM|VID_RT|CPM_PD|CAUSAS-DEPOIMENTOS-JOSEROBERTO_TG|NON_ST|NON_TS|NONE_SZ|Video:2_AD|CM_IT|OO_U1|PASSADO-DIFICULDADE</v>
      </c>
      <c r="D167" t="str">
        <f t="shared" si="35"/>
        <v>254968282</v>
      </c>
      <c r="E167" t="str">
        <f t="shared" si="36"/>
        <v>Rich Media display banner</v>
      </c>
      <c r="F167" t="str">
        <f t="shared" si="37"/>
        <v>MK|BR_CH|PV_DT|CROSS_PB|VER_FM|VID_RT|CPM_PD|CAUSAS-DEPOIMENTOS-JOSEROBERTO_TG|NON_ST|NON_TS|NONE_SZ|Video:2_AD|CM_IT|OO_U1|PASSADO-DIFICULDADE</v>
      </c>
      <c r="G167" t="str">
        <f t="shared" si="38"/>
        <v>450949400</v>
      </c>
      <c r="H167" t="str">
        <f t="shared" si="39"/>
        <v>In-Stream Video</v>
      </c>
      <c r="I167">
        <f t="shared" si="40"/>
        <v>3178279</v>
      </c>
      <c r="J167">
        <f t="shared" si="41"/>
        <v>21115</v>
      </c>
      <c r="K167" s="4">
        <f t="shared" si="30"/>
        <v>0.6</v>
      </c>
      <c r="L167">
        <f t="shared" si="31"/>
        <v>0.35</v>
      </c>
      <c r="M167" s="4">
        <f t="shared" si="42"/>
        <v>1906.9674</v>
      </c>
      <c r="N167" s="4">
        <f t="shared" si="43"/>
        <v>1112.3976499999999</v>
      </c>
    </row>
    <row r="168" spans="1:14">
      <c r="A168" t="str">
        <f t="shared" si="32"/>
        <v>MK|BR_CN|CAUSAS_MN|NONE_YQ|19Q1Q4_CP|PO5020004141_SP|N/A_AC|CC_OB|ACQ_U1|DCM</v>
      </c>
      <c r="B168" t="str">
        <f t="shared" si="33"/>
        <v>Verizon</v>
      </c>
      <c r="C168" t="str">
        <f t="shared" si="34"/>
        <v>MK|BR_CH|PV_DT|CROSS_PB|VER_FM|VID_RT|CPM_PD|CAUSAS-DEPOIMENTOS-MICHAELDOUGLAS_TG|NON_ST|NON_TS|NONE_SZ|Video:2_AD|CM_IT|OO</v>
      </c>
      <c r="D168" t="str">
        <f t="shared" si="35"/>
        <v>254512103</v>
      </c>
      <c r="E168" t="str">
        <f t="shared" si="36"/>
        <v>Rich Media display banner</v>
      </c>
      <c r="F168" t="str">
        <f t="shared" si="37"/>
        <v>MK|BR_CH|PV_DT|CROSS_PB|VER_FM|VID_RT|CPM_PD|CAUSAS-DEPOIMENTOS-MICHAELDOUGLAS_TG|NON_ST|NON_TS|NONE_SZ|Video:2_AD|CM_IT|OO</v>
      </c>
      <c r="G168" t="str">
        <f t="shared" si="38"/>
        <v>450816956</v>
      </c>
      <c r="H168" t="str">
        <f t="shared" si="39"/>
        <v>In-Stream Video</v>
      </c>
      <c r="I168">
        <f t="shared" si="40"/>
        <v>5762527</v>
      </c>
      <c r="J168">
        <f t="shared" si="41"/>
        <v>33221</v>
      </c>
      <c r="K168" s="4">
        <f t="shared" si="30"/>
        <v>0.6</v>
      </c>
      <c r="L168">
        <f t="shared" si="31"/>
        <v>0.35</v>
      </c>
      <c r="M168" s="4">
        <f t="shared" si="42"/>
        <v>3457.5161999999996</v>
      </c>
      <c r="N168" s="4">
        <f t="shared" si="43"/>
        <v>2016.88445</v>
      </c>
    </row>
    <row r="169" spans="1:14">
      <c r="A169" t="str">
        <f t="shared" si="32"/>
        <v>MK|BR_CN|CAUSAS_MN|NONE_YQ|19Q1Q4_CP|PO5020004141_SP|N/A_AC|CC_OB|ACQ_U1|DCM</v>
      </c>
      <c r="B169" t="str">
        <f t="shared" si="33"/>
        <v>Verizon</v>
      </c>
      <c r="C169" t="str">
        <f t="shared" si="34"/>
        <v>MK|BR_CH|PV_DT|CROSS_PB|VER_FM|VID_RT|CPM_PD|CAUSAS-IMBRA_TG|NON_ST|NON_TS|NONE_SZ|Video:2_AD|CM_IT|OO</v>
      </c>
      <c r="D169" t="str">
        <f t="shared" si="35"/>
        <v>256129147</v>
      </c>
      <c r="E169" t="str">
        <f t="shared" si="36"/>
        <v>Rich Media display banner</v>
      </c>
      <c r="F169" t="str">
        <f t="shared" si="37"/>
        <v>MK|BR_CH|PV_DT|CROSS_PB|VER_FM|VID_RT|CPM_PD|CAUSAS-IMBRA_TG|NON_ST|NON_TS|NONE_SZ|Video:2_AD|CM_IT|OO</v>
      </c>
      <c r="G169" t="str">
        <f t="shared" si="38"/>
        <v>452015466</v>
      </c>
      <c r="H169" t="str">
        <f t="shared" si="39"/>
        <v>In-Stream Video</v>
      </c>
      <c r="I169">
        <f t="shared" si="40"/>
        <v>5692152</v>
      </c>
      <c r="J169">
        <f t="shared" si="41"/>
        <v>247376</v>
      </c>
      <c r="K169" s="4">
        <f t="shared" si="30"/>
        <v>0.6</v>
      </c>
      <c r="L169">
        <f t="shared" si="31"/>
        <v>0.35</v>
      </c>
      <c r="M169" s="4">
        <f t="shared" si="42"/>
        <v>3415.2911999999997</v>
      </c>
      <c r="N169" s="4">
        <f t="shared" si="43"/>
        <v>1992.2531999999999</v>
      </c>
    </row>
    <row r="170" spans="1:14">
      <c r="A170" t="str">
        <f t="shared" si="32"/>
        <v>MK|BR_CN|CAUSAS_MN|NONE_YQ|19Q1Q4_CP|PO5020004141_SP|N/A_AC|CC_OB|ACQ_U1|DCM</v>
      </c>
      <c r="B170" t="str">
        <f t="shared" si="33"/>
        <v>Zoomin</v>
      </c>
      <c r="C170" t="str">
        <f t="shared" si="34"/>
        <v>MK|BR_CH|PV_DT|CROSS_PB|ZM_FM|VID_RT|CPM_PD|CAUSAS-DEPOIMENTOS-RAFAELA_TG|NON_ST|NON_TS|NONE_SZ|Video:2_AD|CM1_IT|OO</v>
      </c>
      <c r="D170" t="str">
        <f t="shared" si="35"/>
        <v>253075922</v>
      </c>
      <c r="E170" t="str">
        <f t="shared" si="36"/>
        <v>Rich Media display banner</v>
      </c>
      <c r="F170" t="str">
        <f t="shared" si="37"/>
        <v>MK|BR_CH|PV_DT|CROSS_PB|ZM_FM|VID_RT|CPM_PD|CAUSAS-DEPOIMENTOS-RAFAELA_TG|NON_ST|NON_TS|NONE_SZ|Video:2_AD|CM1_IT|OO</v>
      </c>
      <c r="G170" t="str">
        <f t="shared" si="38"/>
        <v>449533033</v>
      </c>
      <c r="H170" t="str">
        <f t="shared" si="39"/>
        <v>In-Stream Video</v>
      </c>
      <c r="I170">
        <f t="shared" si="40"/>
        <v>149</v>
      </c>
      <c r="J170">
        <f t="shared" si="41"/>
        <v>0</v>
      </c>
      <c r="K170" s="4">
        <f t="shared" si="30"/>
        <v>0.6</v>
      </c>
      <c r="L170">
        <f t="shared" si="31"/>
        <v>0.35</v>
      </c>
      <c r="M170" s="4">
        <f t="shared" si="42"/>
        <v>8.9399999999999993E-2</v>
      </c>
      <c r="N170" s="4">
        <f t="shared" si="43"/>
        <v>5.2150000000000002E-2</v>
      </c>
    </row>
    <row r="171" spans="1:14">
      <c r="A171" t="str">
        <f t="shared" si="32"/>
        <v>MK|BR_CN|CAUSAS_MN|NONE_YQ|19Q1Q4_CP|PO5020004141_SP|N/A_AC|CC_OB|ACQ_U1|DCM</v>
      </c>
      <c r="B171" t="str">
        <f t="shared" si="33"/>
        <v>Zoomin</v>
      </c>
      <c r="C171" t="str">
        <f t="shared" si="34"/>
        <v>MK|BR_CH|PV_DT|CROSS_PB|ZM_FM|VID_RT|CPM_PD|CAUSAS-DEPOIMENTOS-TIADAG_TG|NON_ST|NON_TS|NONE_SZ|Video:2_AD|CM1_IT|OO</v>
      </c>
      <c r="D171" t="str">
        <f t="shared" si="35"/>
        <v>253410127</v>
      </c>
      <c r="E171" t="str">
        <f t="shared" si="36"/>
        <v>Rich Media display banner</v>
      </c>
      <c r="F171" t="str">
        <f t="shared" si="37"/>
        <v>MK|BR_CH|PV_DT|CROSS_PB|ZM_FM|VID_RT|CPM_PD|CAUSAS-DEPOIMENTOS-TIADAG_TG|NON_ST|NON_TS|NONE_SZ|Video:2_AD|CM1_IT|OO</v>
      </c>
      <c r="G171" t="str">
        <f t="shared" si="38"/>
        <v>449532751</v>
      </c>
      <c r="H171" t="str">
        <f t="shared" si="39"/>
        <v>In-Stream Video</v>
      </c>
      <c r="I171">
        <f t="shared" si="40"/>
        <v>121</v>
      </c>
      <c r="J171">
        <f t="shared" si="41"/>
        <v>1</v>
      </c>
      <c r="K171" s="4">
        <f t="shared" si="30"/>
        <v>0.6</v>
      </c>
      <c r="L171">
        <f t="shared" si="31"/>
        <v>0.35</v>
      </c>
      <c r="M171" s="4">
        <f t="shared" si="42"/>
        <v>7.2599999999999998E-2</v>
      </c>
      <c r="N171" s="4">
        <f t="shared" si="43"/>
        <v>4.2349999999999992E-2</v>
      </c>
    </row>
    <row r="172" spans="1:14">
      <c r="A172" t="str">
        <f t="shared" si="32"/>
        <v>MK|BR_CN|CIDADESDOFUTURO_MN|NONE_YQ|19Q4_CP|5020004441_SP|N/A_AC|CMKT_OB|AWA</v>
      </c>
      <c r="B172" t="str">
        <f t="shared" si="33"/>
        <v>Facebook</v>
      </c>
      <c r="C172" t="str">
        <f t="shared" si="34"/>
        <v>MK|BR_CH|PSD_DT|CROSS_PB|FCBK_FM|CAR_RT|CPM_PD|CidadesdoFuturo_TG|NON_ST|NON_TS|NONE_SZ|1X1_AD|CM1_IT|SOC_U1|ANAPOLIS_U2|AzulEscuro</v>
      </c>
      <c r="D172" t="str">
        <f t="shared" si="35"/>
        <v>255146075</v>
      </c>
      <c r="E172" t="str">
        <f t="shared" si="36"/>
        <v>Dynamic Click</v>
      </c>
      <c r="F172" t="str">
        <f t="shared" si="37"/>
        <v>MK|BR_CH|PSD_DT|CROSS_PB|FCBK_FM|CAR_RT|CPM_PD|CidadesdoFuturo_TG|NON_ST|NON_TS|NONE_SZ|1X1_AD|CM1_IT|SOC_U1|ANAPOLIS_U2|AzulEscuro</v>
      </c>
      <c r="G172" t="str">
        <f t="shared" si="38"/>
        <v>451451564</v>
      </c>
      <c r="H172" t="str">
        <f t="shared" si="39"/>
        <v>Tracking</v>
      </c>
      <c r="I172">
        <f t="shared" si="40"/>
        <v>0</v>
      </c>
      <c r="J172">
        <f t="shared" si="41"/>
        <v>24</v>
      </c>
      <c r="K172" s="4">
        <f t="shared" ref="K172:K235" si="44">IF(LEFT(B172,3)="DBM",0,VLOOKUP(E172,tabela,2,FALSE))</f>
        <v>3.5000000000000001E-3</v>
      </c>
      <c r="L172">
        <f t="shared" ref="L172:L235" si="45">VLOOKUP(E172,tabela,3,FALSE)</f>
        <v>0.02</v>
      </c>
      <c r="M172" s="4">
        <f t="shared" si="42"/>
        <v>8.4000000000000005E-2</v>
      </c>
      <c r="N172" s="4">
        <f t="shared" si="43"/>
        <v>0.48</v>
      </c>
    </row>
    <row r="173" spans="1:14">
      <c r="A173" t="str">
        <f t="shared" si="32"/>
        <v>MK|BR_CN|CIDADESDOFUTURO_MN|NONE_YQ|19Q4_CP|5020004441_SP|N/A_AC|CMKT_OB|AWA</v>
      </c>
      <c r="B173" t="str">
        <f t="shared" si="33"/>
        <v>Facebook</v>
      </c>
      <c r="C173" t="str">
        <f t="shared" si="34"/>
        <v>MK|BR_CH|PSD_DT|CROSS_PB|FCBK_FM|CAR_RT|CPM_PD|CidadesdoFuturo_TG|NON_ST|NON_TS|NONE_SZ|1X1_AD|CM1_IT|SOC_U1|ANAPOLIS_U2|AzulEscuro</v>
      </c>
      <c r="D173" t="str">
        <f t="shared" si="35"/>
        <v>256224056</v>
      </c>
      <c r="E173" t="str">
        <f t="shared" si="36"/>
        <v>Dynamic Click</v>
      </c>
      <c r="F173" t="str">
        <f t="shared" si="37"/>
        <v>MK|BR_CH|PSD_DT|CROSS_PB|FCBK_FM|CAR_RT|CPM_PD|CidadesdoFuturo_TG|NON_ST|NON_TS|NONE_SZ|1X1_AD|CM1_IT|SOC_U1|ANAPOLIS_U2|AzulEscuro</v>
      </c>
      <c r="G173" t="str">
        <f t="shared" si="38"/>
        <v>452369844</v>
      </c>
      <c r="H173" t="str">
        <f t="shared" si="39"/>
        <v>Tracking</v>
      </c>
      <c r="I173">
        <f t="shared" si="40"/>
        <v>0</v>
      </c>
      <c r="J173">
        <f t="shared" si="41"/>
        <v>2</v>
      </c>
      <c r="K173" s="4">
        <f t="shared" si="44"/>
        <v>3.5000000000000001E-3</v>
      </c>
      <c r="L173">
        <f t="shared" si="45"/>
        <v>0.02</v>
      </c>
      <c r="M173" s="4">
        <f t="shared" si="42"/>
        <v>7.0000000000000001E-3</v>
      </c>
      <c r="N173" s="4">
        <f t="shared" si="43"/>
        <v>0.04</v>
      </c>
    </row>
    <row r="174" spans="1:14">
      <c r="A174" t="str">
        <f t="shared" si="32"/>
        <v>MK|BR_CN|CIDADESDOFUTURO_MN|NONE_YQ|19Q4_CP|5020004441_SP|N/A_AC|CMKT_OB|AWA</v>
      </c>
      <c r="B174" t="str">
        <f t="shared" si="33"/>
        <v>Facebook</v>
      </c>
      <c r="C174" t="str">
        <f t="shared" si="34"/>
        <v>MK|BR_CH|PSD_DT|CROSS_PB|FCBK_FM|CAR_RT|CPM_PD|CidadesdoFuturo_TG|NON_ST|NON_TS|NONE_SZ|1X1_AD|CM1_IT|SOC_U1|ANGRADOSREIS_U2|AzulEscuro</v>
      </c>
      <c r="D174" t="str">
        <f t="shared" si="35"/>
        <v>255146063</v>
      </c>
      <c r="E174" t="str">
        <f t="shared" si="36"/>
        <v>Dynamic Click</v>
      </c>
      <c r="F174" t="str">
        <f t="shared" si="37"/>
        <v>MK|BR_CH|PSD_DT|CROSS_PB|FCBK_FM|CAR_RT|CPM_PD|CidadesdoFuturo_TG|NON_ST|NON_TS|NONE_SZ|1X1_AD|CM1_IT|SOC_U1|ANGRADOSREIS_U2|AzulEscuro</v>
      </c>
      <c r="G174" t="str">
        <f t="shared" si="38"/>
        <v>451451591</v>
      </c>
      <c r="H174" t="str">
        <f t="shared" si="39"/>
        <v>Tracking</v>
      </c>
      <c r="I174">
        <f t="shared" si="40"/>
        <v>0</v>
      </c>
      <c r="J174">
        <f t="shared" si="41"/>
        <v>33</v>
      </c>
      <c r="K174" s="4">
        <f t="shared" si="44"/>
        <v>3.5000000000000001E-3</v>
      </c>
      <c r="L174">
        <f t="shared" si="45"/>
        <v>0.02</v>
      </c>
      <c r="M174" s="4">
        <f t="shared" si="42"/>
        <v>0.11550000000000001</v>
      </c>
      <c r="N174" s="4">
        <f t="shared" si="43"/>
        <v>0.66</v>
      </c>
    </row>
    <row r="175" spans="1:14">
      <c r="A175" t="str">
        <f t="shared" si="32"/>
        <v>MK|BR_CN|CIDADESDOFUTURO_MN|NONE_YQ|19Q4_CP|5020004441_SP|N/A_AC|CMKT_OB|AWA</v>
      </c>
      <c r="B175" t="str">
        <f t="shared" si="33"/>
        <v>Facebook</v>
      </c>
      <c r="C175" t="str">
        <f t="shared" si="34"/>
        <v>MK|BR_CH|PSD_DT|CROSS_PB|FCBK_FM|CAR_RT|CPM_PD|CidadesdoFuturo_TG|NON_ST|NON_TS|NONE_SZ|1X1_AD|CM1_IT|SOC_U1|ANGRADOSREIS_U2|AzulEscuro</v>
      </c>
      <c r="D175" t="str">
        <f t="shared" si="35"/>
        <v>256665462</v>
      </c>
      <c r="E175" t="str">
        <f t="shared" si="36"/>
        <v>Dynamic Click</v>
      </c>
      <c r="F175" t="str">
        <f t="shared" si="37"/>
        <v>MK|BR_CH|PSD_DT|CROSS_PB|FCBK_FM|CAR_RT|CPM_PD|CidadesdoFuturo_TG|NON_ST|NON_TS|NONE_SZ|1X1_AD|CM1_IT|SOC_U1|ANGRADOSREIS_U2|AzulEscuro</v>
      </c>
      <c r="G175" t="str">
        <f t="shared" si="38"/>
        <v>452475163</v>
      </c>
      <c r="H175" t="str">
        <f t="shared" si="39"/>
        <v>Tracking</v>
      </c>
      <c r="I175">
        <f t="shared" si="40"/>
        <v>0</v>
      </c>
      <c r="J175">
        <f t="shared" si="41"/>
        <v>1</v>
      </c>
      <c r="K175" s="4">
        <f t="shared" si="44"/>
        <v>3.5000000000000001E-3</v>
      </c>
      <c r="L175">
        <f t="shared" si="45"/>
        <v>0.02</v>
      </c>
      <c r="M175" s="4">
        <f t="shared" si="42"/>
        <v>3.5000000000000001E-3</v>
      </c>
      <c r="N175" s="4">
        <f t="shared" si="43"/>
        <v>0.02</v>
      </c>
    </row>
    <row r="176" spans="1:14">
      <c r="A176" t="str">
        <f t="shared" si="32"/>
        <v>MK|BR_CN|CIDADESDOFUTURO_MN|NONE_YQ|19Q4_CP|5020004441_SP|N/A_AC|CMKT_OB|AWA</v>
      </c>
      <c r="B176" t="str">
        <f t="shared" si="33"/>
        <v>Facebook</v>
      </c>
      <c r="C176" t="str">
        <f t="shared" si="34"/>
        <v>MK|BR_CH|PSD_DT|CROSS_PB|FCBK_FM|CAR_RT|CPM_PD|CidadesdoFuturo_TG|NON_ST|NON_TS|NONE_SZ|1X1_AD|CM1_IT|SOC_U1|APUCARANA_U2|AzulEscuro</v>
      </c>
      <c r="D176" t="str">
        <f t="shared" si="35"/>
        <v>255146051</v>
      </c>
      <c r="E176" t="str">
        <f t="shared" si="36"/>
        <v>Dynamic Click</v>
      </c>
      <c r="F176" t="str">
        <f t="shared" si="37"/>
        <v>MK|BR_CH|PSD_DT|CROSS_PB|FCBK_FM|CAR_RT|CPM_PD|CidadesdoFuturo_TG|NON_ST|NON_TS|NONE_SZ|1X1_AD|CM1_IT|SOC_U1|APUCARANA_U2|AzulEscuro</v>
      </c>
      <c r="G176" t="str">
        <f t="shared" si="38"/>
        <v>451491280</v>
      </c>
      <c r="H176" t="str">
        <f t="shared" si="39"/>
        <v>Tracking</v>
      </c>
      <c r="I176">
        <f t="shared" si="40"/>
        <v>0</v>
      </c>
      <c r="J176">
        <f t="shared" si="41"/>
        <v>32</v>
      </c>
      <c r="K176" s="4">
        <f t="shared" si="44"/>
        <v>3.5000000000000001E-3</v>
      </c>
      <c r="L176">
        <f t="shared" si="45"/>
        <v>0.02</v>
      </c>
      <c r="M176" s="4">
        <f t="shared" si="42"/>
        <v>0.112</v>
      </c>
      <c r="N176" s="4">
        <f t="shared" si="43"/>
        <v>0.64</v>
      </c>
    </row>
    <row r="177" spans="1:14">
      <c r="A177" t="str">
        <f t="shared" si="32"/>
        <v>MK|BR_CN|CIDADESDOFUTURO_MN|NONE_YQ|19Q4_CP|5020004441_SP|N/A_AC|CMKT_OB|AWA</v>
      </c>
      <c r="B177" t="str">
        <f t="shared" si="33"/>
        <v>Facebook</v>
      </c>
      <c r="C177" t="str">
        <f t="shared" si="34"/>
        <v>MK|BR_CH|PSD_DT|CROSS_PB|FCBK_FM|CAR_RT|CPM_PD|CidadesdoFuturo_TG|NON_ST|NON_TS|NONE_SZ|1X1_AD|CM1_IT|SOC_U1|APUCARANA_U2|AzulEscuro</v>
      </c>
      <c r="D177" t="str">
        <f t="shared" si="35"/>
        <v>256665468</v>
      </c>
      <c r="E177" t="str">
        <f t="shared" si="36"/>
        <v>Dynamic Click</v>
      </c>
      <c r="F177" t="str">
        <f t="shared" si="37"/>
        <v>MK|BR_CH|PSD_DT|CROSS_PB|FCBK_FM|CAR_RT|CPM_PD|CidadesdoFuturo_TG|NON_ST|NON_TS|NONE_SZ|1X1_AD|CM1_IT|SOC_U1|APUCARANA_U2|AzulEscuro</v>
      </c>
      <c r="G177" t="str">
        <f t="shared" si="38"/>
        <v>452475157</v>
      </c>
      <c r="H177" t="str">
        <f t="shared" si="39"/>
        <v>Tracking</v>
      </c>
      <c r="I177">
        <f t="shared" si="40"/>
        <v>0</v>
      </c>
      <c r="J177">
        <f t="shared" si="41"/>
        <v>1</v>
      </c>
      <c r="K177" s="4">
        <f t="shared" si="44"/>
        <v>3.5000000000000001E-3</v>
      </c>
      <c r="L177">
        <f t="shared" si="45"/>
        <v>0.02</v>
      </c>
      <c r="M177" s="4">
        <f t="shared" si="42"/>
        <v>3.5000000000000001E-3</v>
      </c>
      <c r="N177" s="4">
        <f t="shared" si="43"/>
        <v>0.02</v>
      </c>
    </row>
    <row r="178" spans="1:14">
      <c r="A178" t="str">
        <f t="shared" si="32"/>
        <v>MK|BR_CN|CIDADESDOFUTURO_MN|NONE_YQ|19Q4_CP|5020004441_SP|N/A_AC|CMKT_OB|AWA</v>
      </c>
      <c r="B178" t="str">
        <f t="shared" si="33"/>
        <v>Facebook</v>
      </c>
      <c r="C178" t="str">
        <f t="shared" si="34"/>
        <v>MK|BR_CH|PSD_DT|CROSS_PB|FCBK_FM|CAR_RT|CPM_PD|CidadesdoFuturo_TG|NON_ST|NON_TS|NONE_SZ|1X1_AD|CM1_IT|SOC_U1|APUCARANA_U2|AzulEscuro</v>
      </c>
      <c r="D178" t="str">
        <f t="shared" si="35"/>
        <v>256665471</v>
      </c>
      <c r="E178" t="str">
        <f t="shared" si="36"/>
        <v>Dynamic Click</v>
      </c>
      <c r="F178" t="str">
        <f t="shared" si="37"/>
        <v>MK|BR_CH|PSD_DT|CROSS_PB|FCBK_FM|CAR_RT|CPM_PD|CidadesdoFuturo_TG|NON_ST|NON_TS|NONE_SZ|1X1_AD|CM1_IT|SOC_U1|APUCARANA_U2|AzulEscuro</v>
      </c>
      <c r="G178" t="str">
        <f t="shared" si="38"/>
        <v>452475154</v>
      </c>
      <c r="H178" t="str">
        <f t="shared" si="39"/>
        <v>Tracking</v>
      </c>
      <c r="I178">
        <f t="shared" si="40"/>
        <v>0</v>
      </c>
      <c r="J178">
        <f t="shared" si="41"/>
        <v>2</v>
      </c>
      <c r="K178" s="4">
        <f t="shared" si="44"/>
        <v>3.5000000000000001E-3</v>
      </c>
      <c r="L178">
        <f t="shared" si="45"/>
        <v>0.02</v>
      </c>
      <c r="M178" s="4">
        <f t="shared" si="42"/>
        <v>7.0000000000000001E-3</v>
      </c>
      <c r="N178" s="4">
        <f t="shared" si="43"/>
        <v>0.04</v>
      </c>
    </row>
    <row r="179" spans="1:14">
      <c r="A179" t="str">
        <f t="shared" si="32"/>
        <v>MK|BR_CN|CIDADESDOFUTURO_MN|NONE_YQ|19Q4_CP|5020004441_SP|N/A_AC|CMKT_OB|AWA</v>
      </c>
      <c r="B179" t="str">
        <f t="shared" si="33"/>
        <v>Facebook</v>
      </c>
      <c r="C179" t="str">
        <f t="shared" si="34"/>
        <v>MK|BR_CH|PSD_DT|CROSS_PB|FCBK_FM|CAR_RT|CPM_PD|CidadesdoFuturo_TG|NON_ST|NON_TS|NONE_SZ|1X1_AD|CM1_IT|SOC_U1|ARAGUAINA_U2|AzulEscuro</v>
      </c>
      <c r="D179" t="str">
        <f t="shared" si="35"/>
        <v>256665474</v>
      </c>
      <c r="E179" t="str">
        <f t="shared" si="36"/>
        <v>Dynamic Click</v>
      </c>
      <c r="F179" t="str">
        <f t="shared" si="37"/>
        <v>MK|BR_CH|PSD_DT|CROSS_PB|FCBK_FM|CAR_RT|CPM_PD|CidadesdoFuturo_TG|NON_ST|NON_TS|NONE_SZ|1X1_AD|CM1_IT|SOC_U1|ARAGUAINA_U2|AzulEscuro</v>
      </c>
      <c r="G179" t="str">
        <f t="shared" si="38"/>
        <v>452475151</v>
      </c>
      <c r="H179" t="str">
        <f t="shared" si="39"/>
        <v>Tracking</v>
      </c>
      <c r="I179">
        <f t="shared" si="40"/>
        <v>0</v>
      </c>
      <c r="J179">
        <f t="shared" si="41"/>
        <v>1</v>
      </c>
      <c r="K179" s="4">
        <f t="shared" si="44"/>
        <v>3.5000000000000001E-3</v>
      </c>
      <c r="L179">
        <f t="shared" si="45"/>
        <v>0.02</v>
      </c>
      <c r="M179" s="4">
        <f t="shared" si="42"/>
        <v>3.5000000000000001E-3</v>
      </c>
      <c r="N179" s="4">
        <f t="shared" si="43"/>
        <v>0.02</v>
      </c>
    </row>
    <row r="180" spans="1:14">
      <c r="A180" t="str">
        <f t="shared" si="32"/>
        <v>MK|BR_CN|CIDADESDOFUTURO_MN|NONE_YQ|19Q4_CP|5020004441_SP|N/A_AC|CMKT_OB|AWA</v>
      </c>
      <c r="B180" t="str">
        <f t="shared" si="33"/>
        <v>Facebook</v>
      </c>
      <c r="C180" t="str">
        <f t="shared" si="34"/>
        <v>MK|BR_CH|PSD_DT|CROSS_PB|FCBK_FM|CAR_RT|CPM_PD|CidadesdoFuturo_TG|NON_ST|NON_TS|NONE_SZ|1X1_AD|CM1_IT|SOC_U1|ARAGUAINA_U2|AzulEscuro</v>
      </c>
      <c r="D180" t="str">
        <f t="shared" si="35"/>
        <v>256665480</v>
      </c>
      <c r="E180" t="str">
        <f t="shared" si="36"/>
        <v>Dynamic Click</v>
      </c>
      <c r="F180" t="str">
        <f t="shared" si="37"/>
        <v>MK|BR_CH|PSD_DT|CROSS_PB|FCBK_FM|CAR_RT|CPM_PD|CidadesdoFuturo_TG|NON_ST|NON_TS|NONE_SZ|1X1_AD|CM1_IT|SOC_U1|ARAGUAINA_U2|AzulEscuro</v>
      </c>
      <c r="G180" t="str">
        <f t="shared" si="38"/>
        <v>452475148</v>
      </c>
      <c r="H180" t="str">
        <f t="shared" si="39"/>
        <v>Tracking</v>
      </c>
      <c r="I180">
        <f t="shared" si="40"/>
        <v>0</v>
      </c>
      <c r="J180">
        <f t="shared" si="41"/>
        <v>1</v>
      </c>
      <c r="K180" s="4">
        <f t="shared" si="44"/>
        <v>3.5000000000000001E-3</v>
      </c>
      <c r="L180">
        <f t="shared" si="45"/>
        <v>0.02</v>
      </c>
      <c r="M180" s="4">
        <f t="shared" si="42"/>
        <v>3.5000000000000001E-3</v>
      </c>
      <c r="N180" s="4">
        <f t="shared" si="43"/>
        <v>0.02</v>
      </c>
    </row>
    <row r="181" spans="1:14">
      <c r="A181" t="str">
        <f t="shared" si="32"/>
        <v>MK|BR_CN|CIDADESDOFUTURO_MN|NONE_YQ|19Q4_CP|5020004441_SP|N/A_AC|CMKT_OB|AWA</v>
      </c>
      <c r="B181" t="str">
        <f t="shared" si="33"/>
        <v>Facebook</v>
      </c>
      <c r="C181" t="str">
        <f t="shared" si="34"/>
        <v>MK|BR_CH|PSD_DT|CROSS_PB|FCBK_FM|CAR_RT|CPM_PD|CidadesdoFuturo_TG|NON_ST|NON_TS|NONE_SZ|1X1_AD|CM1_IT|SOC_U1|ARAGUAINA_U2|AzulEscuro</v>
      </c>
      <c r="D181" t="str">
        <f t="shared" si="35"/>
        <v>256665483</v>
      </c>
      <c r="E181" t="str">
        <f t="shared" si="36"/>
        <v>Dynamic Click</v>
      </c>
      <c r="F181" t="str">
        <f t="shared" si="37"/>
        <v>MK|BR_CH|PSD_DT|CROSS_PB|FCBK_FM|CAR_RT|CPM_PD|CidadesdoFuturo_TG|NON_ST|NON_TS|NONE_SZ|1X1_AD|CM1_IT|SOC_U1|ARAGUAINA_U2|AzulEscuro</v>
      </c>
      <c r="G181" t="str">
        <f t="shared" si="38"/>
        <v>452475145</v>
      </c>
      <c r="H181" t="str">
        <f t="shared" si="39"/>
        <v>Tracking</v>
      </c>
      <c r="I181">
        <f t="shared" si="40"/>
        <v>0</v>
      </c>
      <c r="J181">
        <f t="shared" si="41"/>
        <v>1</v>
      </c>
      <c r="K181" s="4">
        <f t="shared" si="44"/>
        <v>3.5000000000000001E-3</v>
      </c>
      <c r="L181">
        <f t="shared" si="45"/>
        <v>0.02</v>
      </c>
      <c r="M181" s="4">
        <f t="shared" si="42"/>
        <v>3.5000000000000001E-3</v>
      </c>
      <c r="N181" s="4">
        <f t="shared" si="43"/>
        <v>0.02</v>
      </c>
    </row>
    <row r="182" spans="1:14">
      <c r="A182" t="str">
        <f t="shared" si="32"/>
        <v>MK|BR_CN|CIDADESDOFUTURO_MN|NONE_YQ|19Q4_CP|5020004441_SP|N/A_AC|CMKT_OB|AWA</v>
      </c>
      <c r="B182" t="str">
        <f t="shared" si="33"/>
        <v>Facebook</v>
      </c>
      <c r="C182" t="str">
        <f t="shared" si="34"/>
        <v>MK|BR_CH|PSD_DT|CROSS_PB|FCBK_FM|CAR_RT|CPM_PD|CidadesdoFuturo_TG|NON_ST|NON_TS|NONE_SZ|1X1_AD|CM1_IT|SOC_U1|ARARAS_U2|AzulEscuro</v>
      </c>
      <c r="D182" t="str">
        <f t="shared" si="35"/>
        <v>256665489</v>
      </c>
      <c r="E182" t="str">
        <f t="shared" si="36"/>
        <v>Dynamic Click</v>
      </c>
      <c r="F182" t="str">
        <f t="shared" si="37"/>
        <v>MK|BR_CH|PSD_DT|CROSS_PB|FCBK_FM|CAR_RT|CPM_PD|CidadesdoFuturo_TG|NON_ST|NON_TS|NONE_SZ|1X1_AD|CM1_IT|SOC_U1|ARARAS_U2|AzulEscuro</v>
      </c>
      <c r="G182" t="str">
        <f t="shared" si="38"/>
        <v>452475139</v>
      </c>
      <c r="H182" t="str">
        <f t="shared" si="39"/>
        <v>Tracking</v>
      </c>
      <c r="I182">
        <f t="shared" si="40"/>
        <v>0</v>
      </c>
      <c r="J182">
        <f t="shared" si="41"/>
        <v>1</v>
      </c>
      <c r="K182" s="4">
        <f t="shared" si="44"/>
        <v>3.5000000000000001E-3</v>
      </c>
      <c r="L182">
        <f t="shared" si="45"/>
        <v>0.02</v>
      </c>
      <c r="M182" s="4">
        <f t="shared" si="42"/>
        <v>3.5000000000000001E-3</v>
      </c>
      <c r="N182" s="4">
        <f t="shared" si="43"/>
        <v>0.02</v>
      </c>
    </row>
    <row r="183" spans="1:14">
      <c r="A183" t="str">
        <f t="shared" si="32"/>
        <v>MK|BR_CN|CIDADESDOFUTURO_MN|NONE_YQ|19Q4_CP|5020004441_SP|N/A_AC|CMKT_OB|AWA</v>
      </c>
      <c r="B183" t="str">
        <f t="shared" si="33"/>
        <v>Facebook</v>
      </c>
      <c r="C183" t="str">
        <f t="shared" si="34"/>
        <v>MK|BR_CH|PSD_DT|CROSS_PB|FCBK_FM|CAR_RT|CPM_PD|CidadesdoFuturo_TG|NON_ST|NON_TS|NONE_SZ|1X1_AD|CM1_IT|SOC_U1|ARARAS_U2|AzulEscuro</v>
      </c>
      <c r="D183" t="str">
        <f t="shared" si="35"/>
        <v>256665492</v>
      </c>
      <c r="E183" t="str">
        <f t="shared" si="36"/>
        <v>Dynamic Click</v>
      </c>
      <c r="F183" t="str">
        <f t="shared" si="37"/>
        <v>MK|BR_CH|PSD_DT|CROSS_PB|FCBK_FM|CAR_RT|CPM_PD|CidadesdoFuturo_TG|NON_ST|NON_TS|NONE_SZ|1X1_AD|CM1_IT|SOC_U1|ARARAS_U2|AzulEscuro</v>
      </c>
      <c r="G183" t="str">
        <f t="shared" si="38"/>
        <v>452475136</v>
      </c>
      <c r="H183" t="str">
        <f t="shared" si="39"/>
        <v>Tracking</v>
      </c>
      <c r="I183">
        <f t="shared" si="40"/>
        <v>0</v>
      </c>
      <c r="J183">
        <f t="shared" si="41"/>
        <v>2</v>
      </c>
      <c r="K183" s="4">
        <f t="shared" si="44"/>
        <v>3.5000000000000001E-3</v>
      </c>
      <c r="L183">
        <f t="shared" si="45"/>
        <v>0.02</v>
      </c>
      <c r="M183" s="4">
        <f t="shared" si="42"/>
        <v>7.0000000000000001E-3</v>
      </c>
      <c r="N183" s="4">
        <f t="shared" si="43"/>
        <v>0.04</v>
      </c>
    </row>
    <row r="184" spans="1:14">
      <c r="A184" t="str">
        <f t="shared" si="32"/>
        <v>MK|BR_CN|CIDADESDOFUTURO_MN|NONE_YQ|19Q4_CP|5020004441_SP|N/A_AC|CMKT_OB|AWA</v>
      </c>
      <c r="B184" t="str">
        <f t="shared" si="33"/>
        <v>Facebook</v>
      </c>
      <c r="C184" t="str">
        <f t="shared" si="34"/>
        <v>MK|BR_CH|PSD_DT|CROSS_PB|FCBK_FM|CAR_RT|CPM_PD|CidadesdoFuturo_TG|NON_ST|NON_TS|NONE_SZ|1X1_AD|CM1_IT|SOC_U1|BARRETOS_U2|AzulEscuro</v>
      </c>
      <c r="D184" t="str">
        <f t="shared" si="35"/>
        <v>256665498</v>
      </c>
      <c r="E184" t="str">
        <f t="shared" si="36"/>
        <v>Dynamic Click</v>
      </c>
      <c r="F184" t="str">
        <f t="shared" si="37"/>
        <v>MK|BR_CH|PSD_DT|CROSS_PB|FCBK_FM|CAR_RT|CPM_PD|CidadesdoFuturo_TG|NON_ST|NON_TS|NONE_SZ|1X1_AD|CM1_IT|SOC_U1|BARRETOS_U2|AzulEscuro</v>
      </c>
      <c r="G184" t="str">
        <f t="shared" si="38"/>
        <v>452475133</v>
      </c>
      <c r="H184" t="str">
        <f t="shared" si="39"/>
        <v>Tracking</v>
      </c>
      <c r="I184">
        <f t="shared" si="40"/>
        <v>0</v>
      </c>
      <c r="J184">
        <f t="shared" si="41"/>
        <v>1</v>
      </c>
      <c r="K184" s="4">
        <f t="shared" si="44"/>
        <v>3.5000000000000001E-3</v>
      </c>
      <c r="L184">
        <f t="shared" si="45"/>
        <v>0.02</v>
      </c>
      <c r="M184" s="4">
        <f t="shared" si="42"/>
        <v>3.5000000000000001E-3</v>
      </c>
      <c r="N184" s="4">
        <f t="shared" si="43"/>
        <v>0.02</v>
      </c>
    </row>
    <row r="185" spans="1:14">
      <c r="A185" t="str">
        <f t="shared" si="32"/>
        <v>MK|BR_CN|CIDADESDOFUTURO_MN|NONE_YQ|19Q4_CP|5020004441_SP|N/A_AC|CMKT_OB|AWA</v>
      </c>
      <c r="B185" t="str">
        <f t="shared" si="33"/>
        <v>Facebook</v>
      </c>
      <c r="C185" t="str">
        <f t="shared" si="34"/>
        <v>MK|BR_CH|PSD_DT|CROSS_PB|FCBK_FM|CAR_RT|CPM_PD|CidadesdoFuturo_TG|NON_ST|NON_TS|NONE_SZ|1X1_AD|CM1_IT|SOC_U1|BARRETOS_U2|AzulEscuro</v>
      </c>
      <c r="D185" t="str">
        <f t="shared" si="35"/>
        <v>256665501</v>
      </c>
      <c r="E185" t="str">
        <f t="shared" si="36"/>
        <v>Dynamic Click</v>
      </c>
      <c r="F185" t="str">
        <f t="shared" si="37"/>
        <v>MK|BR_CH|PSD_DT|CROSS_PB|FCBK_FM|CAR_RT|CPM_PD|CidadesdoFuturo_TG|NON_ST|NON_TS|NONE_SZ|1X1_AD|CM1_IT|SOC_U1|BARRETOS_U2|AzulEscuro</v>
      </c>
      <c r="G185" t="str">
        <f t="shared" si="38"/>
        <v>452475130</v>
      </c>
      <c r="H185" t="str">
        <f t="shared" si="39"/>
        <v>Tracking</v>
      </c>
      <c r="I185">
        <f t="shared" si="40"/>
        <v>0</v>
      </c>
      <c r="J185">
        <f t="shared" si="41"/>
        <v>1</v>
      </c>
      <c r="K185" s="4">
        <f t="shared" si="44"/>
        <v>3.5000000000000001E-3</v>
      </c>
      <c r="L185">
        <f t="shared" si="45"/>
        <v>0.02</v>
      </c>
      <c r="M185" s="4">
        <f t="shared" si="42"/>
        <v>3.5000000000000001E-3</v>
      </c>
      <c r="N185" s="4">
        <f t="shared" si="43"/>
        <v>0.02</v>
      </c>
    </row>
    <row r="186" spans="1:14">
      <c r="A186" t="str">
        <f t="shared" si="32"/>
        <v>MK|BR_CN|CIDADESDOFUTURO_MN|NONE_YQ|19Q4_CP|5020004441_SP|N/A_AC|CMKT_OB|AWA</v>
      </c>
      <c r="B186" t="str">
        <f t="shared" si="33"/>
        <v>Facebook</v>
      </c>
      <c r="C186" t="str">
        <f t="shared" si="34"/>
        <v>MK|BR_CH|PSD_DT|CROSS_PB|FCBK_FM|CAR_RT|CPM_PD|CidadesdoFuturo_TG|NON_ST|NON_TS|NONE_SZ|1X1_AD|CM1_IT|SOC_U1|BELEM_U2|AzulEscuro</v>
      </c>
      <c r="D186" t="str">
        <f t="shared" si="35"/>
        <v>255471079</v>
      </c>
      <c r="E186" t="str">
        <f t="shared" si="36"/>
        <v>Dynamic Click</v>
      </c>
      <c r="F186" t="str">
        <f t="shared" si="37"/>
        <v>MK|BR_CH|PSD_DT|CROSS_PB|FCBK_FM|CAR_RT|CPM_PD|CidadesdoFuturo_TG|NON_ST|NON_TS|NONE_SZ|1X1_AD|CM1_IT|SOC_U1|BELEM_U2|AzulEscuro</v>
      </c>
      <c r="G186" t="str">
        <f t="shared" si="38"/>
        <v>451397511</v>
      </c>
      <c r="H186" t="str">
        <f t="shared" si="39"/>
        <v>Tracking</v>
      </c>
      <c r="I186">
        <f t="shared" si="40"/>
        <v>0</v>
      </c>
      <c r="J186">
        <f t="shared" si="41"/>
        <v>272</v>
      </c>
      <c r="K186" s="4">
        <f t="shared" si="44"/>
        <v>3.5000000000000001E-3</v>
      </c>
      <c r="L186">
        <f t="shared" si="45"/>
        <v>0.02</v>
      </c>
      <c r="M186" s="4">
        <f t="shared" si="42"/>
        <v>0.95200000000000007</v>
      </c>
      <c r="N186" s="4">
        <f t="shared" si="43"/>
        <v>5.44</v>
      </c>
    </row>
    <row r="187" spans="1:14">
      <c r="A187" t="str">
        <f t="shared" si="32"/>
        <v>MK|BR_CN|CIDADESDOFUTURO_MN|NONE_YQ|19Q4_CP|5020004441_SP|N/A_AC|CMKT_OB|AWA</v>
      </c>
      <c r="B187" t="str">
        <f t="shared" si="33"/>
        <v>Facebook</v>
      </c>
      <c r="C187" t="str">
        <f t="shared" si="34"/>
        <v>MK|BR_CH|PSD_DT|CROSS_PB|FCBK_FM|CAR_RT|CPM_PD|CidadesdoFuturo_TG|NON_ST|NON_TS|NONE_SZ|1X1_AD|CM1_IT|SOC_U1|BELEM_U2|AzulEscuro</v>
      </c>
      <c r="D187" t="str">
        <f t="shared" si="35"/>
        <v>256665507</v>
      </c>
      <c r="E187" t="str">
        <f t="shared" si="36"/>
        <v>Dynamic Click</v>
      </c>
      <c r="F187" t="str">
        <f t="shared" si="37"/>
        <v>MK|BR_CH|PSD_DT|CROSS_PB|FCBK_FM|CAR_RT|CPM_PD|CidadesdoFuturo_TG|NON_ST|NON_TS|NONE_SZ|1X1_AD|CM1_IT|SOC_U1|BELEM_U2|AzulEscuro</v>
      </c>
      <c r="G187" t="str">
        <f t="shared" si="38"/>
        <v>452475124</v>
      </c>
      <c r="H187" t="str">
        <f t="shared" si="39"/>
        <v>Tracking</v>
      </c>
      <c r="I187">
        <f t="shared" si="40"/>
        <v>0</v>
      </c>
      <c r="J187">
        <f t="shared" si="41"/>
        <v>1</v>
      </c>
      <c r="K187" s="4">
        <f t="shared" si="44"/>
        <v>3.5000000000000001E-3</v>
      </c>
      <c r="L187">
        <f t="shared" si="45"/>
        <v>0.02</v>
      </c>
      <c r="M187" s="4">
        <f t="shared" si="42"/>
        <v>3.5000000000000001E-3</v>
      </c>
      <c r="N187" s="4">
        <f t="shared" si="43"/>
        <v>0.02</v>
      </c>
    </row>
    <row r="188" spans="1:14">
      <c r="A188" t="str">
        <f t="shared" si="32"/>
        <v>MK|BR_CN|CIDADESDOFUTURO_MN|NONE_YQ|19Q4_CP|5020004441_SP|N/A_AC|CMKT_OB|AWA</v>
      </c>
      <c r="B188" t="str">
        <f t="shared" si="33"/>
        <v>Facebook</v>
      </c>
      <c r="C188" t="str">
        <f t="shared" si="34"/>
        <v>MK|BR_CH|PSD_DT|CROSS_PB|FCBK_FM|CAR_RT|CPM_PD|CidadesdoFuturo_TG|NON_ST|NON_TS|NONE_SZ|1X1_AD|CM1_IT|SOC_U1|BELEM_U2|AzulEscuro</v>
      </c>
      <c r="D188" t="str">
        <f t="shared" si="35"/>
        <v>256665510</v>
      </c>
      <c r="E188" t="str">
        <f t="shared" si="36"/>
        <v>Dynamic Click</v>
      </c>
      <c r="F188" t="str">
        <f t="shared" si="37"/>
        <v>MK|BR_CH|PSD_DT|CROSS_PB|FCBK_FM|CAR_RT|CPM_PD|CidadesdoFuturo_TG|NON_ST|NON_TS|NONE_SZ|1X1_AD|CM1_IT|SOC_U1|BELEM_U2|AzulEscuro</v>
      </c>
      <c r="G188" t="str">
        <f t="shared" si="38"/>
        <v>452475121</v>
      </c>
      <c r="H188" t="str">
        <f t="shared" si="39"/>
        <v>Tracking</v>
      </c>
      <c r="I188">
        <f t="shared" si="40"/>
        <v>0</v>
      </c>
      <c r="J188">
        <f t="shared" si="41"/>
        <v>1</v>
      </c>
      <c r="K188" s="4">
        <f t="shared" si="44"/>
        <v>3.5000000000000001E-3</v>
      </c>
      <c r="L188">
        <f t="shared" si="45"/>
        <v>0.02</v>
      </c>
      <c r="M188" s="4">
        <f t="shared" si="42"/>
        <v>3.5000000000000001E-3</v>
      </c>
      <c r="N188" s="4">
        <f t="shared" si="43"/>
        <v>0.02</v>
      </c>
    </row>
    <row r="189" spans="1:14">
      <c r="A189" t="str">
        <f t="shared" si="32"/>
        <v>MK|BR_CN|CIDADESDOFUTURO_MN|NONE_YQ|19Q4_CP|5020004441_SP|N/A_AC|CMKT_OB|AWA</v>
      </c>
      <c r="B189" t="str">
        <f t="shared" si="33"/>
        <v>Facebook</v>
      </c>
      <c r="C189" t="str">
        <f t="shared" si="34"/>
        <v>MK|BR_CH|PSD_DT|CROSS_PB|FCBK_FM|CAR_RT|CPM_PD|CidadesdoFuturo_TG|NON_ST|NON_TS|NONE_SZ|1X1_AD|CM1_IT|SOC_U1|BELEM_U2|AzulEscuro</v>
      </c>
      <c r="D189" t="str">
        <f t="shared" si="35"/>
        <v>256665516</v>
      </c>
      <c r="E189" t="str">
        <f t="shared" si="36"/>
        <v>Dynamic Click</v>
      </c>
      <c r="F189" t="str">
        <f t="shared" si="37"/>
        <v>MK|BR_CH|PSD_DT|CROSS_PB|FCBK_FM|CAR_RT|CPM_PD|CidadesdoFuturo_TG|NON_ST|NON_TS|NONE_SZ|1X1_AD|CM1_IT|SOC_U1|BELEM_U2|AzulEscuro</v>
      </c>
      <c r="G189" t="str">
        <f t="shared" si="38"/>
        <v>452475118</v>
      </c>
      <c r="H189" t="str">
        <f t="shared" si="39"/>
        <v>Tracking</v>
      </c>
      <c r="I189">
        <f t="shared" si="40"/>
        <v>0</v>
      </c>
      <c r="J189">
        <f t="shared" si="41"/>
        <v>1</v>
      </c>
      <c r="K189" s="4">
        <f t="shared" si="44"/>
        <v>3.5000000000000001E-3</v>
      </c>
      <c r="L189">
        <f t="shared" si="45"/>
        <v>0.02</v>
      </c>
      <c r="M189" s="4">
        <f t="shared" si="42"/>
        <v>3.5000000000000001E-3</v>
      </c>
      <c r="N189" s="4">
        <f t="shared" si="43"/>
        <v>0.02</v>
      </c>
    </row>
    <row r="190" spans="1:14">
      <c r="A190" t="str">
        <f t="shared" si="32"/>
        <v>MK|BR_CN|CIDADESDOFUTURO_MN|NONE_YQ|19Q4_CP|5020004441_SP|N/A_AC|CMKT_OB|AWA</v>
      </c>
      <c r="B190" t="str">
        <f t="shared" si="33"/>
        <v>Facebook</v>
      </c>
      <c r="C190" t="str">
        <f t="shared" si="34"/>
        <v>MK|BR_CH|PSD_DT|CROSS_PB|FCBK_FM|CAR_RT|CPM_PD|CidadesdoFuturo_TG|NON_ST|NON_TS|NONE_SZ|1X1_AD|CM1_IT|SOC_U1|BRUSQUE_U2|AzulEscuro</v>
      </c>
      <c r="D190" t="str">
        <f t="shared" si="35"/>
        <v>256665528</v>
      </c>
      <c r="E190" t="str">
        <f t="shared" si="36"/>
        <v>Dynamic Click</v>
      </c>
      <c r="F190" t="str">
        <f t="shared" si="37"/>
        <v>MK|BR_CH|PSD_DT|CROSS_PB|FCBK_FM|CAR_RT|CPM_PD|CidadesdoFuturo_TG|NON_ST|NON_TS|NONE_SZ|1X1_AD|CM1_IT|SOC_U1|BRUSQUE_U2|AzulEscuro</v>
      </c>
      <c r="G190" t="str">
        <f t="shared" si="38"/>
        <v>452475106</v>
      </c>
      <c r="H190" t="str">
        <f t="shared" si="39"/>
        <v>Tracking</v>
      </c>
      <c r="I190">
        <f t="shared" si="40"/>
        <v>0</v>
      </c>
      <c r="J190">
        <f t="shared" si="41"/>
        <v>1</v>
      </c>
      <c r="K190" s="4">
        <f t="shared" si="44"/>
        <v>3.5000000000000001E-3</v>
      </c>
      <c r="L190">
        <f t="shared" si="45"/>
        <v>0.02</v>
      </c>
      <c r="M190" s="4">
        <f t="shared" si="42"/>
        <v>3.5000000000000001E-3</v>
      </c>
      <c r="N190" s="4">
        <f t="shared" si="43"/>
        <v>0.02</v>
      </c>
    </row>
    <row r="191" spans="1:14">
      <c r="A191" t="str">
        <f t="shared" si="32"/>
        <v>MK|BR_CN|CIDADESDOFUTURO_MN|NONE_YQ|19Q4_CP|5020004441_SP|N/A_AC|CMKT_OB|AWA</v>
      </c>
      <c r="B191" t="str">
        <f t="shared" si="33"/>
        <v>Facebook</v>
      </c>
      <c r="C191" t="str">
        <f t="shared" si="34"/>
        <v>MK|BR_CH|PSD_DT|CROSS_PB|FCBK_FM|CAR_RT|CPM_PD|CidadesdoFuturo_TG|NON_ST|NON_TS|NONE_SZ|1X1_AD|CM1_IT|SOC_U1|CABOFRIO_U2|AzulEscuro</v>
      </c>
      <c r="D191" t="str">
        <f t="shared" si="35"/>
        <v>256228835</v>
      </c>
      <c r="E191" t="str">
        <f t="shared" si="36"/>
        <v>Dynamic Click</v>
      </c>
      <c r="F191" t="str">
        <f t="shared" si="37"/>
        <v>MK|BR_CH|PSD_DT|CROSS_PB|FCBK_FM|CAR_RT|CPM_PD|CidadesdoFuturo_TG|NON_ST|NON_TS|NONE_SZ|1X1_AD|CM1_IT|SOC_U1|CABOFRIO_U2|AzulEscuro</v>
      </c>
      <c r="G191" t="str">
        <f t="shared" si="38"/>
        <v>452475067</v>
      </c>
      <c r="H191" t="str">
        <f t="shared" si="39"/>
        <v>Tracking</v>
      </c>
      <c r="I191">
        <f t="shared" si="40"/>
        <v>0</v>
      </c>
      <c r="J191">
        <f t="shared" si="41"/>
        <v>1</v>
      </c>
      <c r="K191" s="4">
        <f t="shared" si="44"/>
        <v>3.5000000000000001E-3</v>
      </c>
      <c r="L191">
        <f t="shared" si="45"/>
        <v>0.02</v>
      </c>
      <c r="M191" s="4">
        <f t="shared" si="42"/>
        <v>3.5000000000000001E-3</v>
      </c>
      <c r="N191" s="4">
        <f t="shared" si="43"/>
        <v>0.02</v>
      </c>
    </row>
    <row r="192" spans="1:14">
      <c r="A192" t="str">
        <f t="shared" si="32"/>
        <v>MK|BR_CN|CIDADESDOFUTURO_MN|NONE_YQ|19Q4_CP|5020004441_SP|N/A_AC|CMKT_OB|AWA</v>
      </c>
      <c r="B192" t="str">
        <f t="shared" si="33"/>
        <v>Facebook</v>
      </c>
      <c r="C192" t="str">
        <f t="shared" si="34"/>
        <v>MK|BR_CH|PSD_DT|CROSS_PB|FCBK_FM|CAR_RT|CPM_PD|CidadesdoFuturo_TG|NON_ST|NON_TS|NONE_SZ|1X1_AD|CM1_IT|SOC_U1|CABOFRIO_U2|AzulEscuro</v>
      </c>
      <c r="D192" t="str">
        <f t="shared" si="35"/>
        <v>256665540</v>
      </c>
      <c r="E192" t="str">
        <f t="shared" si="36"/>
        <v>Dynamic Click</v>
      </c>
      <c r="F192" t="str">
        <f t="shared" si="37"/>
        <v>MK|BR_CH|PSD_DT|CROSS_PB|FCBK_FM|CAR_RT|CPM_PD|CidadesdoFuturo_TG|NON_ST|NON_TS|NONE_SZ|1X1_AD|CM1_IT|SOC_U1|CABOFRIO_U2|AzulEscuro</v>
      </c>
      <c r="G192" t="str">
        <f t="shared" si="38"/>
        <v>452475097</v>
      </c>
      <c r="H192" t="str">
        <f t="shared" si="39"/>
        <v>Tracking</v>
      </c>
      <c r="I192">
        <f t="shared" si="40"/>
        <v>0</v>
      </c>
      <c r="J192">
        <f t="shared" si="41"/>
        <v>1</v>
      </c>
      <c r="K192" s="4">
        <f t="shared" si="44"/>
        <v>3.5000000000000001E-3</v>
      </c>
      <c r="L192">
        <f t="shared" si="45"/>
        <v>0.02</v>
      </c>
      <c r="M192" s="4">
        <f t="shared" si="42"/>
        <v>3.5000000000000001E-3</v>
      </c>
      <c r="N192" s="4">
        <f t="shared" si="43"/>
        <v>0.02</v>
      </c>
    </row>
    <row r="193" spans="1:14">
      <c r="A193" t="str">
        <f t="shared" si="32"/>
        <v>MK|BR_CN|CIDADESDOFUTURO_MN|NONE_YQ|19Q4_CP|5020004441_SP|N/A_AC|CMKT_OB|AWA</v>
      </c>
      <c r="B193" t="str">
        <f t="shared" si="33"/>
        <v>Facebook</v>
      </c>
      <c r="C193" t="str">
        <f t="shared" si="34"/>
        <v>MK|BR_CH|PSD_DT|CROSS_PB|FCBK_FM|CAR_RT|CPM_PD|CidadesdoFuturo_TG|NON_ST|NON_TS|NONE_SZ|1X1_AD|CM1_IT|SOC_U1|CABOFRIO_U2|AzulEscuro</v>
      </c>
      <c r="D193" t="str">
        <f t="shared" si="35"/>
        <v>256665543</v>
      </c>
      <c r="E193" t="str">
        <f t="shared" si="36"/>
        <v>Dynamic Click</v>
      </c>
      <c r="F193" t="str">
        <f t="shared" si="37"/>
        <v>MK|BR_CH|PSD_DT|CROSS_PB|FCBK_FM|CAR_RT|CPM_PD|CidadesdoFuturo_TG|NON_ST|NON_TS|NONE_SZ|1X1_AD|CM1_IT|SOC_U1|CABOFRIO_U2|AzulEscuro</v>
      </c>
      <c r="G193" t="str">
        <f t="shared" si="38"/>
        <v>452475094</v>
      </c>
      <c r="H193" t="str">
        <f t="shared" si="39"/>
        <v>Tracking</v>
      </c>
      <c r="I193">
        <f t="shared" si="40"/>
        <v>0</v>
      </c>
      <c r="J193">
        <f t="shared" si="41"/>
        <v>1</v>
      </c>
      <c r="K193" s="4">
        <f t="shared" si="44"/>
        <v>3.5000000000000001E-3</v>
      </c>
      <c r="L193">
        <f t="shared" si="45"/>
        <v>0.02</v>
      </c>
      <c r="M193" s="4">
        <f t="shared" si="42"/>
        <v>3.5000000000000001E-3</v>
      </c>
      <c r="N193" s="4">
        <f t="shared" si="43"/>
        <v>0.02</v>
      </c>
    </row>
    <row r="194" spans="1:14">
      <c r="A194" t="str">
        <f t="shared" ref="A194:A257" si="46">bd_campaign</f>
        <v>MK|BR_CN|CIDADESDOFUTURO_MN|NONE_YQ|19Q4_CP|5020004441_SP|N/A_AC|CMKT_OB|AWA</v>
      </c>
      <c r="B194" t="str">
        <f t="shared" ref="B194:B257" si="47">bd_site</f>
        <v>Facebook</v>
      </c>
      <c r="C194" t="str">
        <f t="shared" ref="C194:C257" si="48">bd_placement</f>
        <v>MK|BR_CH|PSD_DT|CROSS_PB|FCBK_FM|CAR_RT|CPM_PD|CidadesdoFuturo_TG|NON_ST|NON_TS|NONE_SZ|1X1_AD|CM1_IT|SOC_U1|CABOFRIO_U2|AzulEscuro</v>
      </c>
      <c r="D194" t="str">
        <f t="shared" ref="D194:D257" si="49">bd_placementID</f>
        <v>256665546</v>
      </c>
      <c r="E194" t="str">
        <f t="shared" ref="E194:E257" si="50">VLOOKUP(CONCATENATE(bd_adtype,"_",bd_creativetype),tabela,2,FALSE)</f>
        <v>Dynamic Click</v>
      </c>
      <c r="F194" t="str">
        <f t="shared" ref="F194:F257" si="51">bd_ad</f>
        <v>MK|BR_CH|PSD_DT|CROSS_PB|FCBK_FM|CAR_RT|CPM_PD|CidadesdoFuturo_TG|NON_ST|NON_TS|NONE_SZ|1X1_AD|CM1_IT|SOC_U1|CABOFRIO_U2|AzulEscuro</v>
      </c>
      <c r="G194" t="str">
        <f t="shared" ref="G194:G257" si="52">bd_adid</f>
        <v>452475091</v>
      </c>
      <c r="H194" t="str">
        <f t="shared" ref="H194:H257" si="53">bd_creativetype</f>
        <v>Tracking</v>
      </c>
      <c r="I194">
        <f t="shared" ref="I194:I257" si="54">bd_impression</f>
        <v>0</v>
      </c>
      <c r="J194">
        <f t="shared" ref="J194:J257" si="55">bd_clicks</f>
        <v>2</v>
      </c>
      <c r="K194" s="4">
        <f t="shared" si="44"/>
        <v>3.5000000000000001E-3</v>
      </c>
      <c r="L194">
        <f t="shared" si="45"/>
        <v>0.02</v>
      </c>
      <c r="M194" s="4">
        <f t="shared" si="42"/>
        <v>7.0000000000000001E-3</v>
      </c>
      <c r="N194" s="4">
        <f t="shared" si="43"/>
        <v>0.04</v>
      </c>
    </row>
    <row r="195" spans="1:14">
      <c r="A195" t="str">
        <f t="shared" si="46"/>
        <v>MK|BR_CN|CIDADESDOFUTURO_MN|NONE_YQ|19Q4_CP|5020004441_SP|N/A_AC|CMKT_OB|AWA</v>
      </c>
      <c r="B195" t="str">
        <f t="shared" si="47"/>
        <v>Facebook</v>
      </c>
      <c r="C195" t="str">
        <f t="shared" si="48"/>
        <v>MK|BR_CH|PSD_DT|CROSS_PB|FCBK_FM|CAR_RT|CPM_PD|CidadesdoFuturo_TG|NON_ST|NON_TS|NONE_SZ|1X1_AD|CM1_IT|SOC_U1|CAMPOSDOSGOYTACAZES_U2|AzulEscuro</v>
      </c>
      <c r="D195" t="str">
        <f t="shared" si="49"/>
        <v>256228841</v>
      </c>
      <c r="E195" t="str">
        <f t="shared" si="50"/>
        <v>Dynamic Click</v>
      </c>
      <c r="F195" t="str">
        <f t="shared" si="51"/>
        <v>MK|BR_CH|PSD_DT|CROSS_PB|FCBK_FM|CAR_RT|CPM_PD|CidadesdoFuturo_TG|NON_ST|NON_TS|NONE_SZ|1X1_AD|CM1_IT|SOC_U1|CAMPOSDOSGOYTACAZES_U2|AzulEscuro</v>
      </c>
      <c r="G195" t="str">
        <f t="shared" si="52"/>
        <v>452475061</v>
      </c>
      <c r="H195" t="str">
        <f t="shared" si="53"/>
        <v>Tracking</v>
      </c>
      <c r="I195">
        <f t="shared" si="54"/>
        <v>0</v>
      </c>
      <c r="J195">
        <f t="shared" si="55"/>
        <v>1</v>
      </c>
      <c r="K195" s="4">
        <f t="shared" si="44"/>
        <v>3.5000000000000001E-3</v>
      </c>
      <c r="L195">
        <f t="shared" si="45"/>
        <v>0.02</v>
      </c>
      <c r="M195" s="4">
        <f t="shared" si="42"/>
        <v>3.5000000000000001E-3</v>
      </c>
      <c r="N195" s="4">
        <f t="shared" si="43"/>
        <v>0.02</v>
      </c>
    </row>
    <row r="196" spans="1:14">
      <c r="A196" t="str">
        <f t="shared" si="46"/>
        <v>MK|BR_CN|CIDADESDOFUTURO_MN|NONE_YQ|19Q4_CP|5020004441_SP|N/A_AC|CMKT_OB|AWA</v>
      </c>
      <c r="B196" t="str">
        <f t="shared" si="47"/>
        <v>Facebook</v>
      </c>
      <c r="C196" t="str">
        <f t="shared" si="48"/>
        <v>MK|BR_CH|PSD_DT|CROSS_PB|FCBK_FM|CAR_RT|CPM_PD|CidadesdoFuturo_TG|NON_ST|NON_TS|NONE_SZ|1X1_AD|CM1_IT|SOC_U1|CARUARU_U2|AzulEscuro</v>
      </c>
      <c r="D196" t="str">
        <f t="shared" si="49"/>
        <v>255145931</v>
      </c>
      <c r="E196" t="str">
        <f t="shared" si="50"/>
        <v>Dynamic Click</v>
      </c>
      <c r="F196" t="str">
        <f t="shared" si="51"/>
        <v>MK|BR_CH|PSD_DT|CROSS_PB|FCBK_FM|CAR_RT|CPM_PD|CidadesdoFuturo_TG|NON_ST|NON_TS|NONE_SZ|1X1_AD|CM1_IT|SOC_U1|CARUARU_U2|AzulEscuro</v>
      </c>
      <c r="G196" t="str">
        <f t="shared" si="52"/>
        <v>451491535</v>
      </c>
      <c r="H196" t="str">
        <f t="shared" si="53"/>
        <v>Tracking</v>
      </c>
      <c r="I196">
        <f t="shared" si="54"/>
        <v>0</v>
      </c>
      <c r="J196">
        <f t="shared" si="55"/>
        <v>122</v>
      </c>
      <c r="K196" s="4">
        <f t="shared" si="44"/>
        <v>3.5000000000000001E-3</v>
      </c>
      <c r="L196">
        <f t="shared" si="45"/>
        <v>0.02</v>
      </c>
      <c r="M196" s="4">
        <f t="shared" si="42"/>
        <v>0.42699999999999999</v>
      </c>
      <c r="N196" s="4">
        <f t="shared" si="43"/>
        <v>2.44</v>
      </c>
    </row>
    <row r="197" spans="1:14">
      <c r="A197" t="str">
        <f t="shared" si="46"/>
        <v>MK|BR_CN|CIDADESDOFUTURO_MN|NONE_YQ|19Q4_CP|5020004441_SP|N/A_AC|CMKT_OB|AWA</v>
      </c>
      <c r="B197" t="str">
        <f t="shared" si="47"/>
        <v>Facebook</v>
      </c>
      <c r="C197" t="str">
        <f t="shared" si="48"/>
        <v>MK|BR_CH|PSD_DT|CROSS_PB|FCBK_FM|CAR_RT|CPM_PD|CidadesdoFuturo_TG|NON_ST|NON_TS|NONE_SZ|1X1_AD|CM1_IT|SOC_U1|CARUARU_U2|AzulEscuro</v>
      </c>
      <c r="D197" t="str">
        <f t="shared" si="49"/>
        <v>256228850</v>
      </c>
      <c r="E197" t="str">
        <f t="shared" si="50"/>
        <v>Dynamic Click</v>
      </c>
      <c r="F197" t="str">
        <f t="shared" si="51"/>
        <v>MK|BR_CH|PSD_DT|CROSS_PB|FCBK_FM|CAR_RT|CPM_PD|CidadesdoFuturo_TG|NON_ST|NON_TS|NONE_SZ|1X1_AD|CM1_IT|SOC_U1|CARUARU_U2|AzulEscuro</v>
      </c>
      <c r="G197" t="str">
        <f t="shared" si="52"/>
        <v>452475055</v>
      </c>
      <c r="H197" t="str">
        <f t="shared" si="53"/>
        <v>Tracking</v>
      </c>
      <c r="I197">
        <f t="shared" si="54"/>
        <v>0</v>
      </c>
      <c r="J197">
        <f t="shared" si="55"/>
        <v>2</v>
      </c>
      <c r="K197" s="4">
        <f t="shared" si="44"/>
        <v>3.5000000000000001E-3</v>
      </c>
      <c r="L197">
        <f t="shared" si="45"/>
        <v>0.02</v>
      </c>
      <c r="M197" s="4">
        <f t="shared" si="42"/>
        <v>7.0000000000000001E-3</v>
      </c>
      <c r="N197" s="4">
        <f t="shared" si="43"/>
        <v>0.04</v>
      </c>
    </row>
    <row r="198" spans="1:14">
      <c r="A198" t="str">
        <f t="shared" si="46"/>
        <v>MK|BR_CN|CIDADESDOFUTURO_MN|NONE_YQ|19Q4_CP|5020004441_SP|N/A_AC|CMKT_OB|AWA</v>
      </c>
      <c r="B198" t="str">
        <f t="shared" si="47"/>
        <v>Facebook</v>
      </c>
      <c r="C198" t="str">
        <f t="shared" si="48"/>
        <v>MK|BR_CH|PSD_DT|CROSS_PB|FCBK_FM|CAR_RT|CPM_PD|CidadesdoFuturo_TG|NON_ST|NON_TS|NONE_SZ|1X1_AD|CM1_IT|SOC_U1|CARUARU_U2|AzulEscuro</v>
      </c>
      <c r="D198" t="str">
        <f t="shared" si="49"/>
        <v>256228853</v>
      </c>
      <c r="E198" t="str">
        <f t="shared" si="50"/>
        <v>Dynamic Click</v>
      </c>
      <c r="F198" t="str">
        <f t="shared" si="51"/>
        <v>MK|BR_CH|PSD_DT|CROSS_PB|FCBK_FM|CAR_RT|CPM_PD|CidadesdoFuturo_TG|NON_ST|NON_TS|NONE_SZ|1X1_AD|CM1_IT|SOC_U1|CARUARU_U2|AzulEscuro</v>
      </c>
      <c r="G198" t="str">
        <f t="shared" si="52"/>
        <v>452475052</v>
      </c>
      <c r="H198" t="str">
        <f t="shared" si="53"/>
        <v>Tracking</v>
      </c>
      <c r="I198">
        <f t="shared" si="54"/>
        <v>0</v>
      </c>
      <c r="J198">
        <f t="shared" si="55"/>
        <v>1</v>
      </c>
      <c r="K198" s="4">
        <f t="shared" si="44"/>
        <v>3.5000000000000001E-3</v>
      </c>
      <c r="L198">
        <f t="shared" si="45"/>
        <v>0.02</v>
      </c>
      <c r="M198" s="4">
        <f t="shared" si="42"/>
        <v>3.5000000000000001E-3</v>
      </c>
      <c r="N198" s="4">
        <f t="shared" si="43"/>
        <v>0.02</v>
      </c>
    </row>
    <row r="199" spans="1:14">
      <c r="A199" t="str">
        <f t="shared" si="46"/>
        <v>MK|BR_CN|CIDADESDOFUTURO_MN|NONE_YQ|19Q4_CP|5020004441_SP|N/A_AC|CMKT_OB|AWA</v>
      </c>
      <c r="B199" t="str">
        <f t="shared" si="47"/>
        <v>Facebook</v>
      </c>
      <c r="C199" t="str">
        <f t="shared" si="48"/>
        <v>MK|BR_CH|PSD_DT|CROSS_PB|FCBK_FM|CAR_RT|CPM_PD|CidadesdoFuturo_TG|NON_ST|NON_TS|NONE_SZ|1X1_AD|CM1_IT|SOC_U1|CASCAVEL_U2|AzulEscuro</v>
      </c>
      <c r="D199" t="str">
        <f t="shared" si="49"/>
        <v>255145919</v>
      </c>
      <c r="E199" t="str">
        <f t="shared" si="50"/>
        <v>Dynamic Click</v>
      </c>
      <c r="F199" t="str">
        <f t="shared" si="51"/>
        <v>MK|BR_CH|PSD_DT|CROSS_PB|FCBK_FM|CAR_RT|CPM_PD|CidadesdoFuturo_TG|NON_ST|NON_TS|NONE_SZ|1X1_AD|CM1_IT|SOC_U1|CASCAVEL_U2|AzulEscuro</v>
      </c>
      <c r="G199" t="str">
        <f t="shared" si="52"/>
        <v>451491559</v>
      </c>
      <c r="H199" t="str">
        <f t="shared" si="53"/>
        <v>Tracking</v>
      </c>
      <c r="I199">
        <f t="shared" si="54"/>
        <v>0</v>
      </c>
      <c r="J199">
        <f t="shared" si="55"/>
        <v>112</v>
      </c>
      <c r="K199" s="4">
        <f t="shared" si="44"/>
        <v>3.5000000000000001E-3</v>
      </c>
      <c r="L199">
        <f t="shared" si="45"/>
        <v>0.02</v>
      </c>
      <c r="M199" s="4">
        <f t="shared" si="42"/>
        <v>0.39200000000000002</v>
      </c>
      <c r="N199" s="4">
        <f t="shared" si="43"/>
        <v>2.2400000000000002</v>
      </c>
    </row>
    <row r="200" spans="1:14">
      <c r="A200" t="str">
        <f t="shared" si="46"/>
        <v>MK|BR_CN|CIDADESDOFUTURO_MN|NONE_YQ|19Q4_CP|5020004441_SP|N/A_AC|CMKT_OB|AWA</v>
      </c>
      <c r="B200" t="str">
        <f t="shared" si="47"/>
        <v>Facebook</v>
      </c>
      <c r="C200" t="str">
        <f t="shared" si="48"/>
        <v>MK|BR_CH|PSD_DT|CROSS_PB|FCBK_FM|CAR_RT|CPM_PD|CidadesdoFuturo_TG|NON_ST|NON_TS|NONE_SZ|1X1_AD|CM1_IT|SOC_U1|CASCAVEL_U2|AzulEscuro</v>
      </c>
      <c r="D200" t="str">
        <f t="shared" si="49"/>
        <v>256228859</v>
      </c>
      <c r="E200" t="str">
        <f t="shared" si="50"/>
        <v>Dynamic Click</v>
      </c>
      <c r="F200" t="str">
        <f t="shared" si="51"/>
        <v>MK|BR_CH|PSD_DT|CROSS_PB|FCBK_FM|CAR_RT|CPM_PD|CidadesdoFuturo_TG|NON_ST|NON_TS|NONE_SZ|1X1_AD|CM1_IT|SOC_U1|CASCAVEL_U2|AzulEscuro</v>
      </c>
      <c r="G200" t="str">
        <f t="shared" si="52"/>
        <v>452475046</v>
      </c>
      <c r="H200" t="str">
        <f t="shared" si="53"/>
        <v>Tracking</v>
      </c>
      <c r="I200">
        <f t="shared" si="54"/>
        <v>0</v>
      </c>
      <c r="J200">
        <f t="shared" si="55"/>
        <v>2</v>
      </c>
      <c r="K200" s="4">
        <f t="shared" si="44"/>
        <v>3.5000000000000001E-3</v>
      </c>
      <c r="L200">
        <f t="shared" si="45"/>
        <v>0.02</v>
      </c>
      <c r="M200" s="4">
        <f t="shared" si="42"/>
        <v>7.0000000000000001E-3</v>
      </c>
      <c r="N200" s="4">
        <f t="shared" si="43"/>
        <v>0.04</v>
      </c>
    </row>
    <row r="201" spans="1:14">
      <c r="A201" t="str">
        <f t="shared" si="46"/>
        <v>MK|BR_CN|CIDADESDOFUTURO_MN|NONE_YQ|19Q4_CP|5020004441_SP|N/A_AC|CMKT_OB|AWA</v>
      </c>
      <c r="B201" t="str">
        <f t="shared" si="47"/>
        <v>Facebook</v>
      </c>
      <c r="C201" t="str">
        <f t="shared" si="48"/>
        <v>MK|BR_CH|PSD_DT|CROSS_PB|FCBK_FM|CAR_RT|CPM_PD|CidadesdoFuturo_TG|NON_ST|NON_TS|NONE_SZ|1X1_AD|CM1_IT|SOC_U1|CASCAVEL_U2|AzulEscuro</v>
      </c>
      <c r="D201" t="str">
        <f t="shared" si="49"/>
        <v>256228865</v>
      </c>
      <c r="E201" t="str">
        <f t="shared" si="50"/>
        <v>Dynamic Click</v>
      </c>
      <c r="F201" t="str">
        <f t="shared" si="51"/>
        <v>MK|BR_CH|PSD_DT|CROSS_PB|FCBK_FM|CAR_RT|CPM_PD|CidadesdoFuturo_TG|NON_ST|NON_TS|NONE_SZ|1X1_AD|CM1_IT|SOC_U1|CASCAVEL_U2|AzulEscuro</v>
      </c>
      <c r="G201" t="str">
        <f t="shared" si="52"/>
        <v>452475043</v>
      </c>
      <c r="H201" t="str">
        <f t="shared" si="53"/>
        <v>Tracking</v>
      </c>
      <c r="I201">
        <f t="shared" si="54"/>
        <v>0</v>
      </c>
      <c r="J201">
        <f t="shared" si="55"/>
        <v>1</v>
      </c>
      <c r="K201" s="4">
        <f t="shared" si="44"/>
        <v>3.5000000000000001E-3</v>
      </c>
      <c r="L201">
        <f t="shared" si="45"/>
        <v>0.02</v>
      </c>
      <c r="M201" s="4">
        <f t="shared" si="42"/>
        <v>3.5000000000000001E-3</v>
      </c>
      <c r="N201" s="4">
        <f t="shared" si="43"/>
        <v>0.02</v>
      </c>
    </row>
    <row r="202" spans="1:14">
      <c r="A202" t="str">
        <f t="shared" si="46"/>
        <v>MK|BR_CN|CIDADESDOFUTURO_MN|NONE_YQ|19Q4_CP|5020004441_SP|N/A_AC|CMKT_OB|AWA</v>
      </c>
      <c r="B202" t="str">
        <f t="shared" si="47"/>
        <v>Facebook</v>
      </c>
      <c r="C202" t="str">
        <f t="shared" si="48"/>
        <v>MK|BR_CH|PSD_DT|CROSS_PB|FCBK_FM|CAR_RT|CPM_PD|CidadesdoFuturo_TG|NON_ST|NON_TS|NONE_SZ|1X1_AD|CM1_IT|SOC_U1|CATANDUVA_U2|AzulEscuro</v>
      </c>
      <c r="D202" t="str">
        <f t="shared" si="49"/>
        <v>256228871</v>
      </c>
      <c r="E202" t="str">
        <f t="shared" si="50"/>
        <v>Dynamic Click</v>
      </c>
      <c r="F202" t="str">
        <f t="shared" si="51"/>
        <v>MK|BR_CH|PSD_DT|CROSS_PB|FCBK_FM|CAR_RT|CPM_PD|CidadesdoFuturo_TG|NON_ST|NON_TS|NONE_SZ|1X1_AD|CM1_IT|SOC_U1|CATANDUVA_U2|AzulEscuro</v>
      </c>
      <c r="G202" t="str">
        <f t="shared" si="52"/>
        <v>452475037</v>
      </c>
      <c r="H202" t="str">
        <f t="shared" si="53"/>
        <v>Tracking</v>
      </c>
      <c r="I202">
        <f t="shared" si="54"/>
        <v>0</v>
      </c>
      <c r="J202">
        <f t="shared" si="55"/>
        <v>2</v>
      </c>
      <c r="K202" s="4">
        <f t="shared" si="44"/>
        <v>3.5000000000000001E-3</v>
      </c>
      <c r="L202">
        <f t="shared" si="45"/>
        <v>0.02</v>
      </c>
      <c r="M202" s="4">
        <f t="shared" si="42"/>
        <v>7.0000000000000001E-3</v>
      </c>
      <c r="N202" s="4">
        <f t="shared" si="43"/>
        <v>0.04</v>
      </c>
    </row>
    <row r="203" spans="1:14">
      <c r="A203" t="str">
        <f t="shared" si="46"/>
        <v>MK|BR_CN|CIDADESDOFUTURO_MN|NONE_YQ|19Q4_CP|5020004441_SP|N/A_AC|CMKT_OB|AWA</v>
      </c>
      <c r="B203" t="str">
        <f t="shared" si="47"/>
        <v>Facebook</v>
      </c>
      <c r="C203" t="str">
        <f t="shared" si="48"/>
        <v>MK|BR_CH|PSD_DT|CROSS_PB|FCBK_FM|CAR_RT|CPM_PD|CidadesdoFuturo_TG|NON_ST|NON_TS|NONE_SZ|1X1_AD|CM1_IT|SOC_U1|CATANDUVA_U2|AzulEscuro</v>
      </c>
      <c r="D203" t="str">
        <f t="shared" si="49"/>
        <v>256228877</v>
      </c>
      <c r="E203" t="str">
        <f t="shared" si="50"/>
        <v>Dynamic Click</v>
      </c>
      <c r="F203" t="str">
        <f t="shared" si="51"/>
        <v>MK|BR_CH|PSD_DT|CROSS_PB|FCBK_FM|CAR_RT|CPM_PD|CidadesdoFuturo_TG|NON_ST|NON_TS|NONE_SZ|1X1_AD|CM1_IT|SOC_U1|CATANDUVA_U2|AzulEscuro</v>
      </c>
      <c r="G203" t="str">
        <f t="shared" si="52"/>
        <v>452475031</v>
      </c>
      <c r="H203" t="str">
        <f t="shared" si="53"/>
        <v>Tracking</v>
      </c>
      <c r="I203">
        <f t="shared" si="54"/>
        <v>0</v>
      </c>
      <c r="J203">
        <f t="shared" si="55"/>
        <v>1</v>
      </c>
      <c r="K203" s="4">
        <f t="shared" si="44"/>
        <v>3.5000000000000001E-3</v>
      </c>
      <c r="L203">
        <f t="shared" si="45"/>
        <v>0.02</v>
      </c>
      <c r="M203" s="4">
        <f t="shared" si="42"/>
        <v>3.5000000000000001E-3</v>
      </c>
      <c r="N203" s="4">
        <f t="shared" si="43"/>
        <v>0.02</v>
      </c>
    </row>
    <row r="204" spans="1:14">
      <c r="A204" t="str">
        <f t="shared" si="46"/>
        <v>MK|BR_CN|CIDADESDOFUTURO_MN|NONE_YQ|19Q4_CP|5020004441_SP|N/A_AC|CMKT_OB|AWA</v>
      </c>
      <c r="B204" t="str">
        <f t="shared" si="47"/>
        <v>Facebook</v>
      </c>
      <c r="C204" t="str">
        <f t="shared" si="48"/>
        <v>MK|BR_CH|PSD_DT|CROSS_PB|FCBK_FM|CAR_RT|CPM_PD|CidadesdoFuturo_TG|NON_ST|NON_TS|NONE_SZ|1X1_AD|CM1_IT|SOC_U1|COLATINA_U2|AzulEscuro</v>
      </c>
      <c r="D204" t="str">
        <f t="shared" si="49"/>
        <v>256228886</v>
      </c>
      <c r="E204" t="str">
        <f t="shared" si="50"/>
        <v>Dynamic Click</v>
      </c>
      <c r="F204" t="str">
        <f t="shared" si="51"/>
        <v>MK|BR_CH|PSD_DT|CROSS_PB|FCBK_FM|CAR_RT|CPM_PD|CidadesdoFuturo_TG|NON_ST|NON_TS|NONE_SZ|1X1_AD|CM1_IT|SOC_U1|COLATINA_U2|AzulEscuro</v>
      </c>
      <c r="G204" t="str">
        <f t="shared" si="52"/>
        <v>452475025</v>
      </c>
      <c r="H204" t="str">
        <f t="shared" si="53"/>
        <v>Tracking</v>
      </c>
      <c r="I204">
        <f t="shared" si="54"/>
        <v>0</v>
      </c>
      <c r="J204">
        <f t="shared" si="55"/>
        <v>1</v>
      </c>
      <c r="K204" s="4">
        <f t="shared" si="44"/>
        <v>3.5000000000000001E-3</v>
      </c>
      <c r="L204">
        <f t="shared" si="45"/>
        <v>0.02</v>
      </c>
      <c r="M204" s="4">
        <f t="shared" si="42"/>
        <v>3.5000000000000001E-3</v>
      </c>
      <c r="N204" s="4">
        <f t="shared" si="43"/>
        <v>0.02</v>
      </c>
    </row>
    <row r="205" spans="1:14">
      <c r="A205" t="str">
        <f t="shared" si="46"/>
        <v>MK|BR_CN|CIDADESDOFUTURO_MN|NONE_YQ|19Q4_CP|5020004441_SP|N/A_AC|CMKT_OB|AWA</v>
      </c>
      <c r="B205" t="str">
        <f t="shared" si="47"/>
        <v>Facebook</v>
      </c>
      <c r="C205" t="str">
        <f t="shared" si="48"/>
        <v>MK|BR_CH|PSD_DT|CROSS_PB|FCBK_FM|CAR_RT|CPM_PD|CidadesdoFuturo_TG|NON_ST|NON_TS|NONE_SZ|1X1_AD|CM1_IT|SOC_U1|CONSELHEIROLAFAIETE_U2|AzulEscuro</v>
      </c>
      <c r="D205" t="str">
        <f t="shared" si="49"/>
        <v>255145883</v>
      </c>
      <c r="E205" t="str">
        <f t="shared" si="50"/>
        <v>Dynamic Click</v>
      </c>
      <c r="F205" t="str">
        <f t="shared" si="51"/>
        <v>MK|BR_CH|PSD_DT|CROSS_PB|FCBK_FM|CAR_RT|CPM_PD|CidadesdoFuturo_TG|NON_ST|NON_TS|NONE_SZ|1X1_AD|CM1_IT|SOC_U1|CONSELHEIROLAFAIETE_U2|AzulEscuro</v>
      </c>
      <c r="G205" t="str">
        <f t="shared" si="52"/>
        <v>451396569</v>
      </c>
      <c r="H205" t="str">
        <f t="shared" si="53"/>
        <v>Tracking</v>
      </c>
      <c r="I205">
        <f t="shared" si="54"/>
        <v>0</v>
      </c>
      <c r="J205">
        <f t="shared" si="55"/>
        <v>39</v>
      </c>
      <c r="K205" s="4">
        <f t="shared" si="44"/>
        <v>3.5000000000000001E-3</v>
      </c>
      <c r="L205">
        <f t="shared" si="45"/>
        <v>0.02</v>
      </c>
      <c r="M205" s="4">
        <f t="shared" si="42"/>
        <v>0.13650000000000001</v>
      </c>
      <c r="N205" s="4">
        <f t="shared" si="43"/>
        <v>0.78</v>
      </c>
    </row>
    <row r="206" spans="1:14">
      <c r="A206" t="str">
        <f t="shared" si="46"/>
        <v>MK|BR_CN|CIDADESDOFUTURO_MN|NONE_YQ|19Q4_CP|5020004441_SP|N/A_AC|CMKT_OB|AWA</v>
      </c>
      <c r="B206" t="str">
        <f t="shared" si="47"/>
        <v>Facebook</v>
      </c>
      <c r="C206" t="str">
        <f t="shared" si="48"/>
        <v>MK|BR_CH|PSD_DT|CROSS_PB|FCBK_FM|CAR_RT|CPM_PD|CidadesdoFuturo_TG|NON_ST|NON_TS|NONE_SZ|1X1_AD|CM1_IT|SOC_U1|CONSELHEIROLAFAIETE_U2|AzulEscuro</v>
      </c>
      <c r="D206" t="str">
        <f t="shared" si="49"/>
        <v>256228889</v>
      </c>
      <c r="E206" t="str">
        <f t="shared" si="50"/>
        <v>Dynamic Click</v>
      </c>
      <c r="F206" t="str">
        <f t="shared" si="51"/>
        <v>MK|BR_CH|PSD_DT|CROSS_PB|FCBK_FM|CAR_RT|CPM_PD|CidadesdoFuturo_TG|NON_ST|NON_TS|NONE_SZ|1X1_AD|CM1_IT|SOC_U1|CONSELHEIROLAFAIETE_U2|AzulEscuro</v>
      </c>
      <c r="G206" t="str">
        <f t="shared" si="52"/>
        <v>452475022</v>
      </c>
      <c r="H206" t="str">
        <f t="shared" si="53"/>
        <v>Tracking</v>
      </c>
      <c r="I206">
        <f t="shared" si="54"/>
        <v>0</v>
      </c>
      <c r="J206">
        <f t="shared" si="55"/>
        <v>1</v>
      </c>
      <c r="K206" s="4">
        <f t="shared" si="44"/>
        <v>3.5000000000000001E-3</v>
      </c>
      <c r="L206">
        <f t="shared" si="45"/>
        <v>0.02</v>
      </c>
      <c r="M206" s="4">
        <f t="shared" si="42"/>
        <v>3.5000000000000001E-3</v>
      </c>
      <c r="N206" s="4">
        <f t="shared" si="43"/>
        <v>0.02</v>
      </c>
    </row>
    <row r="207" spans="1:14">
      <c r="A207" t="str">
        <f t="shared" si="46"/>
        <v>MK|BR_CN|CIDADESDOFUTURO_MN|NONE_YQ|19Q4_CP|5020004441_SP|N/A_AC|CMKT_OB|AWA</v>
      </c>
      <c r="B207" t="str">
        <f t="shared" si="47"/>
        <v>Facebook</v>
      </c>
      <c r="C207" t="str">
        <f t="shared" si="48"/>
        <v>MK|BR_CH|PSD_DT|CROSS_PB|FCBK_FM|CAR_RT|CPM_PD|CidadesdoFuturo_TG|NON_ST|NON_TS|NONE_SZ|1X1_AD|CM1_IT|SOC_U1|CONSELHEIROLAFAIETE_U2|AzulEscuro</v>
      </c>
      <c r="D207" t="str">
        <f t="shared" si="49"/>
        <v>256228892</v>
      </c>
      <c r="E207" t="str">
        <f t="shared" si="50"/>
        <v>Dynamic Click</v>
      </c>
      <c r="F207" t="str">
        <f t="shared" si="51"/>
        <v>MK|BR_CH|PSD_DT|CROSS_PB|FCBK_FM|CAR_RT|CPM_PD|CidadesdoFuturo_TG|NON_ST|NON_TS|NONE_SZ|1X1_AD|CM1_IT|SOC_U1|CONSELHEIROLAFAIETE_U2|AzulEscuro</v>
      </c>
      <c r="G207" t="str">
        <f t="shared" si="52"/>
        <v>452412824</v>
      </c>
      <c r="H207" t="str">
        <f t="shared" si="53"/>
        <v>Tracking</v>
      </c>
      <c r="I207">
        <f t="shared" si="54"/>
        <v>0</v>
      </c>
      <c r="J207">
        <f t="shared" si="55"/>
        <v>1</v>
      </c>
      <c r="K207" s="4">
        <f t="shared" si="44"/>
        <v>3.5000000000000001E-3</v>
      </c>
      <c r="L207">
        <f t="shared" si="45"/>
        <v>0.02</v>
      </c>
      <c r="M207" s="4">
        <f t="shared" si="42"/>
        <v>3.5000000000000001E-3</v>
      </c>
      <c r="N207" s="4">
        <f t="shared" si="43"/>
        <v>0.02</v>
      </c>
    </row>
    <row r="208" spans="1:14">
      <c r="A208" t="str">
        <f t="shared" si="46"/>
        <v>MK|BR_CN|CIDADESDOFUTURO_MN|NONE_YQ|19Q4_CP|5020004441_SP|N/A_AC|CMKT_OB|AWA</v>
      </c>
      <c r="B208" t="str">
        <f t="shared" si="47"/>
        <v>Facebook</v>
      </c>
      <c r="C208" t="str">
        <f t="shared" si="48"/>
        <v>MK|BR_CH|PSD_DT|CROSS_PB|FCBK_FM|CAR_RT|CPM_PD|CidadesdoFuturo_TG|NON_ST|NON_TS|NONE_SZ|1X1_AD|CM1_IT|SOC_U1|CORUMBA_U2|AzulEscuro</v>
      </c>
      <c r="D208" t="str">
        <f t="shared" si="49"/>
        <v>255476611</v>
      </c>
      <c r="E208" t="str">
        <f t="shared" si="50"/>
        <v>Dynamic Click</v>
      </c>
      <c r="F208" t="str">
        <f t="shared" si="51"/>
        <v>MK|BR_CH|PSD_DT|CROSS_PB|FCBK_FM|CAR_RT|CPM_PD|CidadesdoFuturo_TG|NON_ST|NON_TS|NONE_SZ|1X1_AD|CM1_IT|SOC_U1|CORUMBA_U2|AzulEscuro</v>
      </c>
      <c r="G208" t="str">
        <f t="shared" si="52"/>
        <v>451396593</v>
      </c>
      <c r="H208" t="str">
        <f t="shared" si="53"/>
        <v>Tracking</v>
      </c>
      <c r="I208">
        <f t="shared" si="54"/>
        <v>0</v>
      </c>
      <c r="J208">
        <f t="shared" si="55"/>
        <v>38</v>
      </c>
      <c r="K208" s="4">
        <f t="shared" si="44"/>
        <v>3.5000000000000001E-3</v>
      </c>
      <c r="L208">
        <f t="shared" si="45"/>
        <v>0.02</v>
      </c>
      <c r="M208" s="4">
        <f t="shared" si="42"/>
        <v>0.13300000000000001</v>
      </c>
      <c r="N208" s="4">
        <f t="shared" si="43"/>
        <v>0.76</v>
      </c>
    </row>
    <row r="209" spans="1:14">
      <c r="A209" t="str">
        <f t="shared" si="46"/>
        <v>MK|BR_CN|CIDADESDOFUTURO_MN|NONE_YQ|19Q4_CP|5020004441_SP|N/A_AC|CMKT_OB|AWA</v>
      </c>
      <c r="B209" t="str">
        <f t="shared" si="47"/>
        <v>Facebook</v>
      </c>
      <c r="C209" t="str">
        <f t="shared" si="48"/>
        <v>MK|BR_CH|PSD_DT|CROSS_PB|FCBK_FM|CAR_RT|CPM_PD|CidadesdoFuturo_TG|NON_ST|NON_TS|NONE_SZ|1X1_AD|CM1_IT|SOC_U1|CORUMBA_U2|AzulEscuro</v>
      </c>
      <c r="D209" t="str">
        <f t="shared" si="49"/>
        <v>256228895</v>
      </c>
      <c r="E209" t="str">
        <f t="shared" si="50"/>
        <v>Dynamic Click</v>
      </c>
      <c r="F209" t="str">
        <f t="shared" si="51"/>
        <v>MK|BR_CH|PSD_DT|CROSS_PB|FCBK_FM|CAR_RT|CPM_PD|CidadesdoFuturo_TG|NON_ST|NON_TS|NONE_SZ|1X1_AD|CM1_IT|SOC_U1|CORUMBA_U2|AzulEscuro</v>
      </c>
      <c r="G209" t="str">
        <f t="shared" si="52"/>
        <v>452412821</v>
      </c>
      <c r="H209" t="str">
        <f t="shared" si="53"/>
        <v>Tracking</v>
      </c>
      <c r="I209">
        <f t="shared" si="54"/>
        <v>0</v>
      </c>
      <c r="J209">
        <f t="shared" si="55"/>
        <v>1</v>
      </c>
      <c r="K209" s="4">
        <f t="shared" si="44"/>
        <v>3.5000000000000001E-3</v>
      </c>
      <c r="L209">
        <f t="shared" si="45"/>
        <v>0.02</v>
      </c>
      <c r="M209" s="4">
        <f t="shared" si="42"/>
        <v>3.5000000000000001E-3</v>
      </c>
      <c r="N209" s="4">
        <f t="shared" si="43"/>
        <v>0.02</v>
      </c>
    </row>
    <row r="210" spans="1:14">
      <c r="A210" t="str">
        <f t="shared" si="46"/>
        <v>MK|BR_CN|CIDADESDOFUTURO_MN|NONE_YQ|19Q4_CP|5020004441_SP|N/A_AC|CMKT_OB|AWA</v>
      </c>
      <c r="B210" t="str">
        <f t="shared" si="47"/>
        <v>Facebook</v>
      </c>
      <c r="C210" t="str">
        <f t="shared" si="48"/>
        <v>MK|BR_CH|PSD_DT|CROSS_PB|FCBK_FM|CAR_RT|CPM_PD|CidadesdoFuturo_TG|NON_ST|NON_TS|NONE_SZ|1X1_AD|CM1_IT|SOC_U1|CORUMBA_U2|AzulEscuro</v>
      </c>
      <c r="D210" t="str">
        <f t="shared" si="49"/>
        <v>256228901</v>
      </c>
      <c r="E210" t="str">
        <f t="shared" si="50"/>
        <v>Dynamic Click</v>
      </c>
      <c r="F210" t="str">
        <f t="shared" si="51"/>
        <v>MK|BR_CH|PSD_DT|CROSS_PB|FCBK_FM|CAR_RT|CPM_PD|CidadesdoFuturo_TG|NON_ST|NON_TS|NONE_SZ|1X1_AD|CM1_IT|SOC_U1|CORUMBA_U2|AzulEscuro</v>
      </c>
      <c r="G210" t="str">
        <f t="shared" si="52"/>
        <v>452412818</v>
      </c>
      <c r="H210" t="str">
        <f t="shared" si="53"/>
        <v>Tracking</v>
      </c>
      <c r="I210">
        <f t="shared" si="54"/>
        <v>0</v>
      </c>
      <c r="J210">
        <f t="shared" si="55"/>
        <v>1</v>
      </c>
      <c r="K210" s="4">
        <f t="shared" si="44"/>
        <v>3.5000000000000001E-3</v>
      </c>
      <c r="L210">
        <f t="shared" si="45"/>
        <v>0.02</v>
      </c>
      <c r="M210" s="4">
        <f t="shared" si="42"/>
        <v>3.5000000000000001E-3</v>
      </c>
      <c r="N210" s="4">
        <f t="shared" si="43"/>
        <v>0.02</v>
      </c>
    </row>
    <row r="211" spans="1:14">
      <c r="A211" t="str">
        <f t="shared" si="46"/>
        <v>MK|BR_CN|CIDADESDOFUTURO_MN|NONE_YQ|19Q4_CP|5020004441_SP|N/A_AC|CMKT_OB|AWA</v>
      </c>
      <c r="B211" t="str">
        <f t="shared" si="47"/>
        <v>Facebook</v>
      </c>
      <c r="C211" t="str">
        <f t="shared" si="48"/>
        <v>MK|BR_CH|PSD_DT|CROSS_PB|FCBK_FM|CAR_RT|CPM_PD|CidadesdoFuturo_TG|NON_ST|NON_TS|NONE_SZ|1X1_AD|CM1_IT|SOC_U1|Catanduva_U2|AzulEscuro</v>
      </c>
      <c r="D211" t="str">
        <f t="shared" si="49"/>
        <v>255145907</v>
      </c>
      <c r="E211" t="str">
        <f t="shared" si="50"/>
        <v>Dynamic Click</v>
      </c>
      <c r="F211" t="str">
        <f t="shared" si="51"/>
        <v>MK|BR_CH|PSD_DT|CROSS_PB|FCBK_FM|CAR_RT|CPM_PD|CidadesdoFuturo_TG|NON_ST|NON_TS|NONE_SZ|1X1_AD|CM1_IT|SOC_U1|Catanduva_U2|AzulEscuro</v>
      </c>
      <c r="G211" t="str">
        <f t="shared" si="52"/>
        <v>451396518</v>
      </c>
      <c r="H211" t="str">
        <f t="shared" si="53"/>
        <v>Tracking</v>
      </c>
      <c r="I211">
        <f t="shared" si="54"/>
        <v>0</v>
      </c>
      <c r="J211">
        <f t="shared" si="55"/>
        <v>37</v>
      </c>
      <c r="K211" s="4">
        <f t="shared" si="44"/>
        <v>3.5000000000000001E-3</v>
      </c>
      <c r="L211">
        <f t="shared" si="45"/>
        <v>0.02</v>
      </c>
      <c r="M211" s="4">
        <f t="shared" si="42"/>
        <v>0.1295</v>
      </c>
      <c r="N211" s="4">
        <f t="shared" si="43"/>
        <v>0.74</v>
      </c>
    </row>
    <row r="212" spans="1:14">
      <c r="A212" t="str">
        <f t="shared" si="46"/>
        <v>MK|BR_CN|CIDADESDOFUTURO_MN|NONE_YQ|19Q4_CP|5020004441_SP|N/A_AC|CMKT_OB|AWA</v>
      </c>
      <c r="B212" t="str">
        <f t="shared" si="47"/>
        <v>Facebook</v>
      </c>
      <c r="C212" t="str">
        <f t="shared" si="48"/>
        <v>MK|BR_CH|PSD_DT|CROSS_PB|FCBK_FM|CAR_RT|CPM_PD|CidadesdoFuturo_TG|NON_ST|NON_TS|NONE_SZ|1X1_AD|CM1_IT|SOC_U1|Colatina_U2|AzulEscuro</v>
      </c>
      <c r="D212" t="str">
        <f t="shared" si="49"/>
        <v>255145895</v>
      </c>
      <c r="E212" t="str">
        <f t="shared" si="50"/>
        <v>Dynamic Click</v>
      </c>
      <c r="F212" t="str">
        <f t="shared" si="51"/>
        <v>MK|BR_CH|PSD_DT|CROSS_PB|FCBK_FM|CAR_RT|CPM_PD|CidadesdoFuturo_TG|NON_ST|NON_TS|NONE_SZ|1X1_AD|CM1_IT|SOC_U1|Colatina_U2|AzulEscuro</v>
      </c>
      <c r="G212" t="str">
        <f t="shared" si="52"/>
        <v>451396542</v>
      </c>
      <c r="H212" t="str">
        <f t="shared" si="53"/>
        <v>Tracking</v>
      </c>
      <c r="I212">
        <f t="shared" si="54"/>
        <v>0</v>
      </c>
      <c r="J212">
        <f t="shared" si="55"/>
        <v>12</v>
      </c>
      <c r="K212" s="4">
        <f t="shared" si="44"/>
        <v>3.5000000000000001E-3</v>
      </c>
      <c r="L212">
        <f t="shared" si="45"/>
        <v>0.02</v>
      </c>
      <c r="M212" s="4">
        <f t="shared" si="42"/>
        <v>4.2000000000000003E-2</v>
      </c>
      <c r="N212" s="4">
        <f t="shared" si="43"/>
        <v>0.24</v>
      </c>
    </row>
    <row r="213" spans="1:14">
      <c r="A213" t="str">
        <f t="shared" si="46"/>
        <v>MK|BR_CN|CIDADESDOFUTURO_MN|NONE_YQ|19Q4_CP|5020004441_SP|N/A_AC|CMKT_OB|AWA</v>
      </c>
      <c r="B213" t="str">
        <f t="shared" si="47"/>
        <v>Facebook</v>
      </c>
      <c r="C213" t="str">
        <f t="shared" si="48"/>
        <v>MK|BR_CH|PSD_DT|CROSS_PB|FCBK_FM|CAR_RT|CPM_PD|CidadesdoFuturo_TG|NON_ST|NON_TS|NONE_SZ|1X1_AD|CM1_IT|SOC_U1|DIVINOPOLIS_U2|AzulEscuro</v>
      </c>
      <c r="D213" t="str">
        <f t="shared" si="49"/>
        <v>255476599</v>
      </c>
      <c r="E213" t="str">
        <f t="shared" si="50"/>
        <v>Dynamic Click</v>
      </c>
      <c r="F213" t="str">
        <f t="shared" si="51"/>
        <v>MK|BR_CH|PSD_DT|CROSS_PB|FCBK_FM|CAR_RT|CPM_PD|CidadesdoFuturo_TG|NON_ST|NON_TS|NONE_SZ|1X1_AD|CM1_IT|SOC_U1|DIVINOPOLIS_U2|AzulEscuro</v>
      </c>
      <c r="G213" t="str">
        <f t="shared" si="52"/>
        <v>451396620</v>
      </c>
      <c r="H213" t="str">
        <f t="shared" si="53"/>
        <v>Tracking</v>
      </c>
      <c r="I213">
        <f t="shared" si="54"/>
        <v>0</v>
      </c>
      <c r="J213">
        <f t="shared" si="55"/>
        <v>85</v>
      </c>
      <c r="K213" s="4">
        <f t="shared" si="44"/>
        <v>3.5000000000000001E-3</v>
      </c>
      <c r="L213">
        <f t="shared" si="45"/>
        <v>0.02</v>
      </c>
      <c r="M213" s="4">
        <f t="shared" si="42"/>
        <v>0.29749999999999999</v>
      </c>
      <c r="N213" s="4">
        <f t="shared" si="43"/>
        <v>1.7</v>
      </c>
    </row>
    <row r="214" spans="1:14">
      <c r="A214" t="str">
        <f t="shared" si="46"/>
        <v>MK|BR_CN|CIDADESDOFUTURO_MN|NONE_YQ|19Q4_CP|5020004441_SP|N/A_AC|CMKT_OB|AWA</v>
      </c>
      <c r="B214" t="str">
        <f t="shared" si="47"/>
        <v>Facebook</v>
      </c>
      <c r="C214" t="str">
        <f t="shared" si="48"/>
        <v>MK|BR_CH|PSD_DT|CROSS_PB|FCBK_FM|CAR_RT|CPM_PD|CidadesdoFuturo_TG|NON_ST|NON_TS|NONE_SZ|1X1_AD|CM1_IT|SOC_U1|DIVINOPOLIS_U2|AzulEscuro</v>
      </c>
      <c r="D214" t="str">
        <f t="shared" si="49"/>
        <v>256228910</v>
      </c>
      <c r="E214" t="str">
        <f t="shared" si="50"/>
        <v>Dynamic Click</v>
      </c>
      <c r="F214" t="str">
        <f t="shared" si="51"/>
        <v>MK|BR_CH|PSD_DT|CROSS_PB|FCBK_FM|CAR_RT|CPM_PD|CidadesdoFuturo_TG|NON_ST|NON_TS|NONE_SZ|1X1_AD|CM1_IT|SOC_U1|DIVINOPOLIS_U2|AzulEscuro</v>
      </c>
      <c r="G214" t="str">
        <f t="shared" si="52"/>
        <v>452412809</v>
      </c>
      <c r="H214" t="str">
        <f t="shared" si="53"/>
        <v>Tracking</v>
      </c>
      <c r="I214">
        <f t="shared" si="54"/>
        <v>0</v>
      </c>
      <c r="J214">
        <f t="shared" si="55"/>
        <v>2</v>
      </c>
      <c r="K214" s="4">
        <f t="shared" si="44"/>
        <v>3.5000000000000001E-3</v>
      </c>
      <c r="L214">
        <f t="shared" si="45"/>
        <v>0.02</v>
      </c>
      <c r="M214" s="4">
        <f t="shared" si="42"/>
        <v>7.0000000000000001E-3</v>
      </c>
      <c r="N214" s="4">
        <f t="shared" si="43"/>
        <v>0.04</v>
      </c>
    </row>
    <row r="215" spans="1:14">
      <c r="A215" t="str">
        <f t="shared" si="46"/>
        <v>MK|BR_CN|CIDADESDOFUTURO_MN|NONE_YQ|19Q4_CP|5020004441_SP|N/A_AC|CMKT_OB|AWA</v>
      </c>
      <c r="B215" t="str">
        <f t="shared" si="47"/>
        <v>Facebook</v>
      </c>
      <c r="C215" t="str">
        <f t="shared" si="48"/>
        <v>MK|BR_CH|PSD_DT|CROSS_PB|FCBK_FM|CAR_RT|CPM_PD|CidadesdoFuturo_TG|NON_ST|NON_TS|NONE_SZ|1X1_AD|CM1_IT|SOC_U1|DIVINOPOLIS_U2|AzulEscuro</v>
      </c>
      <c r="D215" t="str">
        <f t="shared" si="49"/>
        <v>256228913</v>
      </c>
      <c r="E215" t="str">
        <f t="shared" si="50"/>
        <v>Dynamic Click</v>
      </c>
      <c r="F215" t="str">
        <f t="shared" si="51"/>
        <v>MK|BR_CH|PSD_DT|CROSS_PB|FCBK_FM|CAR_RT|CPM_PD|CidadesdoFuturo_TG|NON_ST|NON_TS|NONE_SZ|1X1_AD|CM1_IT|SOC_U1|DIVINOPOLIS_U2|AzulEscuro</v>
      </c>
      <c r="G215" t="str">
        <f t="shared" si="52"/>
        <v>452412806</v>
      </c>
      <c r="H215" t="str">
        <f t="shared" si="53"/>
        <v>Tracking</v>
      </c>
      <c r="I215">
        <f t="shared" si="54"/>
        <v>0</v>
      </c>
      <c r="J215">
        <f t="shared" si="55"/>
        <v>2</v>
      </c>
      <c r="K215" s="4">
        <f t="shared" si="44"/>
        <v>3.5000000000000001E-3</v>
      </c>
      <c r="L215">
        <f t="shared" si="45"/>
        <v>0.02</v>
      </c>
      <c r="M215" s="4">
        <f t="shared" si="42"/>
        <v>7.0000000000000001E-3</v>
      </c>
      <c r="N215" s="4">
        <f t="shared" si="43"/>
        <v>0.04</v>
      </c>
    </row>
    <row r="216" spans="1:14">
      <c r="A216" t="str">
        <f t="shared" si="46"/>
        <v>MK|BR_CN|CIDADESDOFUTURO_MN|NONE_YQ|19Q4_CP|5020004441_SP|N/A_AC|CMKT_OB|AWA</v>
      </c>
      <c r="B216" t="str">
        <f t="shared" si="47"/>
        <v>Facebook</v>
      </c>
      <c r="C216" t="str">
        <f t="shared" si="48"/>
        <v>MK|BR_CH|PSD_DT|CROSS_PB|FCBK_FM|CAR_RT|CPM_PD|CidadesdoFuturo_TG|NON_ST|NON_TS|NONE_SZ|1X1_AD|CM1_IT|SOC_U1|FEIRADESANTANA_U2|AzulEscuro</v>
      </c>
      <c r="D216" t="str">
        <f t="shared" si="49"/>
        <v>255471067</v>
      </c>
      <c r="E216" t="str">
        <f t="shared" si="50"/>
        <v>Dynamic Click</v>
      </c>
      <c r="F216" t="str">
        <f t="shared" si="51"/>
        <v>MK|BR_CH|PSD_DT|CROSS_PB|FCBK_FM|CAR_RT|CPM_PD|CidadesdoFuturo_TG|NON_ST|NON_TS|NONE_SZ|1X1_AD|CM1_IT|SOC_U1|FEIRADESANTANA_U2|AzulEscuro</v>
      </c>
      <c r="G216" t="str">
        <f t="shared" si="52"/>
        <v>451397538</v>
      </c>
      <c r="H216" t="str">
        <f t="shared" si="53"/>
        <v>Tracking</v>
      </c>
      <c r="I216">
        <f t="shared" si="54"/>
        <v>0</v>
      </c>
      <c r="J216">
        <f t="shared" si="55"/>
        <v>40</v>
      </c>
      <c r="K216" s="4">
        <f t="shared" si="44"/>
        <v>3.5000000000000001E-3</v>
      </c>
      <c r="L216">
        <f t="shared" si="45"/>
        <v>0.02</v>
      </c>
      <c r="M216" s="4">
        <f t="shared" si="42"/>
        <v>0.14000000000000001</v>
      </c>
      <c r="N216" s="4">
        <f t="shared" si="43"/>
        <v>0.8</v>
      </c>
    </row>
    <row r="217" spans="1:14">
      <c r="A217" t="str">
        <f t="shared" si="46"/>
        <v>MK|BR_CN|CIDADESDOFUTURO_MN|NONE_YQ|19Q4_CP|5020004441_SP|N/A_AC|CMKT_OB|AWA</v>
      </c>
      <c r="B217" t="str">
        <f t="shared" si="47"/>
        <v>Facebook</v>
      </c>
      <c r="C217" t="str">
        <f t="shared" si="48"/>
        <v>MK|BR_CH|PSD_DT|CROSS_PB|FCBK_FM|CAR_RT|CPM_PD|CidadesdoFuturo_TG|NON_ST|NON_TS|NONE_SZ|1X1_AD|CM1_IT|SOC_U1|FEIRADESANTANA_U2|AzulEscuro</v>
      </c>
      <c r="D217" t="str">
        <f t="shared" si="49"/>
        <v>256228919</v>
      </c>
      <c r="E217" t="str">
        <f t="shared" si="50"/>
        <v>Dynamic Click</v>
      </c>
      <c r="F217" t="str">
        <f t="shared" si="51"/>
        <v>MK|BR_CH|PSD_DT|CROSS_PB|FCBK_FM|CAR_RT|CPM_PD|CidadesdoFuturo_TG|NON_ST|NON_TS|NONE_SZ|1X1_AD|CM1_IT|SOC_U1|FEIRADESANTANA_U2|AzulEscuro</v>
      </c>
      <c r="G217" t="str">
        <f t="shared" si="52"/>
        <v>452412803</v>
      </c>
      <c r="H217" t="str">
        <f t="shared" si="53"/>
        <v>Tracking</v>
      </c>
      <c r="I217">
        <f t="shared" si="54"/>
        <v>0</v>
      </c>
      <c r="J217">
        <f t="shared" si="55"/>
        <v>1</v>
      </c>
      <c r="K217" s="4">
        <f t="shared" si="44"/>
        <v>3.5000000000000001E-3</v>
      </c>
      <c r="L217">
        <f t="shared" si="45"/>
        <v>0.02</v>
      </c>
      <c r="M217" s="4">
        <f t="shared" si="42"/>
        <v>3.5000000000000001E-3</v>
      </c>
      <c r="N217" s="4">
        <f t="shared" si="43"/>
        <v>0.02</v>
      </c>
    </row>
    <row r="218" spans="1:14">
      <c r="A218" t="str">
        <f t="shared" si="46"/>
        <v>MK|BR_CN|CIDADESDOFUTURO_MN|NONE_YQ|19Q4_CP|5020004441_SP|N/A_AC|CMKT_OB|AWA</v>
      </c>
      <c r="B218" t="str">
        <f t="shared" si="47"/>
        <v>Facebook</v>
      </c>
      <c r="C218" t="str">
        <f t="shared" si="48"/>
        <v>MK|BR_CH|PSD_DT|CROSS_PB|FCBK_FM|CAR_RT|CPM_PD|CidadesdoFuturo_TG|NON_ST|NON_TS|NONE_SZ|1X1_AD|CM1_IT|SOC_U1|FEIRADESANTANA_U2|AzulEscuro</v>
      </c>
      <c r="D218" t="str">
        <f t="shared" si="49"/>
        <v>256228922</v>
      </c>
      <c r="E218" t="str">
        <f t="shared" si="50"/>
        <v>Dynamic Click</v>
      </c>
      <c r="F218" t="str">
        <f t="shared" si="51"/>
        <v>MK|BR_CH|PSD_DT|CROSS_PB|FCBK_FM|CAR_RT|CPM_PD|CidadesdoFuturo_TG|NON_ST|NON_TS|NONE_SZ|1X1_AD|CM1_IT|SOC_U1|FEIRADESANTANA_U2|AzulEscuro</v>
      </c>
      <c r="G218" t="str">
        <f t="shared" si="52"/>
        <v>452412800</v>
      </c>
      <c r="H218" t="str">
        <f t="shared" si="53"/>
        <v>Tracking</v>
      </c>
      <c r="I218">
        <f t="shared" si="54"/>
        <v>0</v>
      </c>
      <c r="J218">
        <f t="shared" si="55"/>
        <v>1</v>
      </c>
      <c r="K218" s="4">
        <f t="shared" si="44"/>
        <v>3.5000000000000001E-3</v>
      </c>
      <c r="L218">
        <f t="shared" si="45"/>
        <v>0.02</v>
      </c>
      <c r="M218" s="4">
        <f t="shared" si="42"/>
        <v>3.5000000000000001E-3</v>
      </c>
      <c r="N218" s="4">
        <f t="shared" si="43"/>
        <v>0.02</v>
      </c>
    </row>
    <row r="219" spans="1:14">
      <c r="A219" t="str">
        <f t="shared" si="46"/>
        <v>MK|BR_CN|CIDADESDOFUTURO_MN|NONE_YQ|19Q4_CP|5020004441_SP|N/A_AC|CMKT_OB|AWA</v>
      </c>
      <c r="B219" t="str">
        <f t="shared" si="47"/>
        <v>Facebook</v>
      </c>
      <c r="C219" t="str">
        <f t="shared" si="48"/>
        <v>MK|BR_CH|PSD_DT|CROSS_PB|FCBK_FM|CAR_RT|CPM_PD|CidadesdoFuturo_TG|NON_ST|NON_TS|NONE_SZ|1X1_AD|CM1_IT|SOC_U1|GOVERNADORVALADARES_U2|AzulEscuro</v>
      </c>
      <c r="D219" t="str">
        <f t="shared" si="49"/>
        <v>255476587</v>
      </c>
      <c r="E219" t="str">
        <f t="shared" si="50"/>
        <v>Dynamic Click</v>
      </c>
      <c r="F219" t="str">
        <f t="shared" si="51"/>
        <v>MK|BR_CH|PSD_DT|CROSS_PB|FCBK_FM|CAR_RT|CPM_PD|CidadesdoFuturo_TG|NON_ST|NON_TS|NONE_SZ|1X1_AD|CM1_IT|SOC_U1|GOVERNADORVALADARES_U2|AzulEscuro</v>
      </c>
      <c r="G219" t="str">
        <f t="shared" si="52"/>
        <v>451396644</v>
      </c>
      <c r="H219" t="str">
        <f t="shared" si="53"/>
        <v>Tracking</v>
      </c>
      <c r="I219">
        <f t="shared" si="54"/>
        <v>0</v>
      </c>
      <c r="J219">
        <f t="shared" si="55"/>
        <v>47</v>
      </c>
      <c r="K219" s="4">
        <f t="shared" si="44"/>
        <v>3.5000000000000001E-3</v>
      </c>
      <c r="L219">
        <f t="shared" si="45"/>
        <v>0.02</v>
      </c>
      <c r="M219" s="4">
        <f t="shared" si="42"/>
        <v>0.16450000000000001</v>
      </c>
      <c r="N219" s="4">
        <f t="shared" si="43"/>
        <v>0.94000000000000006</v>
      </c>
    </row>
    <row r="220" spans="1:14">
      <c r="A220" t="str">
        <f t="shared" si="46"/>
        <v>MK|BR_CN|CIDADESDOFUTURO_MN|NONE_YQ|19Q4_CP|5020004441_SP|N/A_AC|CMKT_OB|AWA</v>
      </c>
      <c r="B220" t="str">
        <f t="shared" si="47"/>
        <v>Facebook</v>
      </c>
      <c r="C220" t="str">
        <f t="shared" si="48"/>
        <v>MK|BR_CH|PSD_DT|CROSS_PB|FCBK_FM|CAR_RT|CPM_PD|CidadesdoFuturo_TG|NON_ST|NON_TS|NONE_SZ|1X1_AD|CM1_IT|SOC_U1|GOVERNADORVALADARES_U2|AzulEscuro</v>
      </c>
      <c r="D220" t="str">
        <f t="shared" si="49"/>
        <v>256228937</v>
      </c>
      <c r="E220" t="str">
        <f t="shared" si="50"/>
        <v>Dynamic Click</v>
      </c>
      <c r="F220" t="str">
        <f t="shared" si="51"/>
        <v>MK|BR_CH|PSD_DT|CROSS_PB|FCBK_FM|CAR_RT|CPM_PD|CidadesdoFuturo_TG|NON_ST|NON_TS|NONE_SZ|1X1_AD|CM1_IT|SOC_U1|GOVERNADORVALADARES_U2|AzulEscuro</v>
      </c>
      <c r="G220" t="str">
        <f t="shared" si="52"/>
        <v>452412788</v>
      </c>
      <c r="H220" t="str">
        <f t="shared" si="53"/>
        <v>Tracking</v>
      </c>
      <c r="I220">
        <f t="shared" si="54"/>
        <v>0</v>
      </c>
      <c r="J220">
        <f t="shared" si="55"/>
        <v>1</v>
      </c>
      <c r="K220" s="4">
        <f t="shared" si="44"/>
        <v>3.5000000000000001E-3</v>
      </c>
      <c r="L220">
        <f t="shared" si="45"/>
        <v>0.02</v>
      </c>
      <c r="M220" s="4">
        <f t="shared" si="42"/>
        <v>3.5000000000000001E-3</v>
      </c>
      <c r="N220" s="4">
        <f t="shared" si="43"/>
        <v>0.02</v>
      </c>
    </row>
    <row r="221" spans="1:14">
      <c r="A221" t="str">
        <f t="shared" si="46"/>
        <v>MK|BR_CN|CIDADESDOFUTURO_MN|NONE_YQ|19Q4_CP|5020004441_SP|N/A_AC|CMKT_OB|AWA</v>
      </c>
      <c r="B221" t="str">
        <f t="shared" si="47"/>
        <v>Facebook</v>
      </c>
      <c r="C221" t="str">
        <f t="shared" si="48"/>
        <v>MK|BR_CH|PSD_DT|CROSS_PB|FCBK_FM|CAR_RT|CPM_PD|CidadesdoFuturo_TG|NON_ST|NON_TS|NONE_SZ|1X1_AD|CM1_IT|SOC_U1|GUARAPUAVA_U2|AzulEscuro</v>
      </c>
      <c r="D221" t="str">
        <f t="shared" si="49"/>
        <v>255476575</v>
      </c>
      <c r="E221" t="str">
        <f t="shared" si="50"/>
        <v>Dynamic Click</v>
      </c>
      <c r="F221" t="str">
        <f t="shared" si="51"/>
        <v>MK|BR_CH|PSD_DT|CROSS_PB|FCBK_FM|CAR_RT|CPM_PD|CidadesdoFuturo_TG|NON_ST|NON_TS|NONE_SZ|1X1_AD|CM1_IT|SOC_U1|GUARAPUAVA_U2|AzulEscuro</v>
      </c>
      <c r="G221" t="str">
        <f t="shared" si="52"/>
        <v>451396671</v>
      </c>
      <c r="H221" t="str">
        <f t="shared" si="53"/>
        <v>Tracking</v>
      </c>
      <c r="I221">
        <f t="shared" si="54"/>
        <v>0</v>
      </c>
      <c r="J221">
        <f t="shared" si="55"/>
        <v>61</v>
      </c>
      <c r="K221" s="4">
        <f t="shared" si="44"/>
        <v>3.5000000000000001E-3</v>
      </c>
      <c r="L221">
        <f t="shared" si="45"/>
        <v>0.02</v>
      </c>
      <c r="M221" s="4">
        <f t="shared" si="42"/>
        <v>0.2135</v>
      </c>
      <c r="N221" s="4">
        <f t="shared" si="43"/>
        <v>1.22</v>
      </c>
    </row>
    <row r="222" spans="1:14">
      <c r="A222" t="str">
        <f t="shared" si="46"/>
        <v>MK|BR_CN|CIDADESDOFUTURO_MN|NONE_YQ|19Q4_CP|5020004441_SP|N/A_AC|CMKT_OB|AWA</v>
      </c>
      <c r="B222" t="str">
        <f t="shared" si="47"/>
        <v>Facebook</v>
      </c>
      <c r="C222" t="str">
        <f t="shared" si="48"/>
        <v>MK|BR_CH|PSD_DT|CROSS_PB|FCBK_FM|CAR_RT|CPM_PD|CidadesdoFuturo_TG|NON_ST|NON_TS|NONE_SZ|1X1_AD|CM1_IT|SOC_U1|GUARAPUAVA_U2|AzulEscuro</v>
      </c>
      <c r="D222" t="str">
        <f t="shared" si="49"/>
        <v>256228946</v>
      </c>
      <c r="E222" t="str">
        <f t="shared" si="50"/>
        <v>Dynamic Click</v>
      </c>
      <c r="F222" t="str">
        <f t="shared" si="51"/>
        <v>MK|BR_CH|PSD_DT|CROSS_PB|FCBK_FM|CAR_RT|CPM_PD|CidadesdoFuturo_TG|NON_ST|NON_TS|NONE_SZ|1X1_AD|CM1_IT|SOC_U1|GUARAPUAVA_U2|AzulEscuro</v>
      </c>
      <c r="G222" t="str">
        <f t="shared" si="52"/>
        <v>452412779</v>
      </c>
      <c r="H222" t="str">
        <f t="shared" si="53"/>
        <v>Tracking</v>
      </c>
      <c r="I222">
        <f t="shared" si="54"/>
        <v>0</v>
      </c>
      <c r="J222">
        <f t="shared" si="55"/>
        <v>1</v>
      </c>
      <c r="K222" s="4">
        <f t="shared" si="44"/>
        <v>3.5000000000000001E-3</v>
      </c>
      <c r="L222">
        <f t="shared" si="45"/>
        <v>0.02</v>
      </c>
      <c r="M222" s="4">
        <f t="shared" si="42"/>
        <v>3.5000000000000001E-3</v>
      </c>
      <c r="N222" s="4">
        <f t="shared" si="43"/>
        <v>0.02</v>
      </c>
    </row>
    <row r="223" spans="1:14">
      <c r="A223" t="str">
        <f t="shared" si="46"/>
        <v>MK|BR_CN|CIDADESDOFUTURO_MN|NONE_YQ|19Q4_CP|5020004441_SP|N/A_AC|CMKT_OB|AWA</v>
      </c>
      <c r="B223" t="str">
        <f t="shared" si="47"/>
        <v>Facebook</v>
      </c>
      <c r="C223" t="str">
        <f t="shared" si="48"/>
        <v>MK|BR_CH|PSD_DT|CROSS_PB|FCBK_FM|CAR_RT|CPM_PD|CidadesdoFuturo_TG|NON_ST|NON_TS|NONE_SZ|1X1_AD|CM1_IT|SOC_U1|IMPERATRIZ_U2|AzulEscuro</v>
      </c>
      <c r="D223" t="str">
        <f t="shared" si="49"/>
        <v>255476563</v>
      </c>
      <c r="E223" t="str">
        <f t="shared" si="50"/>
        <v>Dynamic Click</v>
      </c>
      <c r="F223" t="str">
        <f t="shared" si="51"/>
        <v>MK|BR_CH|PSD_DT|CROSS_PB|FCBK_FM|CAR_RT|CPM_PD|CidadesdoFuturo_TG|NON_ST|NON_TS|NONE_SZ|1X1_AD|CM1_IT|SOC_U1|IMPERATRIZ_U2|AzulEscuro</v>
      </c>
      <c r="G223" t="str">
        <f t="shared" si="52"/>
        <v>451396695</v>
      </c>
      <c r="H223" t="str">
        <f t="shared" si="53"/>
        <v>Tracking</v>
      </c>
      <c r="I223">
        <f t="shared" si="54"/>
        <v>0</v>
      </c>
      <c r="J223">
        <f t="shared" si="55"/>
        <v>84</v>
      </c>
      <c r="K223" s="4">
        <f t="shared" si="44"/>
        <v>3.5000000000000001E-3</v>
      </c>
      <c r="L223">
        <f t="shared" si="45"/>
        <v>0.02</v>
      </c>
      <c r="M223" s="4">
        <f t="shared" si="42"/>
        <v>0.29399999999999998</v>
      </c>
      <c r="N223" s="4">
        <f t="shared" si="43"/>
        <v>1.68</v>
      </c>
    </row>
    <row r="224" spans="1:14">
      <c r="A224" t="str">
        <f t="shared" si="46"/>
        <v>MK|BR_CN|CIDADESDOFUTURO_MN|NONE_YQ|19Q4_CP|5020004441_SP|N/A_AC|CMKT_OB|AWA</v>
      </c>
      <c r="B224" t="str">
        <f t="shared" si="47"/>
        <v>Facebook</v>
      </c>
      <c r="C224" t="str">
        <f t="shared" si="48"/>
        <v>MK|BR_CH|PSD_DT|CROSS_PB|FCBK_FM|CAR_RT|CPM_PD|CidadesdoFuturo_TG|NON_ST|NON_TS|NONE_SZ|1X1_AD|CM1_IT|SOC_U1|IMPERATRIZ_U2|AzulEscuro</v>
      </c>
      <c r="D224" t="str">
        <f t="shared" si="49"/>
        <v>256228955</v>
      </c>
      <c r="E224" t="str">
        <f t="shared" si="50"/>
        <v>Dynamic Click</v>
      </c>
      <c r="F224" t="str">
        <f t="shared" si="51"/>
        <v>MK|BR_CH|PSD_DT|CROSS_PB|FCBK_FM|CAR_RT|CPM_PD|CidadesdoFuturo_TG|NON_ST|NON_TS|NONE_SZ|1X1_AD|CM1_IT|SOC_U1|IMPERATRIZ_U2|AzulEscuro</v>
      </c>
      <c r="G224" t="str">
        <f t="shared" si="52"/>
        <v>452412773</v>
      </c>
      <c r="H224" t="str">
        <f t="shared" si="53"/>
        <v>Tracking</v>
      </c>
      <c r="I224">
        <f t="shared" si="54"/>
        <v>0</v>
      </c>
      <c r="J224">
        <f t="shared" si="55"/>
        <v>1</v>
      </c>
      <c r="K224" s="4">
        <f t="shared" si="44"/>
        <v>3.5000000000000001E-3</v>
      </c>
      <c r="L224">
        <f t="shared" si="45"/>
        <v>0.02</v>
      </c>
      <c r="M224" s="4">
        <f t="shared" si="42"/>
        <v>3.5000000000000001E-3</v>
      </c>
      <c r="N224" s="4">
        <f t="shared" si="43"/>
        <v>0.02</v>
      </c>
    </row>
    <row r="225" spans="1:14">
      <c r="A225" t="str">
        <f t="shared" si="46"/>
        <v>MK|BR_CN|CIDADESDOFUTURO_MN|NONE_YQ|19Q4_CP|5020004441_SP|N/A_AC|CMKT_OB|AWA</v>
      </c>
      <c r="B225" t="str">
        <f t="shared" si="47"/>
        <v>Facebook</v>
      </c>
      <c r="C225" t="str">
        <f t="shared" si="48"/>
        <v>MK|BR_CH|PSD_DT|CROSS_PB|FCBK_FM|CAR_RT|CPM_PD|CidadesdoFuturo_TG|NON_ST|NON_TS|NONE_SZ|1X1_AD|CM1_IT|SOC_U1|IMPERATRIZ_U2|AzulEscuro</v>
      </c>
      <c r="D225" t="str">
        <f t="shared" si="49"/>
        <v>256228958</v>
      </c>
      <c r="E225" t="str">
        <f t="shared" si="50"/>
        <v>Dynamic Click</v>
      </c>
      <c r="F225" t="str">
        <f t="shared" si="51"/>
        <v>MK|BR_CH|PSD_DT|CROSS_PB|FCBK_FM|CAR_RT|CPM_PD|CidadesdoFuturo_TG|NON_ST|NON_TS|NONE_SZ|1X1_AD|CM1_IT|SOC_U1|IMPERATRIZ_U2|AzulEscuro</v>
      </c>
      <c r="G225" t="str">
        <f t="shared" si="52"/>
        <v>452412770</v>
      </c>
      <c r="H225" t="str">
        <f t="shared" si="53"/>
        <v>Tracking</v>
      </c>
      <c r="I225">
        <f t="shared" si="54"/>
        <v>0</v>
      </c>
      <c r="J225">
        <f t="shared" si="55"/>
        <v>1</v>
      </c>
      <c r="K225" s="4">
        <f t="shared" si="44"/>
        <v>3.5000000000000001E-3</v>
      </c>
      <c r="L225">
        <f t="shared" si="45"/>
        <v>0.02</v>
      </c>
      <c r="M225" s="4">
        <f t="shared" si="42"/>
        <v>3.5000000000000001E-3</v>
      </c>
      <c r="N225" s="4">
        <f t="shared" si="43"/>
        <v>0.02</v>
      </c>
    </row>
    <row r="226" spans="1:14">
      <c r="A226" t="str">
        <f t="shared" si="46"/>
        <v>MK|BR_CN|CIDADESDOFUTURO_MN|NONE_YQ|19Q4_CP|5020004441_SP|N/A_AC|CMKT_OB|AWA</v>
      </c>
      <c r="B226" t="str">
        <f t="shared" si="47"/>
        <v>Facebook</v>
      </c>
      <c r="C226" t="str">
        <f t="shared" si="48"/>
        <v>MK|BR_CH|PSD_DT|CROSS_PB|FCBK_FM|CAR_RT|CPM_PD|CidadesdoFuturo_TG|NON_ST|NON_TS|NONE_SZ|1X1_AD|CM1_IT|SOC_U1|ITABIRA_U2|AzulEscuro</v>
      </c>
      <c r="D226" t="str">
        <f t="shared" si="49"/>
        <v>255476551</v>
      </c>
      <c r="E226" t="str">
        <f t="shared" si="50"/>
        <v>Dynamic Click</v>
      </c>
      <c r="F226" t="str">
        <f t="shared" si="51"/>
        <v>MK|BR_CH|PSD_DT|CROSS_PB|FCBK_FM|CAR_RT|CPM_PD|CidadesdoFuturo_TG|NON_ST|NON_TS|NONE_SZ|1X1_AD|CM1_IT|SOC_U1|ITABIRA_U2|AzulEscuro</v>
      </c>
      <c r="G226" t="str">
        <f t="shared" si="52"/>
        <v>451396722</v>
      </c>
      <c r="H226" t="str">
        <f t="shared" si="53"/>
        <v>Tracking</v>
      </c>
      <c r="I226">
        <f t="shared" si="54"/>
        <v>0</v>
      </c>
      <c r="J226">
        <f t="shared" si="55"/>
        <v>16</v>
      </c>
      <c r="K226" s="4">
        <f t="shared" si="44"/>
        <v>3.5000000000000001E-3</v>
      </c>
      <c r="L226">
        <f t="shared" si="45"/>
        <v>0.02</v>
      </c>
      <c r="M226" s="4">
        <f t="shared" si="42"/>
        <v>5.6000000000000001E-2</v>
      </c>
      <c r="N226" s="4">
        <f t="shared" si="43"/>
        <v>0.32</v>
      </c>
    </row>
    <row r="227" spans="1:14">
      <c r="A227" t="str">
        <f t="shared" si="46"/>
        <v>MK|BR_CN|CIDADESDOFUTURO_MN|NONE_YQ|19Q4_CP|5020004441_SP|N/A_AC|CMKT_OB|AWA</v>
      </c>
      <c r="B227" t="str">
        <f t="shared" si="47"/>
        <v>Facebook</v>
      </c>
      <c r="C227" t="str">
        <f t="shared" si="48"/>
        <v>MK|BR_CH|PSD_DT|CROSS_PB|FCBK_FM|CAR_RT|CPM_PD|CidadesdoFuturo_TG|NON_ST|NON_TS|NONE_SZ|1X1_AD|CM1_IT|SOC_U1|ITABIRA_U2|AzulEscuro</v>
      </c>
      <c r="D227" t="str">
        <f t="shared" si="49"/>
        <v>256228964</v>
      </c>
      <c r="E227" t="str">
        <f t="shared" si="50"/>
        <v>Dynamic Click</v>
      </c>
      <c r="F227" t="str">
        <f t="shared" si="51"/>
        <v>MK|BR_CH|PSD_DT|CROSS_PB|FCBK_FM|CAR_RT|CPM_PD|CidadesdoFuturo_TG|NON_ST|NON_TS|NONE_SZ|1X1_AD|CM1_IT|SOC_U1|ITABIRA_U2|AzulEscuro</v>
      </c>
      <c r="G227" t="str">
        <f t="shared" si="52"/>
        <v>452412764</v>
      </c>
      <c r="H227" t="str">
        <f t="shared" si="53"/>
        <v>Tracking</v>
      </c>
      <c r="I227">
        <f t="shared" si="54"/>
        <v>0</v>
      </c>
      <c r="J227">
        <f t="shared" si="55"/>
        <v>1</v>
      </c>
      <c r="K227" s="4">
        <f t="shared" si="44"/>
        <v>3.5000000000000001E-3</v>
      </c>
      <c r="L227">
        <f t="shared" si="45"/>
        <v>0.02</v>
      </c>
      <c r="M227" s="4">
        <f t="shared" ref="M227:M290" si="56">IF(E227="Dynamic Click",J227*K227,K227*$I227/1000)</f>
        <v>3.5000000000000001E-3</v>
      </c>
      <c r="N227" s="4">
        <f t="shared" ref="N227:N290" si="57">IF(E227="Dynamic Click",J227*L227,L227*$I227/1000)</f>
        <v>0.02</v>
      </c>
    </row>
    <row r="228" spans="1:14">
      <c r="A228" t="str">
        <f t="shared" si="46"/>
        <v>MK|BR_CN|CIDADESDOFUTURO_MN|NONE_YQ|19Q4_CP|5020004441_SP|N/A_AC|CMKT_OB|AWA</v>
      </c>
      <c r="B228" t="str">
        <f t="shared" si="47"/>
        <v>Facebook</v>
      </c>
      <c r="C228" t="str">
        <f t="shared" si="48"/>
        <v>MK|BR_CH|PSD_DT|CROSS_PB|FCBK_FM|CAR_RT|CPM_PD|CidadesdoFuturo_TG|NON_ST|NON_TS|NONE_SZ|1X1_AD|CM1_IT|SOC_U1|ITABIRA_U2|AzulEscuro</v>
      </c>
      <c r="D228" t="str">
        <f t="shared" si="49"/>
        <v>256228967</v>
      </c>
      <c r="E228" t="str">
        <f t="shared" si="50"/>
        <v>Dynamic Click</v>
      </c>
      <c r="F228" t="str">
        <f t="shared" si="51"/>
        <v>MK|BR_CH|PSD_DT|CROSS_PB|FCBK_FM|CAR_RT|CPM_PD|CidadesdoFuturo_TG|NON_ST|NON_TS|NONE_SZ|1X1_AD|CM1_IT|SOC_U1|ITABIRA_U2|AzulEscuro</v>
      </c>
      <c r="G228" t="str">
        <f t="shared" si="52"/>
        <v>452412761</v>
      </c>
      <c r="H228" t="str">
        <f t="shared" si="53"/>
        <v>Tracking</v>
      </c>
      <c r="I228">
        <f t="shared" si="54"/>
        <v>0</v>
      </c>
      <c r="J228">
        <f t="shared" si="55"/>
        <v>1</v>
      </c>
      <c r="K228" s="4">
        <f t="shared" si="44"/>
        <v>3.5000000000000001E-3</v>
      </c>
      <c r="L228">
        <f t="shared" si="45"/>
        <v>0.02</v>
      </c>
      <c r="M228" s="4">
        <f t="shared" si="56"/>
        <v>3.5000000000000001E-3</v>
      </c>
      <c r="N228" s="4">
        <f t="shared" si="57"/>
        <v>0.02</v>
      </c>
    </row>
    <row r="229" spans="1:14">
      <c r="A229" t="str">
        <f t="shared" si="46"/>
        <v>MK|BR_CN|CIDADESDOFUTURO_MN|NONE_YQ|19Q4_CP|5020004441_SP|N/A_AC|CMKT_OB|AWA</v>
      </c>
      <c r="B229" t="str">
        <f t="shared" si="47"/>
        <v>Facebook</v>
      </c>
      <c r="C229" t="str">
        <f t="shared" si="48"/>
        <v>MK|BR_CH|PSD_DT|CROSS_PB|FCBK_FM|CAR_RT|CPM_PD|CidadesdoFuturo_TG|NON_ST|NON_TS|NONE_SZ|1X1_AD|CM1_IT|SOC_U1|ITAPETINIGA_U2|AzulEscuro</v>
      </c>
      <c r="D229" t="str">
        <f t="shared" si="49"/>
        <v>256228979</v>
      </c>
      <c r="E229" t="str">
        <f t="shared" si="50"/>
        <v>Dynamic Click</v>
      </c>
      <c r="F229" t="str">
        <f t="shared" si="51"/>
        <v>MK|BR_CH|PSD_DT|CROSS_PB|FCBK_FM|CAR_RT|CPM_PD|CidadesdoFuturo_TG|NON_ST|NON_TS|NONE_SZ|1X1_AD|CM1_IT|SOC_U1|ITAPETINIGA_U2|AzulEscuro</v>
      </c>
      <c r="G229" t="str">
        <f t="shared" si="52"/>
        <v>452412752</v>
      </c>
      <c r="H229" t="str">
        <f t="shared" si="53"/>
        <v>Tracking</v>
      </c>
      <c r="I229">
        <f t="shared" si="54"/>
        <v>0</v>
      </c>
      <c r="J229">
        <f t="shared" si="55"/>
        <v>2</v>
      </c>
      <c r="K229" s="4">
        <f t="shared" si="44"/>
        <v>3.5000000000000001E-3</v>
      </c>
      <c r="L229">
        <f t="shared" si="45"/>
        <v>0.02</v>
      </c>
      <c r="M229" s="4">
        <f t="shared" si="56"/>
        <v>7.0000000000000001E-3</v>
      </c>
      <c r="N229" s="4">
        <f t="shared" si="57"/>
        <v>0.04</v>
      </c>
    </row>
    <row r="230" spans="1:14">
      <c r="A230" t="str">
        <f t="shared" si="46"/>
        <v>MK|BR_CN|CIDADESDOFUTURO_MN|NONE_YQ|19Q4_CP|5020004441_SP|N/A_AC|CMKT_OB|AWA</v>
      </c>
      <c r="B230" t="str">
        <f t="shared" si="47"/>
        <v>Facebook</v>
      </c>
      <c r="C230" t="str">
        <f t="shared" si="48"/>
        <v>MK|BR_CH|PSD_DT|CROSS_PB|FCBK_FM|CAR_RT|CPM_PD|CidadesdoFuturo_TG|NON_ST|NON_TS|NONE_SZ|1X1_AD|CM1_IT|SOC_U1|ITAPETININGA_U2|AzulEscuro</v>
      </c>
      <c r="D230" t="str">
        <f t="shared" si="49"/>
        <v>255476539</v>
      </c>
      <c r="E230" t="str">
        <f t="shared" si="50"/>
        <v>Dynamic Click</v>
      </c>
      <c r="F230" t="str">
        <f t="shared" si="51"/>
        <v>MK|BR_CH|PSD_DT|CROSS_PB|FCBK_FM|CAR_RT|CPM_PD|CidadesdoFuturo_TG|NON_ST|NON_TS|NONE_SZ|1X1_AD|CM1_IT|SOC_U1|ITAPETININGA_U2|AzulEscuro</v>
      </c>
      <c r="G230" t="str">
        <f t="shared" si="52"/>
        <v>451396746</v>
      </c>
      <c r="H230" t="str">
        <f t="shared" si="53"/>
        <v>Tracking</v>
      </c>
      <c r="I230">
        <f t="shared" si="54"/>
        <v>0</v>
      </c>
      <c r="J230">
        <f t="shared" si="55"/>
        <v>49</v>
      </c>
      <c r="K230" s="4">
        <f t="shared" si="44"/>
        <v>3.5000000000000001E-3</v>
      </c>
      <c r="L230">
        <f t="shared" si="45"/>
        <v>0.02</v>
      </c>
      <c r="M230" s="4">
        <f t="shared" si="56"/>
        <v>0.17150000000000001</v>
      </c>
      <c r="N230" s="4">
        <f t="shared" si="57"/>
        <v>0.98</v>
      </c>
    </row>
    <row r="231" spans="1:14">
      <c r="A231" t="str">
        <f t="shared" si="46"/>
        <v>MK|BR_CN|CIDADESDOFUTURO_MN|NONE_YQ|19Q4_CP|5020004441_SP|N/A_AC|CMKT_OB|AWA</v>
      </c>
      <c r="B231" t="str">
        <f t="shared" si="47"/>
        <v>Facebook</v>
      </c>
      <c r="C231" t="str">
        <f t="shared" si="48"/>
        <v>MK|BR_CH|PSD_DT|CROSS_PB|FCBK_FM|CAR_RT|CPM_PD|CidadesdoFuturo_TG|NON_ST|NON_TS|NONE_SZ|1X1_AD|CM1_IT|SOC_U1|ITUMBIARA_U2|AzulEscuro</v>
      </c>
      <c r="D231" t="str">
        <f t="shared" si="49"/>
        <v>255476527</v>
      </c>
      <c r="E231" t="str">
        <f t="shared" si="50"/>
        <v>Dynamic Click</v>
      </c>
      <c r="F231" t="str">
        <f t="shared" si="51"/>
        <v>MK|BR_CH|PSD_DT|CROSS_PB|FCBK_FM|CAR_RT|CPM_PD|CidadesdoFuturo_TG|NON_ST|NON_TS|NONE_SZ|1X1_AD|CM1_IT|SOC_U1|ITUMBIARA_U2|AzulEscuro</v>
      </c>
      <c r="G231" t="str">
        <f t="shared" si="52"/>
        <v>451396773</v>
      </c>
      <c r="H231" t="str">
        <f t="shared" si="53"/>
        <v>Tracking</v>
      </c>
      <c r="I231">
        <f t="shared" si="54"/>
        <v>0</v>
      </c>
      <c r="J231">
        <f t="shared" si="55"/>
        <v>2</v>
      </c>
      <c r="K231" s="4">
        <f t="shared" si="44"/>
        <v>3.5000000000000001E-3</v>
      </c>
      <c r="L231">
        <f t="shared" si="45"/>
        <v>0.02</v>
      </c>
      <c r="M231" s="4">
        <f t="shared" si="56"/>
        <v>7.0000000000000001E-3</v>
      </c>
      <c r="N231" s="4">
        <f t="shared" si="57"/>
        <v>0.04</v>
      </c>
    </row>
    <row r="232" spans="1:14">
      <c r="A232" t="str">
        <f t="shared" si="46"/>
        <v>MK|BR_CN|CIDADESDOFUTURO_MN|NONE_YQ|19Q4_CP|5020004441_SP|N/A_AC|CMKT_OB|AWA</v>
      </c>
      <c r="B232" t="str">
        <f t="shared" si="47"/>
        <v>Facebook</v>
      </c>
      <c r="C232" t="str">
        <f t="shared" si="48"/>
        <v>MK|BR_CH|PSD_DT|CROSS_PB|FCBK_FM|CAR_RT|CPM_PD|CidadesdoFuturo_TG|NON_ST|NON_TS|NONE_SZ|1X1_AD|CM1_IT|SOC_U1|ITUMBIARA_U2|AzulEscuro</v>
      </c>
      <c r="D232" t="str">
        <f t="shared" si="49"/>
        <v>256228985</v>
      </c>
      <c r="E232" t="str">
        <f t="shared" si="50"/>
        <v>Dynamic Click</v>
      </c>
      <c r="F232" t="str">
        <f t="shared" si="51"/>
        <v>MK|BR_CH|PSD_DT|CROSS_PB|FCBK_FM|CAR_RT|CPM_PD|CidadesdoFuturo_TG|NON_ST|NON_TS|NONE_SZ|1X1_AD|CM1_IT|SOC_U1|ITUMBIARA_U2|AzulEscuro</v>
      </c>
      <c r="G232" t="str">
        <f t="shared" si="52"/>
        <v>452412746</v>
      </c>
      <c r="H232" t="str">
        <f t="shared" si="53"/>
        <v>Tracking</v>
      </c>
      <c r="I232">
        <f t="shared" si="54"/>
        <v>0</v>
      </c>
      <c r="J232">
        <f t="shared" si="55"/>
        <v>1</v>
      </c>
      <c r="K232" s="4">
        <f t="shared" si="44"/>
        <v>3.5000000000000001E-3</v>
      </c>
      <c r="L232">
        <f t="shared" si="45"/>
        <v>0.02</v>
      </c>
      <c r="M232" s="4">
        <f t="shared" si="56"/>
        <v>3.5000000000000001E-3</v>
      </c>
      <c r="N232" s="4">
        <f t="shared" si="57"/>
        <v>0.02</v>
      </c>
    </row>
    <row r="233" spans="1:14">
      <c r="A233" t="str">
        <f t="shared" si="46"/>
        <v>MK|BR_CN|CIDADESDOFUTURO_MN|NONE_YQ|19Q4_CP|5020004441_SP|N/A_AC|CMKT_OB|AWA</v>
      </c>
      <c r="B233" t="str">
        <f t="shared" si="47"/>
        <v>Facebook</v>
      </c>
      <c r="C233" t="str">
        <f t="shared" si="48"/>
        <v>MK|BR_CH|PSD_DT|CROSS_PB|FCBK_FM|CAR_RT|CPM_PD|CidadesdoFuturo_TG|NON_ST|NON_TS|NONE_SZ|1X1_AD|CM1_IT|SOC_U1|JAU_U2|AzulEscuro</v>
      </c>
      <c r="D233" t="str">
        <f t="shared" si="49"/>
        <v>255476515</v>
      </c>
      <c r="E233" t="str">
        <f t="shared" si="50"/>
        <v>Dynamic Click</v>
      </c>
      <c r="F233" t="str">
        <f t="shared" si="51"/>
        <v>MK|BR_CH|PSD_DT|CROSS_PB|FCBK_FM|CAR_RT|CPM_PD|CidadesdoFuturo_TG|NON_ST|NON_TS|NONE_SZ|1X1_AD|CM1_IT|SOC_U1|JAU_U2|AzulEscuro</v>
      </c>
      <c r="G233" t="str">
        <f t="shared" si="52"/>
        <v>451396797</v>
      </c>
      <c r="H233" t="str">
        <f t="shared" si="53"/>
        <v>Tracking</v>
      </c>
      <c r="I233">
        <f t="shared" si="54"/>
        <v>0</v>
      </c>
      <c r="J233">
        <f t="shared" si="55"/>
        <v>56</v>
      </c>
      <c r="K233" s="4">
        <f t="shared" si="44"/>
        <v>3.5000000000000001E-3</v>
      </c>
      <c r="L233">
        <f t="shared" si="45"/>
        <v>0.02</v>
      </c>
      <c r="M233" s="4">
        <f t="shared" si="56"/>
        <v>0.19600000000000001</v>
      </c>
      <c r="N233" s="4">
        <f t="shared" si="57"/>
        <v>1.1200000000000001</v>
      </c>
    </row>
    <row r="234" spans="1:14">
      <c r="A234" t="str">
        <f t="shared" si="46"/>
        <v>MK|BR_CN|CIDADESDOFUTURO_MN|NONE_YQ|19Q4_CP|5020004441_SP|N/A_AC|CMKT_OB|AWA</v>
      </c>
      <c r="B234" t="str">
        <f t="shared" si="47"/>
        <v>Facebook</v>
      </c>
      <c r="C234" t="str">
        <f t="shared" si="48"/>
        <v>MK|BR_CH|PSD_DT|CROSS_PB|FCBK_FM|CAR_RT|CPM_PD|CidadesdoFuturo_TG|NON_ST|NON_TS|NONE_SZ|1X1_AD|CM1_IT|SOC_U1|JAU_U2|AzulEscuro</v>
      </c>
      <c r="D234" t="str">
        <f t="shared" si="49"/>
        <v>256228994</v>
      </c>
      <c r="E234" t="str">
        <f t="shared" si="50"/>
        <v>Dynamic Click</v>
      </c>
      <c r="F234" t="str">
        <f t="shared" si="51"/>
        <v>MK|BR_CH|PSD_DT|CROSS_PB|FCBK_FM|CAR_RT|CPM_PD|CidadesdoFuturo_TG|NON_ST|NON_TS|NONE_SZ|1X1_AD|CM1_IT|SOC_U1|JAU_U2|AzulEscuro</v>
      </c>
      <c r="G234" t="str">
        <f t="shared" si="52"/>
        <v>452412740</v>
      </c>
      <c r="H234" t="str">
        <f t="shared" si="53"/>
        <v>Tracking</v>
      </c>
      <c r="I234">
        <f t="shared" si="54"/>
        <v>0</v>
      </c>
      <c r="J234">
        <f t="shared" si="55"/>
        <v>1</v>
      </c>
      <c r="K234" s="4">
        <f t="shared" si="44"/>
        <v>3.5000000000000001E-3</v>
      </c>
      <c r="L234">
        <f t="shared" si="45"/>
        <v>0.02</v>
      </c>
      <c r="M234" s="4">
        <f t="shared" si="56"/>
        <v>3.5000000000000001E-3</v>
      </c>
      <c r="N234" s="4">
        <f t="shared" si="57"/>
        <v>0.02</v>
      </c>
    </row>
    <row r="235" spans="1:14">
      <c r="A235" t="str">
        <f t="shared" si="46"/>
        <v>MK|BR_CN|CIDADESDOFUTURO_MN|NONE_YQ|19Q4_CP|5020004441_SP|N/A_AC|CMKT_OB|AWA</v>
      </c>
      <c r="B235" t="str">
        <f t="shared" si="47"/>
        <v>Facebook</v>
      </c>
      <c r="C235" t="str">
        <f t="shared" si="48"/>
        <v>MK|BR_CH|PSD_DT|CROSS_PB|FCBK_FM|CAR_RT|CPM_PD|CidadesdoFuturo_TG|NON_ST|NON_TS|NONE_SZ|1X1_AD|CM1_IT|SOC_U1|JUAZEIRODONORTE_U2|AzulEscuro</v>
      </c>
      <c r="D235" t="str">
        <f t="shared" si="49"/>
        <v>256228997</v>
      </c>
      <c r="E235" t="str">
        <f t="shared" si="50"/>
        <v>Dynamic Click</v>
      </c>
      <c r="F235" t="str">
        <f t="shared" si="51"/>
        <v>MK|BR_CH|PSD_DT|CROSS_PB|FCBK_FM|CAR_RT|CPM_PD|CidadesdoFuturo_TG|NON_ST|NON_TS|NONE_SZ|1X1_AD|CM1_IT|SOC_U1|JUAZEIRODONORTE_U2|AzulEscuro</v>
      </c>
      <c r="G235" t="str">
        <f t="shared" si="52"/>
        <v>452412737</v>
      </c>
      <c r="H235" t="str">
        <f t="shared" si="53"/>
        <v>Tracking</v>
      </c>
      <c r="I235">
        <f t="shared" si="54"/>
        <v>0</v>
      </c>
      <c r="J235">
        <f t="shared" si="55"/>
        <v>1</v>
      </c>
      <c r="K235" s="4">
        <f t="shared" si="44"/>
        <v>3.5000000000000001E-3</v>
      </c>
      <c r="L235">
        <f t="shared" si="45"/>
        <v>0.02</v>
      </c>
      <c r="M235" s="4">
        <f t="shared" si="56"/>
        <v>3.5000000000000001E-3</v>
      </c>
      <c r="N235" s="4">
        <f t="shared" si="57"/>
        <v>0.02</v>
      </c>
    </row>
    <row r="236" spans="1:14">
      <c r="A236" t="str">
        <f t="shared" si="46"/>
        <v>MK|BR_CN|CIDADESDOFUTURO_MN|NONE_YQ|19Q4_CP|5020004441_SP|N/A_AC|CMKT_OB|AWA</v>
      </c>
      <c r="B236" t="str">
        <f t="shared" si="47"/>
        <v>Facebook</v>
      </c>
      <c r="C236" t="str">
        <f t="shared" si="48"/>
        <v>MK|BR_CH|PSD_DT|CROSS_PB|FCBK_FM|CAR_RT|CPM_PD|CidadesdoFuturo_TG|NON_ST|NON_TS|NONE_SZ|1X1_AD|CM1_IT|SOC_U1|JUAZEIRODONORTE_U2|AzulEscuro</v>
      </c>
      <c r="D236" t="str">
        <f t="shared" si="49"/>
        <v>256229006</v>
      </c>
      <c r="E236" t="str">
        <f t="shared" si="50"/>
        <v>Dynamic Click</v>
      </c>
      <c r="F236" t="str">
        <f t="shared" si="51"/>
        <v>MK|BR_CH|PSD_DT|CROSS_PB|FCBK_FM|CAR_RT|CPM_PD|CidadesdoFuturo_TG|NON_ST|NON_TS|NONE_SZ|1X1_AD|CM1_IT|SOC_U1|JUAZEIRODONORTE_U2|AzulEscuro</v>
      </c>
      <c r="G236" t="str">
        <f t="shared" si="52"/>
        <v>452412728</v>
      </c>
      <c r="H236" t="str">
        <f t="shared" si="53"/>
        <v>Tracking</v>
      </c>
      <c r="I236">
        <f t="shared" si="54"/>
        <v>0</v>
      </c>
      <c r="J236">
        <f t="shared" si="55"/>
        <v>3</v>
      </c>
      <c r="K236" s="4">
        <f t="shared" ref="K236:K299" si="58">IF(LEFT(B236,3)="DBM",0,VLOOKUP(E236,tabela,2,FALSE))</f>
        <v>3.5000000000000001E-3</v>
      </c>
      <c r="L236">
        <f t="shared" ref="L236:L299" si="59">VLOOKUP(E236,tabela,3,FALSE)</f>
        <v>0.02</v>
      </c>
      <c r="M236" s="4">
        <f t="shared" si="56"/>
        <v>1.0500000000000001E-2</v>
      </c>
      <c r="N236" s="4">
        <f t="shared" si="57"/>
        <v>0.06</v>
      </c>
    </row>
    <row r="237" spans="1:14">
      <c r="A237" t="str">
        <f t="shared" si="46"/>
        <v>MK|BR_CN|CIDADESDOFUTURO_MN|NONE_YQ|19Q4_CP|5020004441_SP|N/A_AC|CMKT_OB|AWA</v>
      </c>
      <c r="B237" t="str">
        <f t="shared" si="47"/>
        <v>Facebook</v>
      </c>
      <c r="C237" t="str">
        <f t="shared" si="48"/>
        <v>MK|BR_CH|PSD_DT|CROSS_PB|FCBK_FM|CAR_RT|CPM_PD|CidadesdoFuturo_TG|NON_ST|NON_TS|NONE_SZ|1X1_AD|CM1_IT|SOC_U1|JUAZEIRODONORTE_U2|AzulEscuro</v>
      </c>
      <c r="D237" t="str">
        <f t="shared" si="49"/>
        <v>256229009</v>
      </c>
      <c r="E237" t="str">
        <f t="shared" si="50"/>
        <v>Dynamic Click</v>
      </c>
      <c r="F237" t="str">
        <f t="shared" si="51"/>
        <v>MK|BR_CH|PSD_DT|CROSS_PB|FCBK_FM|CAR_RT|CPM_PD|CidadesdoFuturo_TG|NON_ST|NON_TS|NONE_SZ|1X1_AD|CM1_IT|SOC_U1|JUAZEIRODONORTE_U2|AzulEscuro</v>
      </c>
      <c r="G237" t="str">
        <f t="shared" si="52"/>
        <v>452412725</v>
      </c>
      <c r="H237" t="str">
        <f t="shared" si="53"/>
        <v>Tracking</v>
      </c>
      <c r="I237">
        <f t="shared" si="54"/>
        <v>0</v>
      </c>
      <c r="J237">
        <f t="shared" si="55"/>
        <v>2</v>
      </c>
      <c r="K237" s="4">
        <f t="shared" si="58"/>
        <v>3.5000000000000001E-3</v>
      </c>
      <c r="L237">
        <f t="shared" si="59"/>
        <v>0.02</v>
      </c>
      <c r="M237" s="4">
        <f t="shared" si="56"/>
        <v>7.0000000000000001E-3</v>
      </c>
      <c r="N237" s="4">
        <f t="shared" si="57"/>
        <v>0.04</v>
      </c>
    </row>
    <row r="238" spans="1:14">
      <c r="A238" t="str">
        <f t="shared" si="46"/>
        <v>MK|BR_CN|CIDADESDOFUTURO_MN|NONE_YQ|19Q4_CP|5020004441_SP|N/A_AC|CMKT_OB|AWA</v>
      </c>
      <c r="B238" t="str">
        <f t="shared" si="47"/>
        <v>Facebook</v>
      </c>
      <c r="C238" t="str">
        <f t="shared" si="48"/>
        <v>MK|BR_CH|PSD_DT|CROSS_PB|FCBK_FM|CAR_RT|CPM_PD|CidadesdoFuturo_TG|NON_ST|NON_TS|NONE_SZ|1X1_AD|CM1_IT|SOC_U1|JUAZEIRODONORTE_U2|AzulEscuro</v>
      </c>
      <c r="D238" t="str">
        <f t="shared" si="49"/>
        <v>256229018</v>
      </c>
      <c r="E238" t="str">
        <f t="shared" si="50"/>
        <v>Dynamic Click</v>
      </c>
      <c r="F238" t="str">
        <f t="shared" si="51"/>
        <v>MK|BR_CH|PSD_DT|CROSS_PB|FCBK_FM|CAR_RT|CPM_PD|CidadesdoFuturo_TG|NON_ST|NON_TS|NONE_SZ|1X1_AD|CM1_IT|SOC_U1|JUAZEIRODONORTE_U2|AzulEscuro</v>
      </c>
      <c r="G238" t="str">
        <f t="shared" si="52"/>
        <v>452412719</v>
      </c>
      <c r="H238" t="str">
        <f t="shared" si="53"/>
        <v>Tracking</v>
      </c>
      <c r="I238">
        <f t="shared" si="54"/>
        <v>0</v>
      </c>
      <c r="J238">
        <f t="shared" si="55"/>
        <v>2</v>
      </c>
      <c r="K238" s="4">
        <f t="shared" si="58"/>
        <v>3.5000000000000001E-3</v>
      </c>
      <c r="L238">
        <f t="shared" si="59"/>
        <v>0.02</v>
      </c>
      <c r="M238" s="4">
        <f t="shared" si="56"/>
        <v>7.0000000000000001E-3</v>
      </c>
      <c r="N238" s="4">
        <f t="shared" si="57"/>
        <v>0.04</v>
      </c>
    </row>
    <row r="239" spans="1:14">
      <c r="A239" t="str">
        <f t="shared" si="46"/>
        <v>MK|BR_CN|CIDADESDOFUTURO_MN|NONE_YQ|19Q4_CP|5020004441_SP|N/A_AC|CMKT_OB|AWA</v>
      </c>
      <c r="B239" t="str">
        <f t="shared" si="47"/>
        <v>Facebook</v>
      </c>
      <c r="C239" t="str">
        <f t="shared" si="48"/>
        <v>MK|BR_CH|PSD_DT|CROSS_PB|FCBK_FM|CAR_RT|CPM_PD|CidadesdoFuturo_TG|NON_ST|NON_TS|NONE_SZ|1X1_AD|CM1_IT|SOC_U1|JUIZDEFORA_U2|AzulEscuro</v>
      </c>
      <c r="D239" t="str">
        <f t="shared" si="49"/>
        <v>255471055</v>
      </c>
      <c r="E239" t="str">
        <f t="shared" si="50"/>
        <v>Dynamic Click</v>
      </c>
      <c r="F239" t="str">
        <f t="shared" si="51"/>
        <v>MK|BR_CH|PSD_DT|CROSS_PB|FCBK_FM|CAR_RT|CPM_PD|CidadesdoFuturo_TG|NON_ST|NON_TS|NONE_SZ|1X1_AD|CM1_IT|SOC_U1|JUIZDEFORA_U2|AzulEscuro</v>
      </c>
      <c r="G239" t="str">
        <f t="shared" si="52"/>
        <v>451397556</v>
      </c>
      <c r="H239" t="str">
        <f t="shared" si="53"/>
        <v>Tracking</v>
      </c>
      <c r="I239">
        <f t="shared" si="54"/>
        <v>0</v>
      </c>
      <c r="J239">
        <f t="shared" si="55"/>
        <v>134</v>
      </c>
      <c r="K239" s="4">
        <f t="shared" si="58"/>
        <v>3.5000000000000001E-3</v>
      </c>
      <c r="L239">
        <f t="shared" si="59"/>
        <v>0.02</v>
      </c>
      <c r="M239" s="4">
        <f t="shared" si="56"/>
        <v>0.46900000000000003</v>
      </c>
      <c r="N239" s="4">
        <f t="shared" si="57"/>
        <v>2.68</v>
      </c>
    </row>
    <row r="240" spans="1:14">
      <c r="A240" t="str">
        <f t="shared" si="46"/>
        <v>MK|BR_CN|CIDADESDOFUTURO_MN|NONE_YQ|19Q4_CP|5020004441_SP|N/A_AC|CMKT_OB|AWA</v>
      </c>
      <c r="B240" t="str">
        <f t="shared" si="47"/>
        <v>Facebook</v>
      </c>
      <c r="C240" t="str">
        <f t="shared" si="48"/>
        <v>MK|BR_CH|PSD_DT|CROSS_PB|FCBK_FM|CAR_RT|CPM_PD|CidadesdoFuturo_TG|NON_ST|NON_TS|NONE_SZ|1X1_AD|CM1_IT|SOC_U1|LINHARES_U2|AzulEscuro</v>
      </c>
      <c r="D240" t="str">
        <f t="shared" si="49"/>
        <v>256229024</v>
      </c>
      <c r="E240" t="str">
        <f t="shared" si="50"/>
        <v>Dynamic Click</v>
      </c>
      <c r="F240" t="str">
        <f t="shared" si="51"/>
        <v>MK|BR_CH|PSD_DT|CROSS_PB|FCBK_FM|CAR_RT|CPM_PD|CidadesdoFuturo_TG|NON_ST|NON_TS|NONE_SZ|1X1_AD|CM1_IT|SOC_U1|LINHARES_U2|AzulEscuro</v>
      </c>
      <c r="G240" t="str">
        <f t="shared" si="52"/>
        <v>452412713</v>
      </c>
      <c r="H240" t="str">
        <f t="shared" si="53"/>
        <v>Tracking</v>
      </c>
      <c r="I240">
        <f t="shared" si="54"/>
        <v>0</v>
      </c>
      <c r="J240">
        <f t="shared" si="55"/>
        <v>1</v>
      </c>
      <c r="K240" s="4">
        <f t="shared" si="58"/>
        <v>3.5000000000000001E-3</v>
      </c>
      <c r="L240">
        <f t="shared" si="59"/>
        <v>0.02</v>
      </c>
      <c r="M240" s="4">
        <f t="shared" si="56"/>
        <v>3.5000000000000001E-3</v>
      </c>
      <c r="N240" s="4">
        <f t="shared" si="57"/>
        <v>0.02</v>
      </c>
    </row>
    <row r="241" spans="1:14">
      <c r="A241" t="str">
        <f t="shared" si="46"/>
        <v>MK|BR_CN|CIDADESDOFUTURO_MN|NONE_YQ|19Q4_CP|5020004441_SP|N/A_AC|CMKT_OB|AWA</v>
      </c>
      <c r="B241" t="str">
        <f t="shared" si="47"/>
        <v>Facebook</v>
      </c>
      <c r="C241" t="str">
        <f t="shared" si="48"/>
        <v>MK|BR_CH|PSD_DT|CROSS_PB|FCBK_FM|CAR_RT|CPM_PD|CidadesdoFuturo_TG|NON_ST|NON_TS|NONE_SZ|1X1_AD|CM1_IT|SOC_U1|LINHARES_U2|AzulEscuro</v>
      </c>
      <c r="D241" t="str">
        <f t="shared" si="49"/>
        <v>256229027</v>
      </c>
      <c r="E241" t="str">
        <f t="shared" si="50"/>
        <v>Dynamic Click</v>
      </c>
      <c r="F241" t="str">
        <f t="shared" si="51"/>
        <v>MK|BR_CH|PSD_DT|CROSS_PB|FCBK_FM|CAR_RT|CPM_PD|CidadesdoFuturo_TG|NON_ST|NON_TS|NONE_SZ|1X1_AD|CM1_IT|SOC_U1|LINHARES_U2|AzulEscuro</v>
      </c>
      <c r="G241" t="str">
        <f t="shared" si="52"/>
        <v>452412710</v>
      </c>
      <c r="H241" t="str">
        <f t="shared" si="53"/>
        <v>Tracking</v>
      </c>
      <c r="I241">
        <f t="shared" si="54"/>
        <v>0</v>
      </c>
      <c r="J241">
        <f t="shared" si="55"/>
        <v>1</v>
      </c>
      <c r="K241" s="4">
        <f t="shared" si="58"/>
        <v>3.5000000000000001E-3</v>
      </c>
      <c r="L241">
        <f t="shared" si="59"/>
        <v>0.02</v>
      </c>
      <c r="M241" s="4">
        <f t="shared" si="56"/>
        <v>3.5000000000000001E-3</v>
      </c>
      <c r="N241" s="4">
        <f t="shared" si="57"/>
        <v>0.02</v>
      </c>
    </row>
    <row r="242" spans="1:14">
      <c r="A242" t="str">
        <f t="shared" si="46"/>
        <v>MK|BR_CN|CIDADESDOFUTURO_MN|NONE_YQ|19Q4_CP|5020004441_SP|N/A_AC|CMKT_OB|AWA</v>
      </c>
      <c r="B242" t="str">
        <f t="shared" si="47"/>
        <v>Facebook</v>
      </c>
      <c r="C242" t="str">
        <f t="shared" si="48"/>
        <v>MK|BR_CH|PSD_DT|CROSS_PB|FCBK_FM|CAR_RT|CPM_PD|CidadesdoFuturo_TG|NON_ST|NON_TS|NONE_SZ|1X1_AD|CM1_IT|SOC_U1|LINHARES_U2|AzulEscuro</v>
      </c>
      <c r="D242" t="str">
        <f t="shared" si="49"/>
        <v>256229033</v>
      </c>
      <c r="E242" t="str">
        <f t="shared" si="50"/>
        <v>Dynamic Click</v>
      </c>
      <c r="F242" t="str">
        <f t="shared" si="51"/>
        <v>MK|BR_CH|PSD_DT|CROSS_PB|FCBK_FM|CAR_RT|CPM_PD|CidadesdoFuturo_TG|NON_ST|NON_TS|NONE_SZ|1X1_AD|CM1_IT|SOC_U1|LINHARES_U2|AzulEscuro</v>
      </c>
      <c r="G242" t="str">
        <f t="shared" si="52"/>
        <v>452412707</v>
      </c>
      <c r="H242" t="str">
        <f t="shared" si="53"/>
        <v>Tracking</v>
      </c>
      <c r="I242">
        <f t="shared" si="54"/>
        <v>0</v>
      </c>
      <c r="J242">
        <f t="shared" si="55"/>
        <v>1</v>
      </c>
      <c r="K242" s="4">
        <f t="shared" si="58"/>
        <v>3.5000000000000001E-3</v>
      </c>
      <c r="L242">
        <f t="shared" si="59"/>
        <v>0.02</v>
      </c>
      <c r="M242" s="4">
        <f t="shared" si="56"/>
        <v>3.5000000000000001E-3</v>
      </c>
      <c r="N242" s="4">
        <f t="shared" si="57"/>
        <v>0.02</v>
      </c>
    </row>
    <row r="243" spans="1:14">
      <c r="A243" t="str">
        <f t="shared" si="46"/>
        <v>MK|BR_CN|CIDADESDOFUTURO_MN|NONE_YQ|19Q4_CP|5020004441_SP|N/A_AC|CMKT_OB|AWA</v>
      </c>
      <c r="B243" t="str">
        <f t="shared" si="47"/>
        <v>Facebook</v>
      </c>
      <c r="C243" t="str">
        <f t="shared" si="48"/>
        <v>MK|BR_CH|PSD_DT|CROSS_PB|FCBK_FM|CAR_RT|CPM_PD|CidadesdoFuturo_TG|NON_ST|NON_TS|NONE_SZ|1X1_AD|CM1_IT|SOC_U1|LUZIANIA_U2|AzulEscuro</v>
      </c>
      <c r="D243" t="str">
        <f t="shared" si="49"/>
        <v>256229039</v>
      </c>
      <c r="E243" t="str">
        <f t="shared" si="50"/>
        <v>Dynamic Click</v>
      </c>
      <c r="F243" t="str">
        <f t="shared" si="51"/>
        <v>MK|BR_CH|PSD_DT|CROSS_PB|FCBK_FM|CAR_RT|CPM_PD|CidadesdoFuturo_TG|NON_ST|NON_TS|NONE_SZ|1X1_AD|CM1_IT|SOC_U1|LUZIANIA_U2|AzulEscuro</v>
      </c>
      <c r="G243" t="str">
        <f t="shared" si="52"/>
        <v>452412701</v>
      </c>
      <c r="H243" t="str">
        <f t="shared" si="53"/>
        <v>Tracking</v>
      </c>
      <c r="I243">
        <f t="shared" si="54"/>
        <v>0</v>
      </c>
      <c r="J243">
        <f t="shared" si="55"/>
        <v>1</v>
      </c>
      <c r="K243" s="4">
        <f t="shared" si="58"/>
        <v>3.5000000000000001E-3</v>
      </c>
      <c r="L243">
        <f t="shared" si="59"/>
        <v>0.02</v>
      </c>
      <c r="M243" s="4">
        <f t="shared" si="56"/>
        <v>3.5000000000000001E-3</v>
      </c>
      <c r="N243" s="4">
        <f t="shared" si="57"/>
        <v>0.02</v>
      </c>
    </row>
    <row r="244" spans="1:14">
      <c r="A244" t="str">
        <f t="shared" si="46"/>
        <v>MK|BR_CN|CIDADESDOFUTURO_MN|NONE_YQ|19Q4_CP|5020004441_SP|N/A_AC|CMKT_OB|AWA</v>
      </c>
      <c r="B244" t="str">
        <f t="shared" si="47"/>
        <v>Facebook</v>
      </c>
      <c r="C244" t="str">
        <f t="shared" si="48"/>
        <v>MK|BR_CH|PSD_DT|CROSS_PB|FCBK_FM|CAR_RT|CPM_PD|CidadesdoFuturo_TG|NON_ST|NON_TS|NONE_SZ|1X1_AD|CM1_IT|SOC_U1|MACAPA_U2|AzulEscuro</v>
      </c>
      <c r="D244" t="str">
        <f t="shared" si="49"/>
        <v>256229051</v>
      </c>
      <c r="E244" t="str">
        <f t="shared" si="50"/>
        <v>Dynamic Click</v>
      </c>
      <c r="F244" t="str">
        <f t="shared" si="51"/>
        <v>MK|BR_CH|PSD_DT|CROSS_PB|FCBK_FM|CAR_RT|CPM_PD|CidadesdoFuturo_TG|NON_ST|NON_TS|NONE_SZ|1X1_AD|CM1_IT|SOC_U1|MACAPA_U2|AzulEscuro</v>
      </c>
      <c r="G244" t="str">
        <f t="shared" si="52"/>
        <v>452412692</v>
      </c>
      <c r="H244" t="str">
        <f t="shared" si="53"/>
        <v>Tracking</v>
      </c>
      <c r="I244">
        <f t="shared" si="54"/>
        <v>0</v>
      </c>
      <c r="J244">
        <f t="shared" si="55"/>
        <v>2</v>
      </c>
      <c r="K244" s="4">
        <f t="shared" si="58"/>
        <v>3.5000000000000001E-3</v>
      </c>
      <c r="L244">
        <f t="shared" si="59"/>
        <v>0.02</v>
      </c>
      <c r="M244" s="4">
        <f t="shared" si="56"/>
        <v>7.0000000000000001E-3</v>
      </c>
      <c r="N244" s="4">
        <f t="shared" si="57"/>
        <v>0.04</v>
      </c>
    </row>
    <row r="245" spans="1:14">
      <c r="A245" t="str">
        <f t="shared" si="46"/>
        <v>MK|BR_CN|CIDADESDOFUTURO_MN|NONE_YQ|19Q4_CP|5020004441_SP|N/A_AC|CMKT_OB|AWA</v>
      </c>
      <c r="B245" t="str">
        <f t="shared" si="47"/>
        <v>Facebook</v>
      </c>
      <c r="C245" t="str">
        <f t="shared" si="48"/>
        <v>MK|BR_CH|PSD_DT|CROSS_PB|FCBK_FM|CAR_RT|CPM_PD|CidadesdoFuturo_TG|NON_ST|NON_TS|NONE_SZ|1X1_AD|CM1_IT|SOC_U1|MACEIO_U2|AzulEscuro</v>
      </c>
      <c r="D245" t="str">
        <f t="shared" si="49"/>
        <v>255471043</v>
      </c>
      <c r="E245" t="str">
        <f t="shared" si="50"/>
        <v>Dynamic Click</v>
      </c>
      <c r="F245" t="str">
        <f t="shared" si="51"/>
        <v>MK|BR_CH|PSD_DT|CROSS_PB|FCBK_FM|CAR_RT|CPM_PD|CidadesdoFuturo_TG|NON_ST|NON_TS|NONE_SZ|1X1_AD|CM1_IT|SOC_U1|MACEIO_U2|AzulEscuro</v>
      </c>
      <c r="G245" t="str">
        <f t="shared" si="52"/>
        <v>451397568</v>
      </c>
      <c r="H245" t="str">
        <f t="shared" si="53"/>
        <v>Tracking</v>
      </c>
      <c r="I245">
        <f t="shared" si="54"/>
        <v>0</v>
      </c>
      <c r="J245">
        <f t="shared" si="55"/>
        <v>119</v>
      </c>
      <c r="K245" s="4">
        <f t="shared" si="58"/>
        <v>3.5000000000000001E-3</v>
      </c>
      <c r="L245">
        <f t="shared" si="59"/>
        <v>0.02</v>
      </c>
      <c r="M245" s="4">
        <f t="shared" si="56"/>
        <v>0.41649999999999998</v>
      </c>
      <c r="N245" s="4">
        <f t="shared" si="57"/>
        <v>2.38</v>
      </c>
    </row>
    <row r="246" spans="1:14">
      <c r="A246" t="str">
        <f t="shared" si="46"/>
        <v>MK|BR_CN|CIDADESDOFUTURO_MN|NONE_YQ|19Q4_CP|5020004441_SP|N/A_AC|CMKT_OB|AWA</v>
      </c>
      <c r="B246" t="str">
        <f t="shared" si="47"/>
        <v>Facebook</v>
      </c>
      <c r="C246" t="str">
        <f t="shared" si="48"/>
        <v>MK|BR_CH|PSD_DT|CROSS_PB|FCBK_FM|CAR_RT|CPM_PD|CidadesdoFuturo_TG|NON_ST|NON_TS|NONE_SZ|1X1_AD|CM1_IT|SOC_U1|MACEIO_U2|AzulEscuro</v>
      </c>
      <c r="D246" t="str">
        <f t="shared" si="49"/>
        <v>256229063</v>
      </c>
      <c r="E246" t="str">
        <f t="shared" si="50"/>
        <v>Dynamic Click</v>
      </c>
      <c r="F246" t="str">
        <f t="shared" si="51"/>
        <v>MK|BR_CH|PSD_DT|CROSS_PB|FCBK_FM|CAR_RT|CPM_PD|CidadesdoFuturo_TG|NON_ST|NON_TS|NONE_SZ|1X1_AD|CM1_IT|SOC_U1|MACEIO_U2|AzulEscuro</v>
      </c>
      <c r="G246" t="str">
        <f t="shared" si="52"/>
        <v>452412680</v>
      </c>
      <c r="H246" t="str">
        <f t="shared" si="53"/>
        <v>Tracking</v>
      </c>
      <c r="I246">
        <f t="shared" si="54"/>
        <v>0</v>
      </c>
      <c r="J246">
        <f t="shared" si="55"/>
        <v>1</v>
      </c>
      <c r="K246" s="4">
        <f t="shared" si="58"/>
        <v>3.5000000000000001E-3</v>
      </c>
      <c r="L246">
        <f t="shared" si="59"/>
        <v>0.02</v>
      </c>
      <c r="M246" s="4">
        <f t="shared" si="56"/>
        <v>3.5000000000000001E-3</v>
      </c>
      <c r="N246" s="4">
        <f t="shared" si="57"/>
        <v>0.02</v>
      </c>
    </row>
    <row r="247" spans="1:14">
      <c r="A247" t="str">
        <f t="shared" si="46"/>
        <v>MK|BR_CN|CIDADESDOFUTURO_MN|NONE_YQ|19Q4_CP|5020004441_SP|N/A_AC|CMKT_OB|AWA</v>
      </c>
      <c r="B247" t="str">
        <f t="shared" si="47"/>
        <v>Facebook</v>
      </c>
      <c r="C247" t="str">
        <f t="shared" si="48"/>
        <v>MK|BR_CH|PSD_DT|CROSS_PB|FCBK_FM|CAR_RT|CPM_PD|CidadesdoFuturo_TG|NON_ST|NON_TS|NONE_SZ|1X1_AD|CM1_IT|SOC_U1|MANAUS_U2|AzulEscuro</v>
      </c>
      <c r="D247" t="str">
        <f t="shared" si="49"/>
        <v>255471031</v>
      </c>
      <c r="E247" t="str">
        <f t="shared" si="50"/>
        <v>Dynamic Click</v>
      </c>
      <c r="F247" t="str">
        <f t="shared" si="51"/>
        <v>MK|BR_CH|PSD_DT|CROSS_PB|FCBK_FM|CAR_RT|CPM_PD|CidadesdoFuturo_TG|NON_ST|NON_TS|NONE_SZ|1X1_AD|CM1_IT|SOC_U1|MANAUS_U2|AzulEscuro</v>
      </c>
      <c r="G247" t="str">
        <f t="shared" si="52"/>
        <v>451397580</v>
      </c>
      <c r="H247" t="str">
        <f t="shared" si="53"/>
        <v>Tracking</v>
      </c>
      <c r="I247">
        <f t="shared" si="54"/>
        <v>0</v>
      </c>
      <c r="J247">
        <f t="shared" si="55"/>
        <v>379</v>
      </c>
      <c r="K247" s="4">
        <f t="shared" si="58"/>
        <v>3.5000000000000001E-3</v>
      </c>
      <c r="L247">
        <f t="shared" si="59"/>
        <v>0.02</v>
      </c>
      <c r="M247" s="4">
        <f t="shared" si="56"/>
        <v>1.3265</v>
      </c>
      <c r="N247" s="4">
        <f t="shared" si="57"/>
        <v>7.58</v>
      </c>
    </row>
    <row r="248" spans="1:14">
      <c r="A248" t="str">
        <f t="shared" si="46"/>
        <v>MK|BR_CN|CIDADESDOFUTURO_MN|NONE_YQ|19Q4_CP|5020004441_SP|N/A_AC|CMKT_OB|AWA</v>
      </c>
      <c r="B248" t="str">
        <f t="shared" si="47"/>
        <v>Facebook</v>
      </c>
      <c r="C248" t="str">
        <f t="shared" si="48"/>
        <v>MK|BR_CH|PSD_DT|CROSS_PB|FCBK_FM|CAR_RT|CPM_PD|CidadesdoFuturo_TG|NON_ST|NON_TS|NONE_SZ|1X1_AD|CM1_IT|SOC_U1|MANAUS_U2|AzulEscuro</v>
      </c>
      <c r="D248" t="str">
        <f t="shared" si="49"/>
        <v>256229069</v>
      </c>
      <c r="E248" t="str">
        <f t="shared" si="50"/>
        <v>Dynamic Click</v>
      </c>
      <c r="F248" t="str">
        <f t="shared" si="51"/>
        <v>MK|BR_CH|PSD_DT|CROSS_PB|FCBK_FM|CAR_RT|CPM_PD|CidadesdoFuturo_TG|NON_ST|NON_TS|NONE_SZ|1X1_AD|CM1_IT|SOC_U1|MANAUS_U2|AzulEscuro</v>
      </c>
      <c r="G248" t="str">
        <f t="shared" si="52"/>
        <v>452412677</v>
      </c>
      <c r="H248" t="str">
        <f t="shared" si="53"/>
        <v>Tracking</v>
      </c>
      <c r="I248">
        <f t="shared" si="54"/>
        <v>0</v>
      </c>
      <c r="J248">
        <f t="shared" si="55"/>
        <v>2</v>
      </c>
      <c r="K248" s="4">
        <f t="shared" si="58"/>
        <v>3.5000000000000001E-3</v>
      </c>
      <c r="L248">
        <f t="shared" si="59"/>
        <v>0.02</v>
      </c>
      <c r="M248" s="4">
        <f t="shared" si="56"/>
        <v>7.0000000000000001E-3</v>
      </c>
      <c r="N248" s="4">
        <f t="shared" si="57"/>
        <v>0.04</v>
      </c>
    </row>
    <row r="249" spans="1:14">
      <c r="A249" t="str">
        <f t="shared" si="46"/>
        <v>MK|BR_CN|CIDADESDOFUTURO_MN|NONE_YQ|19Q4_CP|5020004441_SP|N/A_AC|CMKT_OB|AWA</v>
      </c>
      <c r="B249" t="str">
        <f t="shared" si="47"/>
        <v>Facebook</v>
      </c>
      <c r="C249" t="str">
        <f t="shared" si="48"/>
        <v>MK|BR_CH|PSD_DT|CROSS_PB|FCBK_FM|CAR_RT|CPM_PD|CidadesdoFuturo_TG|NON_ST|NON_TS|NONE_SZ|1X1_AD|CM1_IT|SOC_U1|MARABA_U2|AzulEscuro</v>
      </c>
      <c r="D249" t="str">
        <f t="shared" si="49"/>
        <v>256229081</v>
      </c>
      <c r="E249" t="str">
        <f t="shared" si="50"/>
        <v>Dynamic Click</v>
      </c>
      <c r="F249" t="str">
        <f t="shared" si="51"/>
        <v>MK|BR_CH|PSD_DT|CROSS_PB|FCBK_FM|CAR_RT|CPM_PD|CidadesdoFuturo_TG|NON_ST|NON_TS|NONE_SZ|1X1_AD|CM1_IT|SOC_U1|MARABA_U2|AzulEscuro</v>
      </c>
      <c r="G249" t="str">
        <f t="shared" si="52"/>
        <v>452412665</v>
      </c>
      <c r="H249" t="str">
        <f t="shared" si="53"/>
        <v>Tracking</v>
      </c>
      <c r="I249">
        <f t="shared" si="54"/>
        <v>0</v>
      </c>
      <c r="J249">
        <f t="shared" si="55"/>
        <v>1</v>
      </c>
      <c r="K249" s="4">
        <f t="shared" si="58"/>
        <v>3.5000000000000001E-3</v>
      </c>
      <c r="L249">
        <f t="shared" si="59"/>
        <v>0.02</v>
      </c>
      <c r="M249" s="4">
        <f t="shared" si="56"/>
        <v>3.5000000000000001E-3</v>
      </c>
      <c r="N249" s="4">
        <f t="shared" si="57"/>
        <v>0.02</v>
      </c>
    </row>
    <row r="250" spans="1:14">
      <c r="A250" t="str">
        <f t="shared" si="46"/>
        <v>MK|BR_CN|CIDADESDOFUTURO_MN|NONE_YQ|19Q4_CP|5020004441_SP|N/A_AC|CMKT_OB|AWA</v>
      </c>
      <c r="B250" t="str">
        <f t="shared" si="47"/>
        <v>Facebook</v>
      </c>
      <c r="C250" t="str">
        <f t="shared" si="48"/>
        <v>MK|BR_CH|PSD_DT|CROSS_PB|FCBK_FM|CAR_RT|CPM_PD|CidadesdoFuturo_TG|NON_ST|NON_TS|NONE_SZ|1X1_AD|CM1_IT|SOC_U1|MARINGA_U2|AzulEscuro</v>
      </c>
      <c r="D250" t="str">
        <f t="shared" si="49"/>
        <v>256229096</v>
      </c>
      <c r="E250" t="str">
        <f t="shared" si="50"/>
        <v>Dynamic Click</v>
      </c>
      <c r="F250" t="str">
        <f t="shared" si="51"/>
        <v>MK|BR_CH|PSD_DT|CROSS_PB|FCBK_FM|CAR_RT|CPM_PD|CidadesdoFuturo_TG|NON_ST|NON_TS|NONE_SZ|1X1_AD|CM1_IT|SOC_U1|MARINGA_U2|AzulEscuro</v>
      </c>
      <c r="G250" t="str">
        <f t="shared" si="52"/>
        <v>452412653</v>
      </c>
      <c r="H250" t="str">
        <f t="shared" si="53"/>
        <v>Tracking</v>
      </c>
      <c r="I250">
        <f t="shared" si="54"/>
        <v>0</v>
      </c>
      <c r="J250">
        <f t="shared" si="55"/>
        <v>1</v>
      </c>
      <c r="K250" s="4">
        <f t="shared" si="58"/>
        <v>3.5000000000000001E-3</v>
      </c>
      <c r="L250">
        <f t="shared" si="59"/>
        <v>0.02</v>
      </c>
      <c r="M250" s="4">
        <f t="shared" si="56"/>
        <v>3.5000000000000001E-3</v>
      </c>
      <c r="N250" s="4">
        <f t="shared" si="57"/>
        <v>0.02</v>
      </c>
    </row>
    <row r="251" spans="1:14">
      <c r="A251" t="str">
        <f t="shared" si="46"/>
        <v>MK|BR_CN|CIDADESDOFUTURO_MN|NONE_YQ|19Q4_CP|5020004441_SP|N/A_AC|CMKT_OB|AWA</v>
      </c>
      <c r="B251" t="str">
        <f t="shared" si="47"/>
        <v>Facebook</v>
      </c>
      <c r="C251" t="str">
        <f t="shared" si="48"/>
        <v>MK|BR_CH|PSD_DT|CROSS_PB|FCBK_FM|CAR_RT|CPM_PD|CidadesdoFuturo_TG|NON_ST|NON_TS|NONE_SZ|1X1_AD|CM1_IT|SOC_U1|MOGIGUAÇU_U2|AzulEscuro</v>
      </c>
      <c r="D251" t="str">
        <f t="shared" si="49"/>
        <v>255476431</v>
      </c>
      <c r="E251" t="str">
        <f t="shared" si="50"/>
        <v>Dynamic Click</v>
      </c>
      <c r="F251" t="str">
        <f t="shared" si="51"/>
        <v>MK|BR_CH|PSD_DT|CROSS_PB|FCBK_FM|CAR_RT|CPM_PD|CidadesdoFuturo_TG|NON_ST|NON_TS|NONE_SZ|1X1_AD|CM1_IT|SOC_U1|MOGIGUAÇU_U2|AzulEscuro</v>
      </c>
      <c r="G251" t="str">
        <f t="shared" si="52"/>
        <v>451493242</v>
      </c>
      <c r="H251" t="str">
        <f t="shared" si="53"/>
        <v>Tracking</v>
      </c>
      <c r="I251">
        <f t="shared" si="54"/>
        <v>0</v>
      </c>
      <c r="J251">
        <f t="shared" si="55"/>
        <v>43</v>
      </c>
      <c r="K251" s="4">
        <f t="shared" si="58"/>
        <v>3.5000000000000001E-3</v>
      </c>
      <c r="L251">
        <f t="shared" si="59"/>
        <v>0.02</v>
      </c>
      <c r="M251" s="4">
        <f t="shared" si="56"/>
        <v>0.15049999999999999</v>
      </c>
      <c r="N251" s="4">
        <f t="shared" si="57"/>
        <v>0.86</v>
      </c>
    </row>
    <row r="252" spans="1:14">
      <c r="A252" t="str">
        <f t="shared" si="46"/>
        <v>MK|BR_CN|CIDADESDOFUTURO_MN|NONE_YQ|19Q4_CP|5020004441_SP|N/A_AC|CMKT_OB|AWA</v>
      </c>
      <c r="B252" t="str">
        <f t="shared" si="47"/>
        <v>Facebook</v>
      </c>
      <c r="C252" t="str">
        <f t="shared" si="48"/>
        <v>MK|BR_CH|PSD_DT|CROSS_PB|FCBK_FM|CAR_RT|CPM_PD|CidadesdoFuturo_TG|NON_ST|NON_TS|NONE_SZ|1X1_AD|CM1_IT|SOC_U1|MOGIGUAÇU_U2|AzulEscuro</v>
      </c>
      <c r="D252" t="str">
        <f t="shared" si="49"/>
        <v>256229108</v>
      </c>
      <c r="E252" t="str">
        <f t="shared" si="50"/>
        <v>Dynamic Click</v>
      </c>
      <c r="F252" t="str">
        <f t="shared" si="51"/>
        <v>MK|BR_CH|PSD_DT|CROSS_PB|FCBK_FM|CAR_RT|CPM_PD|CidadesdoFuturo_TG|NON_ST|NON_TS|NONE_SZ|1X1_AD|CM1_IT|SOC_U1|MOGIGUAÇU_U2|AzulEscuro</v>
      </c>
      <c r="G252" t="str">
        <f t="shared" si="52"/>
        <v>452412644</v>
      </c>
      <c r="H252" t="str">
        <f t="shared" si="53"/>
        <v>Tracking</v>
      </c>
      <c r="I252">
        <f t="shared" si="54"/>
        <v>0</v>
      </c>
      <c r="J252">
        <f t="shared" si="55"/>
        <v>1</v>
      </c>
      <c r="K252" s="4">
        <f t="shared" si="58"/>
        <v>3.5000000000000001E-3</v>
      </c>
      <c r="L252">
        <f t="shared" si="59"/>
        <v>0.02</v>
      </c>
      <c r="M252" s="4">
        <f t="shared" si="56"/>
        <v>3.5000000000000001E-3</v>
      </c>
      <c r="N252" s="4">
        <f t="shared" si="57"/>
        <v>0.02</v>
      </c>
    </row>
    <row r="253" spans="1:14">
      <c r="A253" t="str">
        <f t="shared" si="46"/>
        <v>MK|BR_CN|CIDADESDOFUTURO_MN|NONE_YQ|19Q4_CP|5020004441_SP|N/A_AC|CMKT_OB|AWA</v>
      </c>
      <c r="B253" t="str">
        <f t="shared" si="47"/>
        <v>Facebook</v>
      </c>
      <c r="C253" t="str">
        <f t="shared" si="48"/>
        <v>MK|BR_CH|PSD_DT|CROSS_PB|FCBK_FM|CAR_RT|CPM_PD|CidadesdoFuturo_TG|NON_ST|NON_TS|NONE_SZ|1X1_AD|CM1_IT|SOC_U1|MONTESCLAROS_U2|AzulEscuro</v>
      </c>
      <c r="D253" t="str">
        <f t="shared" si="49"/>
        <v>255476419</v>
      </c>
      <c r="E253" t="str">
        <f t="shared" si="50"/>
        <v>Dynamic Click</v>
      </c>
      <c r="F253" t="str">
        <f t="shared" si="51"/>
        <v>MK|BR_CH|PSD_DT|CROSS_PB|FCBK_FM|CAR_RT|CPM_PD|CidadesdoFuturo_TG|NON_ST|NON_TS|NONE_SZ|1X1_AD|CM1_IT|SOC_U1|MONTESCLAROS_U2|AzulEscuro</v>
      </c>
      <c r="G253" t="str">
        <f t="shared" si="52"/>
        <v>451493269</v>
      </c>
      <c r="H253" t="str">
        <f t="shared" si="53"/>
        <v>Tracking</v>
      </c>
      <c r="I253">
        <f t="shared" si="54"/>
        <v>0</v>
      </c>
      <c r="J253">
        <f t="shared" si="55"/>
        <v>102</v>
      </c>
      <c r="K253" s="4">
        <f t="shared" si="58"/>
        <v>3.5000000000000001E-3</v>
      </c>
      <c r="L253">
        <f t="shared" si="59"/>
        <v>0.02</v>
      </c>
      <c r="M253" s="4">
        <f t="shared" si="56"/>
        <v>0.35699999999999998</v>
      </c>
      <c r="N253" s="4">
        <f t="shared" si="57"/>
        <v>2.04</v>
      </c>
    </row>
    <row r="254" spans="1:14">
      <c r="A254" t="str">
        <f t="shared" si="46"/>
        <v>MK|BR_CN|CIDADESDOFUTURO_MN|NONE_YQ|19Q4_CP|5020004441_SP|N/A_AC|CMKT_OB|AWA</v>
      </c>
      <c r="B254" t="str">
        <f t="shared" si="47"/>
        <v>Facebook</v>
      </c>
      <c r="C254" t="str">
        <f t="shared" si="48"/>
        <v>MK|BR_CH|PSD_DT|CROSS_PB|FCBK_FM|CAR_RT|CPM_PD|CidadesdoFuturo_TG|NON_ST|NON_TS|NONE_SZ|1X1_AD|CM1_IT|SOC_U1|MOSSORO_U2|AzulEscuro</v>
      </c>
      <c r="D254" t="str">
        <f t="shared" si="49"/>
        <v>255476407</v>
      </c>
      <c r="E254" t="str">
        <f t="shared" si="50"/>
        <v>Dynamic Click</v>
      </c>
      <c r="F254" t="str">
        <f t="shared" si="51"/>
        <v>MK|BR_CH|PSD_DT|CROSS_PB|FCBK_FM|CAR_RT|CPM_PD|CidadesdoFuturo_TG|NON_ST|NON_TS|NONE_SZ|1X1_AD|CM1_IT|SOC_U1|MOSSORO_U2|AzulEscuro</v>
      </c>
      <c r="G254" t="str">
        <f t="shared" si="52"/>
        <v>451493293</v>
      </c>
      <c r="H254" t="str">
        <f t="shared" si="53"/>
        <v>Tracking</v>
      </c>
      <c r="I254">
        <f t="shared" si="54"/>
        <v>0</v>
      </c>
      <c r="J254">
        <f t="shared" si="55"/>
        <v>55</v>
      </c>
      <c r="K254" s="4">
        <f t="shared" si="58"/>
        <v>3.5000000000000001E-3</v>
      </c>
      <c r="L254">
        <f t="shared" si="59"/>
        <v>0.02</v>
      </c>
      <c r="M254" s="4">
        <f t="shared" si="56"/>
        <v>0.1925</v>
      </c>
      <c r="N254" s="4">
        <f t="shared" si="57"/>
        <v>1.1000000000000001</v>
      </c>
    </row>
    <row r="255" spans="1:14">
      <c r="A255" t="str">
        <f t="shared" si="46"/>
        <v>MK|BR_CN|CIDADESDOFUTURO_MN|NONE_YQ|19Q4_CP|5020004441_SP|N/A_AC|CMKT_OB|AWA</v>
      </c>
      <c r="B255" t="str">
        <f t="shared" si="47"/>
        <v>Facebook</v>
      </c>
      <c r="C255" t="str">
        <f t="shared" si="48"/>
        <v>MK|BR_CH|PSD_DT|CROSS_PB|FCBK_FM|CAR_RT|CPM_PD|CidadesdoFuturo_TG|NON_ST|NON_TS|NONE_SZ|1X1_AD|CM1_IT|SOC_U1|NOVAFRIBURGO_U2|AzulEscuro</v>
      </c>
      <c r="D255" t="str">
        <f t="shared" si="49"/>
        <v>255476395</v>
      </c>
      <c r="E255" t="str">
        <f t="shared" si="50"/>
        <v>Dynamic Click</v>
      </c>
      <c r="F255" t="str">
        <f t="shared" si="51"/>
        <v>MK|BR_CH|PSD_DT|CROSS_PB|FCBK_FM|CAR_RT|CPM_PD|CidadesdoFuturo_TG|NON_ST|NON_TS|NONE_SZ|1X1_AD|CM1_IT|SOC_U1|NOVAFRIBURGO_U2|AzulEscuro</v>
      </c>
      <c r="G255" t="str">
        <f t="shared" si="52"/>
        <v>451493320</v>
      </c>
      <c r="H255" t="str">
        <f t="shared" si="53"/>
        <v>Tracking</v>
      </c>
      <c r="I255">
        <f t="shared" si="54"/>
        <v>0</v>
      </c>
      <c r="J255">
        <f t="shared" si="55"/>
        <v>60</v>
      </c>
      <c r="K255" s="4">
        <f t="shared" si="58"/>
        <v>3.5000000000000001E-3</v>
      </c>
      <c r="L255">
        <f t="shared" si="59"/>
        <v>0.02</v>
      </c>
      <c r="M255" s="4">
        <f t="shared" si="56"/>
        <v>0.21</v>
      </c>
      <c r="N255" s="4">
        <f t="shared" si="57"/>
        <v>1.2</v>
      </c>
    </row>
    <row r="256" spans="1:14">
      <c r="A256" t="str">
        <f t="shared" si="46"/>
        <v>MK|BR_CN|CIDADESDOFUTURO_MN|NONE_YQ|19Q4_CP|5020004441_SP|N/A_AC|CMKT_OB|AWA</v>
      </c>
      <c r="B256" t="str">
        <f t="shared" si="47"/>
        <v>Facebook</v>
      </c>
      <c r="C256" t="str">
        <f t="shared" si="48"/>
        <v>MK|BR_CH|PSD_DT|CROSS_PB|FCBK_FM|CAR_RT|CPM_PD|CidadesdoFuturo_TG|NON_ST|NON_TS|NONE_SZ|1X1_AD|CM1_IT|SOC_U1|NOVAFRIBURGO_U2|AzulEscuro</v>
      </c>
      <c r="D256" t="str">
        <f t="shared" si="49"/>
        <v>256229111</v>
      </c>
      <c r="E256" t="str">
        <f t="shared" si="50"/>
        <v>Dynamic Click</v>
      </c>
      <c r="F256" t="str">
        <f t="shared" si="51"/>
        <v>MK|BR_CH|PSD_DT|CROSS_PB|FCBK_FM|CAR_RT|CPM_PD|CidadesdoFuturo_TG|NON_ST|NON_TS|NONE_SZ|1X1_AD|CM1_IT|SOC_U1|NOVAFRIBURGO_U2|AzulEscuro</v>
      </c>
      <c r="G256" t="str">
        <f t="shared" si="52"/>
        <v>452412641</v>
      </c>
      <c r="H256" t="str">
        <f t="shared" si="53"/>
        <v>Tracking</v>
      </c>
      <c r="I256">
        <f t="shared" si="54"/>
        <v>0</v>
      </c>
      <c r="J256">
        <f t="shared" si="55"/>
        <v>1</v>
      </c>
      <c r="K256" s="4">
        <f t="shared" si="58"/>
        <v>3.5000000000000001E-3</v>
      </c>
      <c r="L256">
        <f t="shared" si="59"/>
        <v>0.02</v>
      </c>
      <c r="M256" s="4">
        <f t="shared" si="56"/>
        <v>3.5000000000000001E-3</v>
      </c>
      <c r="N256" s="4">
        <f t="shared" si="57"/>
        <v>0.02</v>
      </c>
    </row>
    <row r="257" spans="1:14">
      <c r="A257" t="str">
        <f t="shared" si="46"/>
        <v>MK|BR_CN|CIDADESDOFUTURO_MN|NONE_YQ|19Q4_CP|5020004441_SP|N/A_AC|CMKT_OB|AWA</v>
      </c>
      <c r="B257" t="str">
        <f t="shared" si="47"/>
        <v>Facebook</v>
      </c>
      <c r="C257" t="str">
        <f t="shared" si="48"/>
        <v>MK|BR_CH|PSD_DT|CROSS_PB|FCBK_FM|CAR_RT|CPM_PD|CidadesdoFuturo_TG|NON_ST|NON_TS|NONE_SZ|1X1_AD|CM1_IT|SOC_U1|NOVAFRIBURGO_U2|AzulEscuro</v>
      </c>
      <c r="D257" t="str">
        <f t="shared" si="49"/>
        <v>256520329</v>
      </c>
      <c r="E257" t="str">
        <f t="shared" si="50"/>
        <v>Dynamic Click</v>
      </c>
      <c r="F257" t="str">
        <f t="shared" si="51"/>
        <v>MK|BR_CH|PSD_DT|CROSS_PB|FCBK_FM|CAR_RT|CPM_PD|CidadesdoFuturo_TG|NON_ST|NON_TS|NONE_SZ|1X1_AD|CM1_IT|SOC_U1|NOVAFRIBURGO_U2|AzulEscuro</v>
      </c>
      <c r="G257" t="str">
        <f t="shared" si="52"/>
        <v>452412626</v>
      </c>
      <c r="H257" t="str">
        <f t="shared" si="53"/>
        <v>Tracking</v>
      </c>
      <c r="I257">
        <f t="shared" si="54"/>
        <v>0</v>
      </c>
      <c r="J257">
        <f t="shared" si="55"/>
        <v>1</v>
      </c>
      <c r="K257" s="4">
        <f t="shared" si="58"/>
        <v>3.5000000000000001E-3</v>
      </c>
      <c r="L257">
        <f t="shared" si="59"/>
        <v>0.02</v>
      </c>
      <c r="M257" s="4">
        <f t="shared" si="56"/>
        <v>3.5000000000000001E-3</v>
      </c>
      <c r="N257" s="4">
        <f t="shared" si="57"/>
        <v>0.02</v>
      </c>
    </row>
    <row r="258" spans="1:14">
      <c r="A258" t="str">
        <f t="shared" ref="A258:A321" si="60">bd_campaign</f>
        <v>MK|BR_CN|CIDADESDOFUTURO_MN|NONE_YQ|19Q4_CP|5020004441_SP|N/A_AC|CMKT_OB|AWA</v>
      </c>
      <c r="B258" t="str">
        <f t="shared" ref="B258:B321" si="61">bd_site</f>
        <v>Facebook</v>
      </c>
      <c r="C258" t="str">
        <f t="shared" ref="C258:C321" si="62">bd_placement</f>
        <v>MK|BR_CH|PSD_DT|CROSS_PB|FCBK_FM|CAR_RT|CPM_PD|CidadesdoFuturo_TG|NON_ST|NON_TS|NONE_SZ|1X1_AD|CM1_IT|SOC_U1|PARANAGUA_U2|AzulEscuro</v>
      </c>
      <c r="D258" t="str">
        <f t="shared" ref="D258:D321" si="63">bd_placementID</f>
        <v>255476383</v>
      </c>
      <c r="E258" t="str">
        <f t="shared" ref="E258:E321" si="64">VLOOKUP(CONCATENATE(bd_adtype,"_",bd_creativetype),tabela,2,FALSE)</f>
        <v>Dynamic Click</v>
      </c>
      <c r="F258" t="str">
        <f t="shared" ref="F258:F321" si="65">bd_ad</f>
        <v>MK|BR_CH|PSD_DT|CROSS_PB|FCBK_FM|CAR_RT|CPM_PD|CidadesdoFuturo_TG|NON_ST|NON_TS|NONE_SZ|1X1_AD|CM1_IT|SOC_U1|PARANAGUA_U2|AzulEscuro</v>
      </c>
      <c r="G258" t="str">
        <f t="shared" ref="G258:G321" si="66">bd_adid</f>
        <v>451493347</v>
      </c>
      <c r="H258" t="str">
        <f t="shared" ref="H258:H321" si="67">bd_creativetype</f>
        <v>Tracking</v>
      </c>
      <c r="I258">
        <f t="shared" ref="I258:I321" si="68">bd_impression</f>
        <v>0</v>
      </c>
      <c r="J258">
        <f t="shared" ref="J258:J321" si="69">bd_clicks</f>
        <v>45</v>
      </c>
      <c r="K258" s="4">
        <f t="shared" si="58"/>
        <v>3.5000000000000001E-3</v>
      </c>
      <c r="L258">
        <f t="shared" si="59"/>
        <v>0.02</v>
      </c>
      <c r="M258" s="4">
        <f t="shared" si="56"/>
        <v>0.1575</v>
      </c>
      <c r="N258" s="4">
        <f t="shared" si="57"/>
        <v>0.9</v>
      </c>
    </row>
    <row r="259" spans="1:14">
      <c r="A259" t="str">
        <f t="shared" si="60"/>
        <v>MK|BR_CN|CIDADESDOFUTURO_MN|NONE_YQ|19Q4_CP|5020004441_SP|N/A_AC|CMKT_OB|AWA</v>
      </c>
      <c r="B259" t="str">
        <f t="shared" si="61"/>
        <v>Facebook</v>
      </c>
      <c r="C259" t="str">
        <f t="shared" si="62"/>
        <v>MK|BR_CH|PSD_DT|CROSS_PB|FCBK_FM|CAR_RT|CPM_PD|CidadesdoFuturo_TG|NON_ST|NON_TS|NONE_SZ|1X1_AD|CM1_IT|SOC_U1|PARANAGUA_U2|AzulEscuro</v>
      </c>
      <c r="D259" t="str">
        <f t="shared" si="63"/>
        <v>256520335</v>
      </c>
      <c r="E259" t="str">
        <f t="shared" si="64"/>
        <v>Dynamic Click</v>
      </c>
      <c r="F259" t="str">
        <f t="shared" si="65"/>
        <v>MK|BR_CH|PSD_DT|CROSS_PB|FCBK_FM|CAR_RT|CPM_PD|CidadesdoFuturo_TG|NON_ST|NON_TS|NONE_SZ|1X1_AD|CM1_IT|SOC_U1|PARANAGUA_U2|AzulEscuro</v>
      </c>
      <c r="G259" t="str">
        <f t="shared" si="66"/>
        <v>452412620</v>
      </c>
      <c r="H259" t="str">
        <f t="shared" si="67"/>
        <v>Tracking</v>
      </c>
      <c r="I259">
        <f t="shared" si="68"/>
        <v>0</v>
      </c>
      <c r="J259">
        <f t="shared" si="69"/>
        <v>1</v>
      </c>
      <c r="K259" s="4">
        <f t="shared" si="58"/>
        <v>3.5000000000000001E-3</v>
      </c>
      <c r="L259">
        <f t="shared" si="59"/>
        <v>0.02</v>
      </c>
      <c r="M259" s="4">
        <f t="shared" si="56"/>
        <v>3.5000000000000001E-3</v>
      </c>
      <c r="N259" s="4">
        <f t="shared" si="57"/>
        <v>0.02</v>
      </c>
    </row>
    <row r="260" spans="1:14">
      <c r="A260" t="str">
        <f t="shared" si="60"/>
        <v>MK|BR_CN|CIDADESDOFUTURO_MN|NONE_YQ|19Q4_CP|5020004441_SP|N/A_AC|CMKT_OB|AWA</v>
      </c>
      <c r="B260" t="str">
        <f t="shared" si="61"/>
        <v>Facebook</v>
      </c>
      <c r="C260" t="str">
        <f t="shared" si="62"/>
        <v>MK|BR_CH|PSD_DT|CROSS_PB|FCBK_FM|CAR_RT|CPM_PD|CidadesdoFuturo_TG|NON_ST|NON_TS|NONE_SZ|1X1_AD|CM1_IT|SOC_U1|PARAUAPEBAS_U2|AzulEscuro</v>
      </c>
      <c r="D260" t="str">
        <f t="shared" si="63"/>
        <v>255476371</v>
      </c>
      <c r="E260" t="str">
        <f t="shared" si="64"/>
        <v>Dynamic Click</v>
      </c>
      <c r="F260" t="str">
        <f t="shared" si="65"/>
        <v>MK|BR_CH|PSD_DT|CROSS_PB|FCBK_FM|CAR_RT|CPM_PD|CidadesdoFuturo_TG|NON_ST|NON_TS|NONE_SZ|1X1_AD|CM1_IT|SOC_U1|PARAUAPEBAS_U2|AzulEscuro</v>
      </c>
      <c r="G260" t="str">
        <f t="shared" si="66"/>
        <v>451493371</v>
      </c>
      <c r="H260" t="str">
        <f t="shared" si="67"/>
        <v>Tracking</v>
      </c>
      <c r="I260">
        <f t="shared" si="68"/>
        <v>0</v>
      </c>
      <c r="J260">
        <f t="shared" si="69"/>
        <v>20</v>
      </c>
      <c r="K260" s="4">
        <f t="shared" si="58"/>
        <v>3.5000000000000001E-3</v>
      </c>
      <c r="L260">
        <f t="shared" si="59"/>
        <v>0.02</v>
      </c>
      <c r="M260" s="4">
        <f t="shared" si="56"/>
        <v>7.0000000000000007E-2</v>
      </c>
      <c r="N260" s="4">
        <f t="shared" si="57"/>
        <v>0.4</v>
      </c>
    </row>
    <row r="261" spans="1:14">
      <c r="A261" t="str">
        <f t="shared" si="60"/>
        <v>MK|BR_CN|CIDADESDOFUTURO_MN|NONE_YQ|19Q4_CP|5020004441_SP|N/A_AC|CMKT_OB|AWA</v>
      </c>
      <c r="B261" t="str">
        <f t="shared" si="61"/>
        <v>Facebook</v>
      </c>
      <c r="C261" t="str">
        <f t="shared" si="62"/>
        <v>MK|BR_CH|PSD_DT|CROSS_PB|FCBK_FM|CAR_RT|CPM_PD|CidadesdoFuturo_TG|NON_ST|NON_TS|NONE_SZ|1X1_AD|CM1_IT|SOC_U1|PARAUAPEBAS_U2|AzulEscuro</v>
      </c>
      <c r="D261" t="str">
        <f t="shared" si="63"/>
        <v>256520341</v>
      </c>
      <c r="E261" t="str">
        <f t="shared" si="64"/>
        <v>Dynamic Click</v>
      </c>
      <c r="F261" t="str">
        <f t="shared" si="65"/>
        <v>MK|BR_CH|PSD_DT|CROSS_PB|FCBK_FM|CAR_RT|CPM_PD|CidadesdoFuturo_TG|NON_ST|NON_TS|NONE_SZ|1X1_AD|CM1_IT|SOC_U1|PARAUAPEBAS_U2|AzulEscuro</v>
      </c>
      <c r="G261" t="str">
        <f t="shared" si="66"/>
        <v>452412617</v>
      </c>
      <c r="H261" t="str">
        <f t="shared" si="67"/>
        <v>Tracking</v>
      </c>
      <c r="I261">
        <f t="shared" si="68"/>
        <v>0</v>
      </c>
      <c r="J261">
        <f t="shared" si="69"/>
        <v>1</v>
      </c>
      <c r="K261" s="4">
        <f t="shared" si="58"/>
        <v>3.5000000000000001E-3</v>
      </c>
      <c r="L261">
        <f t="shared" si="59"/>
        <v>0.02</v>
      </c>
      <c r="M261" s="4">
        <f t="shared" si="56"/>
        <v>3.5000000000000001E-3</v>
      </c>
      <c r="N261" s="4">
        <f t="shared" si="57"/>
        <v>0.02</v>
      </c>
    </row>
    <row r="262" spans="1:14">
      <c r="A262" t="str">
        <f t="shared" si="60"/>
        <v>MK|BR_CN|CIDADESDOFUTURO_MN|NONE_YQ|19Q4_CP|5020004441_SP|N/A_AC|CMKT_OB|AWA</v>
      </c>
      <c r="B262" t="str">
        <f t="shared" si="61"/>
        <v>Facebook</v>
      </c>
      <c r="C262" t="str">
        <f t="shared" si="62"/>
        <v>MK|BR_CH|PSD_DT|CROSS_PB|FCBK_FM|CAR_RT|CPM_PD|CidadesdoFuturo_TG|NON_ST|NON_TS|NONE_SZ|1X1_AD|CM1_IT|SOC_U1|PATOSDEMINAS_U2|AzulEscuro</v>
      </c>
      <c r="D262" t="str">
        <f t="shared" si="63"/>
        <v>256520350</v>
      </c>
      <c r="E262" t="str">
        <f t="shared" si="64"/>
        <v>Dynamic Click</v>
      </c>
      <c r="F262" t="str">
        <f t="shared" si="65"/>
        <v>MK|BR_CH|PSD_DT|CROSS_PB|FCBK_FM|CAR_RT|CPM_PD|CidadesdoFuturo_TG|NON_ST|NON_TS|NONE_SZ|1X1_AD|CM1_IT|SOC_U1|PATOSDEMINAS_U2|AzulEscuro</v>
      </c>
      <c r="G262" t="str">
        <f t="shared" si="66"/>
        <v>452412608</v>
      </c>
      <c r="H262" t="str">
        <f t="shared" si="67"/>
        <v>Tracking</v>
      </c>
      <c r="I262">
        <f t="shared" si="68"/>
        <v>0</v>
      </c>
      <c r="J262">
        <f t="shared" si="69"/>
        <v>1</v>
      </c>
      <c r="K262" s="4">
        <f t="shared" si="58"/>
        <v>3.5000000000000001E-3</v>
      </c>
      <c r="L262">
        <f t="shared" si="59"/>
        <v>0.02</v>
      </c>
      <c r="M262" s="4">
        <f t="shared" si="56"/>
        <v>3.5000000000000001E-3</v>
      </c>
      <c r="N262" s="4">
        <f t="shared" si="57"/>
        <v>0.02</v>
      </c>
    </row>
    <row r="263" spans="1:14">
      <c r="A263" t="str">
        <f t="shared" si="60"/>
        <v>MK|BR_CN|CIDADESDOFUTURO_MN|NONE_YQ|19Q4_CP|5020004441_SP|N/A_AC|CMKT_OB|AWA</v>
      </c>
      <c r="B263" t="str">
        <f t="shared" si="61"/>
        <v>Facebook</v>
      </c>
      <c r="C263" t="str">
        <f t="shared" si="62"/>
        <v>MK|BR_CH|PSD_DT|CROSS_PB|FCBK_FM|CAR_RT|CPM_PD|CidadesdoFuturo_TG|NON_ST|NON_TS|NONE_SZ|1X1_AD|CM1_IT|SOC_U1|PELOTAS_U2|AzulEscuro</v>
      </c>
      <c r="D263" t="str">
        <f t="shared" si="63"/>
        <v>256520359</v>
      </c>
      <c r="E263" t="str">
        <f t="shared" si="64"/>
        <v>Dynamic Click</v>
      </c>
      <c r="F263" t="str">
        <f t="shared" si="65"/>
        <v>MK|BR_CH|PSD_DT|CROSS_PB|FCBK_FM|CAR_RT|CPM_PD|CidadesdoFuturo_TG|NON_ST|NON_TS|NONE_SZ|1X1_AD|CM1_IT|SOC_U1|PELOTAS_U2|AzulEscuro</v>
      </c>
      <c r="G263" t="str">
        <f t="shared" si="66"/>
        <v>452412602</v>
      </c>
      <c r="H263" t="str">
        <f t="shared" si="67"/>
        <v>Tracking</v>
      </c>
      <c r="I263">
        <f t="shared" si="68"/>
        <v>0</v>
      </c>
      <c r="J263">
        <f t="shared" si="69"/>
        <v>1</v>
      </c>
      <c r="K263" s="4">
        <f t="shared" si="58"/>
        <v>3.5000000000000001E-3</v>
      </c>
      <c r="L263">
        <f t="shared" si="59"/>
        <v>0.02</v>
      </c>
      <c r="M263" s="4">
        <f t="shared" si="56"/>
        <v>3.5000000000000001E-3</v>
      </c>
      <c r="N263" s="4">
        <f t="shared" si="57"/>
        <v>0.02</v>
      </c>
    </row>
    <row r="264" spans="1:14">
      <c r="A264" t="str">
        <f t="shared" si="60"/>
        <v>MK|BR_CN|CIDADESDOFUTURO_MN|NONE_YQ|19Q4_CP|5020004441_SP|N/A_AC|CMKT_OB|AWA</v>
      </c>
      <c r="B264" t="str">
        <f t="shared" si="61"/>
        <v>Facebook</v>
      </c>
      <c r="C264" t="str">
        <f t="shared" si="62"/>
        <v>MK|BR_CH|PSD_DT|CROSS_PB|FCBK_FM|CAR_RT|CPM_PD|CidadesdoFuturo_TG|NON_ST|NON_TS|NONE_SZ|1X1_AD|CM1_IT|SOC_U1|PETROLINA_U2|AzulEscuro</v>
      </c>
      <c r="D264" t="str">
        <f t="shared" si="63"/>
        <v>255476335</v>
      </c>
      <c r="E264" t="str">
        <f t="shared" si="64"/>
        <v>Dynamic Click</v>
      </c>
      <c r="F264" t="str">
        <f t="shared" si="65"/>
        <v>MK|BR_CH|PSD_DT|CROSS_PB|FCBK_FM|CAR_RT|CPM_PD|CidadesdoFuturo_TG|NON_ST|NON_TS|NONE_SZ|1X1_AD|CM1_IT|SOC_U1|PETROLINA_U2|AzulEscuro</v>
      </c>
      <c r="G264" t="str">
        <f t="shared" si="66"/>
        <v>451397181</v>
      </c>
      <c r="H264" t="str">
        <f t="shared" si="67"/>
        <v>Tracking</v>
      </c>
      <c r="I264">
        <f t="shared" si="68"/>
        <v>0</v>
      </c>
      <c r="J264">
        <f t="shared" si="69"/>
        <v>109</v>
      </c>
      <c r="K264" s="4">
        <f t="shared" si="58"/>
        <v>3.5000000000000001E-3</v>
      </c>
      <c r="L264">
        <f t="shared" si="59"/>
        <v>0.02</v>
      </c>
      <c r="M264" s="4">
        <f t="shared" si="56"/>
        <v>0.38150000000000001</v>
      </c>
      <c r="N264" s="4">
        <f t="shared" si="57"/>
        <v>2.1800000000000002</v>
      </c>
    </row>
    <row r="265" spans="1:14">
      <c r="A265" t="str">
        <f t="shared" si="60"/>
        <v>MK|BR_CN|CIDADESDOFUTURO_MN|NONE_YQ|19Q4_CP|5020004441_SP|N/A_AC|CMKT_OB|AWA</v>
      </c>
      <c r="B265" t="str">
        <f t="shared" si="61"/>
        <v>Facebook</v>
      </c>
      <c r="C265" t="str">
        <f t="shared" si="62"/>
        <v>MK|BR_CH|PSD_DT|CROSS_PB|FCBK_FM|CAR_RT|CPM_PD|CidadesdoFuturo_TG|NON_ST|NON_TS|NONE_SZ|1X1_AD|CM1_IT|SOC_U1|PETROLINA_U2|AzulEscuro</v>
      </c>
      <c r="D265" t="str">
        <f t="shared" si="63"/>
        <v>256520371</v>
      </c>
      <c r="E265" t="str">
        <f t="shared" si="64"/>
        <v>Dynamic Click</v>
      </c>
      <c r="F265" t="str">
        <f t="shared" si="65"/>
        <v>MK|BR_CH|PSD_DT|CROSS_PB|FCBK_FM|CAR_RT|CPM_PD|CidadesdoFuturo_TG|NON_ST|NON_TS|NONE_SZ|1X1_AD|CM1_IT|SOC_U1|PETROLINA_U2|AzulEscuro</v>
      </c>
      <c r="G265" t="str">
        <f t="shared" si="66"/>
        <v>452412590</v>
      </c>
      <c r="H265" t="str">
        <f t="shared" si="67"/>
        <v>Tracking</v>
      </c>
      <c r="I265">
        <f t="shared" si="68"/>
        <v>0</v>
      </c>
      <c r="J265">
        <f t="shared" si="69"/>
        <v>1</v>
      </c>
      <c r="K265" s="4">
        <f t="shared" si="58"/>
        <v>3.5000000000000001E-3</v>
      </c>
      <c r="L265">
        <f t="shared" si="59"/>
        <v>0.02</v>
      </c>
      <c r="M265" s="4">
        <f t="shared" si="56"/>
        <v>3.5000000000000001E-3</v>
      </c>
      <c r="N265" s="4">
        <f t="shared" si="57"/>
        <v>0.02</v>
      </c>
    </row>
    <row r="266" spans="1:14">
      <c r="A266" t="str">
        <f t="shared" si="60"/>
        <v>MK|BR_CN|CIDADESDOFUTURO_MN|NONE_YQ|19Q4_CP|5020004441_SP|N/A_AC|CMKT_OB|AWA</v>
      </c>
      <c r="B266" t="str">
        <f t="shared" si="61"/>
        <v>Facebook</v>
      </c>
      <c r="C266" t="str">
        <f t="shared" si="62"/>
        <v>MK|BR_CH|PSD_DT|CROSS_PB|FCBK_FM|CAR_RT|CPM_PD|CidadesdoFuturo_TG|NON_ST|NON_TS|NONE_SZ|1X1_AD|CM1_IT|SOC_U1|PETROLINA_U2|AzulEscuro</v>
      </c>
      <c r="D266" t="str">
        <f t="shared" si="63"/>
        <v>256520383</v>
      </c>
      <c r="E266" t="str">
        <f t="shared" si="64"/>
        <v>Dynamic Click</v>
      </c>
      <c r="F266" t="str">
        <f t="shared" si="65"/>
        <v>MK|BR_CH|PSD_DT|CROSS_PB|FCBK_FM|CAR_RT|CPM_PD|CidadesdoFuturo_TG|NON_ST|NON_TS|NONE_SZ|1X1_AD|CM1_IT|SOC_U1|PETROLINA_U2|AzulEscuro</v>
      </c>
      <c r="G266" t="str">
        <f t="shared" si="66"/>
        <v>452412581</v>
      </c>
      <c r="H266" t="str">
        <f t="shared" si="67"/>
        <v>Tracking</v>
      </c>
      <c r="I266">
        <f t="shared" si="68"/>
        <v>0</v>
      </c>
      <c r="J266">
        <f t="shared" si="69"/>
        <v>1</v>
      </c>
      <c r="K266" s="4">
        <f t="shared" si="58"/>
        <v>3.5000000000000001E-3</v>
      </c>
      <c r="L266">
        <f t="shared" si="59"/>
        <v>0.02</v>
      </c>
      <c r="M266" s="4">
        <f t="shared" si="56"/>
        <v>3.5000000000000001E-3</v>
      </c>
      <c r="N266" s="4">
        <f t="shared" si="57"/>
        <v>0.02</v>
      </c>
    </row>
    <row r="267" spans="1:14">
      <c r="A267" t="str">
        <f t="shared" si="60"/>
        <v>MK|BR_CN|CIDADESDOFUTURO_MN|NONE_YQ|19Q4_CP|5020004441_SP|N/A_AC|CMKT_OB|AWA</v>
      </c>
      <c r="B267" t="str">
        <f t="shared" si="61"/>
        <v>Facebook</v>
      </c>
      <c r="C267" t="str">
        <f t="shared" si="62"/>
        <v>MK|BR_CH|PSD_DT|CROSS_PB|FCBK_FM|CAR_RT|CPM_PD|CidadesdoFuturo_TG|NON_ST|NON_TS|NONE_SZ|1X1_AD|CM1_IT|SOC_U1|PETROPOLIS_U2|AzulEscuro</v>
      </c>
      <c r="D267" t="str">
        <f t="shared" si="63"/>
        <v>256520389</v>
      </c>
      <c r="E267" t="str">
        <f t="shared" si="64"/>
        <v>Dynamic Click</v>
      </c>
      <c r="F267" t="str">
        <f t="shared" si="65"/>
        <v>MK|BR_CH|PSD_DT|CROSS_PB|FCBK_FM|CAR_RT|CPM_PD|CidadesdoFuturo_TG|NON_ST|NON_TS|NONE_SZ|1X1_AD|CM1_IT|SOC_U1|PETROPOLIS_U2|AzulEscuro</v>
      </c>
      <c r="G267" t="str">
        <f t="shared" si="66"/>
        <v>452412575</v>
      </c>
      <c r="H267" t="str">
        <f t="shared" si="67"/>
        <v>Tracking</v>
      </c>
      <c r="I267">
        <f t="shared" si="68"/>
        <v>0</v>
      </c>
      <c r="J267">
        <f t="shared" si="69"/>
        <v>1</v>
      </c>
      <c r="K267" s="4">
        <f t="shared" si="58"/>
        <v>3.5000000000000001E-3</v>
      </c>
      <c r="L267">
        <f t="shared" si="59"/>
        <v>0.02</v>
      </c>
      <c r="M267" s="4">
        <f t="shared" si="56"/>
        <v>3.5000000000000001E-3</v>
      </c>
      <c r="N267" s="4">
        <f t="shared" si="57"/>
        <v>0.02</v>
      </c>
    </row>
    <row r="268" spans="1:14">
      <c r="A268" t="str">
        <f t="shared" si="60"/>
        <v>MK|BR_CN|CIDADESDOFUTURO_MN|NONE_YQ|19Q4_CP|5020004441_SP|N/A_AC|CMKT_OB|AWA</v>
      </c>
      <c r="B268" t="str">
        <f t="shared" si="61"/>
        <v>Facebook</v>
      </c>
      <c r="C268" t="str">
        <f t="shared" si="62"/>
        <v>MK|BR_CH|PSD_DT|CROSS_PB|FCBK_FM|CAR_RT|CPM_PD|CidadesdoFuturo_TG|NON_ST|NON_TS|NONE_SZ|1X1_AD|CM1_IT|SOC_U1|PETROPOLIS_U2|AzulEscuro</v>
      </c>
      <c r="D268" t="str">
        <f t="shared" si="63"/>
        <v>256520395</v>
      </c>
      <c r="E268" t="str">
        <f t="shared" si="64"/>
        <v>Dynamic Click</v>
      </c>
      <c r="F268" t="str">
        <f t="shared" si="65"/>
        <v>MK|BR_CH|PSD_DT|CROSS_PB|FCBK_FM|CAR_RT|CPM_PD|CidadesdoFuturo_TG|NON_ST|NON_TS|NONE_SZ|1X1_AD|CM1_IT|SOC_U1|PETROPOLIS_U2|AzulEscuro</v>
      </c>
      <c r="G268" t="str">
        <f t="shared" si="66"/>
        <v>452412572</v>
      </c>
      <c r="H268" t="str">
        <f t="shared" si="67"/>
        <v>Tracking</v>
      </c>
      <c r="I268">
        <f t="shared" si="68"/>
        <v>0</v>
      </c>
      <c r="J268">
        <f t="shared" si="69"/>
        <v>2</v>
      </c>
      <c r="K268" s="4">
        <f t="shared" si="58"/>
        <v>3.5000000000000001E-3</v>
      </c>
      <c r="L268">
        <f t="shared" si="59"/>
        <v>0.02</v>
      </c>
      <c r="M268" s="4">
        <f t="shared" si="56"/>
        <v>7.0000000000000001E-3</v>
      </c>
      <c r="N268" s="4">
        <f t="shared" si="57"/>
        <v>0.04</v>
      </c>
    </row>
    <row r="269" spans="1:14">
      <c r="A269" t="str">
        <f t="shared" si="60"/>
        <v>MK|BR_CN|CIDADESDOFUTURO_MN|NONE_YQ|19Q4_CP|5020004441_SP|N/A_AC|CMKT_OB|AWA</v>
      </c>
      <c r="B269" t="str">
        <f t="shared" si="61"/>
        <v>Facebook</v>
      </c>
      <c r="C269" t="str">
        <f t="shared" si="62"/>
        <v>MK|BR_CH|PSD_DT|CROSS_PB|FCBK_FM|CAR_RT|CPM_PD|CidadesdoFuturo_TG|NON_ST|NON_TS|NONE_SZ|1X1_AD|CM1_IT|SOC_U1|PETROPOLIS_U2|AzulEscuro</v>
      </c>
      <c r="D269" t="str">
        <f t="shared" si="63"/>
        <v>256520401</v>
      </c>
      <c r="E269" t="str">
        <f t="shared" si="64"/>
        <v>Dynamic Click</v>
      </c>
      <c r="F269" t="str">
        <f t="shared" si="65"/>
        <v>MK|BR_CH|PSD_DT|CROSS_PB|FCBK_FM|CAR_RT|CPM_PD|CidadesdoFuturo_TG|NON_ST|NON_TS|NONE_SZ|1X1_AD|CM1_IT|SOC_U1|PETROPOLIS_U2|AzulEscuro</v>
      </c>
      <c r="G269" t="str">
        <f t="shared" si="66"/>
        <v>452412566</v>
      </c>
      <c r="H269" t="str">
        <f t="shared" si="67"/>
        <v>Tracking</v>
      </c>
      <c r="I269">
        <f t="shared" si="68"/>
        <v>0</v>
      </c>
      <c r="J269">
        <f t="shared" si="69"/>
        <v>2</v>
      </c>
      <c r="K269" s="4">
        <f t="shared" si="58"/>
        <v>3.5000000000000001E-3</v>
      </c>
      <c r="L269">
        <f t="shared" si="59"/>
        <v>0.02</v>
      </c>
      <c r="M269" s="4">
        <f t="shared" si="56"/>
        <v>7.0000000000000001E-3</v>
      </c>
      <c r="N269" s="4">
        <f t="shared" si="57"/>
        <v>0.04</v>
      </c>
    </row>
    <row r="270" spans="1:14">
      <c r="A270" t="str">
        <f t="shared" si="60"/>
        <v>MK|BR_CN|CIDADESDOFUTURO_MN|NONE_YQ|19Q4_CP|5020004441_SP|N/A_AC|CMKT_OB|AWA</v>
      </c>
      <c r="B270" t="str">
        <f t="shared" si="61"/>
        <v>Facebook</v>
      </c>
      <c r="C270" t="str">
        <f t="shared" si="62"/>
        <v>MK|BR_CH|PSD_DT|CROSS_PB|FCBK_FM|CAR_RT|CPM_PD|CidadesdoFuturo_TG|NON_ST|NON_TS|NONE_SZ|1X1_AD|CM1_IT|SOC_U1|POCOSDECALDAS_U2|AzulEscuro</v>
      </c>
      <c r="D270" t="str">
        <f t="shared" si="63"/>
        <v>256520404</v>
      </c>
      <c r="E270" t="str">
        <f t="shared" si="64"/>
        <v>Dynamic Click</v>
      </c>
      <c r="F270" t="str">
        <f t="shared" si="65"/>
        <v>MK|BR_CH|PSD_DT|CROSS_PB|FCBK_FM|CAR_RT|CPM_PD|CidadesdoFuturo_TG|NON_ST|NON_TS|NONE_SZ|1X1_AD|CM1_IT|SOC_U1|POCOSDECALDAS_U2|AzulEscuro</v>
      </c>
      <c r="G270" t="str">
        <f t="shared" si="66"/>
        <v>452412563</v>
      </c>
      <c r="H270" t="str">
        <f t="shared" si="67"/>
        <v>Tracking</v>
      </c>
      <c r="I270">
        <f t="shared" si="68"/>
        <v>0</v>
      </c>
      <c r="J270">
        <f t="shared" si="69"/>
        <v>1</v>
      </c>
      <c r="K270" s="4">
        <f t="shared" si="58"/>
        <v>3.5000000000000001E-3</v>
      </c>
      <c r="L270">
        <f t="shared" si="59"/>
        <v>0.02</v>
      </c>
      <c r="M270" s="4">
        <f t="shared" si="56"/>
        <v>3.5000000000000001E-3</v>
      </c>
      <c r="N270" s="4">
        <f t="shared" si="57"/>
        <v>0.02</v>
      </c>
    </row>
    <row r="271" spans="1:14">
      <c r="A271" t="str">
        <f t="shared" si="60"/>
        <v>MK|BR_CN|CIDADESDOFUTURO_MN|NONE_YQ|19Q4_CP|5020004441_SP|N/A_AC|CMKT_OB|AWA</v>
      </c>
      <c r="B271" t="str">
        <f t="shared" si="61"/>
        <v>Facebook</v>
      </c>
      <c r="C271" t="str">
        <f t="shared" si="62"/>
        <v>MK|BR_CH|PSD_DT|CROSS_PB|FCBK_FM|CAR_RT|CPM_PD|CidadesdoFuturo_TG|NON_ST|NON_TS|NONE_SZ|1X1_AD|CM1_IT|SOC_U1|RIOCLARO_U2|AzulEscuro</v>
      </c>
      <c r="D271" t="str">
        <f t="shared" si="63"/>
        <v>256520413</v>
      </c>
      <c r="E271" t="str">
        <f t="shared" si="64"/>
        <v>Dynamic Click</v>
      </c>
      <c r="F271" t="str">
        <f t="shared" si="65"/>
        <v>MK|BR_CH|PSD_DT|CROSS_PB|FCBK_FM|CAR_RT|CPM_PD|CidadesdoFuturo_TG|NON_ST|NON_TS|NONE_SZ|1X1_AD|CM1_IT|SOC_U1|RIOCLARO_U2|AzulEscuro</v>
      </c>
      <c r="G271" t="str">
        <f t="shared" si="66"/>
        <v>452412557</v>
      </c>
      <c r="H271" t="str">
        <f t="shared" si="67"/>
        <v>Tracking</v>
      </c>
      <c r="I271">
        <f t="shared" si="68"/>
        <v>0</v>
      </c>
      <c r="J271">
        <f t="shared" si="69"/>
        <v>1</v>
      </c>
      <c r="K271" s="4">
        <f t="shared" si="58"/>
        <v>3.5000000000000001E-3</v>
      </c>
      <c r="L271">
        <f t="shared" si="59"/>
        <v>0.02</v>
      </c>
      <c r="M271" s="4">
        <f t="shared" si="56"/>
        <v>3.5000000000000001E-3</v>
      </c>
      <c r="N271" s="4">
        <f t="shared" si="57"/>
        <v>0.02</v>
      </c>
    </row>
    <row r="272" spans="1:14">
      <c r="A272" t="str">
        <f t="shared" si="60"/>
        <v>MK|BR_CN|CIDADESDOFUTURO_MN|NONE_YQ|19Q4_CP|5020004441_SP|N/A_AC|CMKT_OB|AWA</v>
      </c>
      <c r="B272" t="str">
        <f t="shared" si="61"/>
        <v>Facebook</v>
      </c>
      <c r="C272" t="str">
        <f t="shared" si="62"/>
        <v>MK|BR_CH|PSD_DT|CROSS_PB|FCBK_FM|CAR_RT|CPM_PD|CidadesdoFuturo_TG|NON_ST|NON_TS|NONE_SZ|1X1_AD|CM1_IT|SOC_U1|RIOVERDE_U2|AzulEscuro</v>
      </c>
      <c r="D272" t="str">
        <f t="shared" si="63"/>
        <v>256520419</v>
      </c>
      <c r="E272" t="str">
        <f t="shared" si="64"/>
        <v>Dynamic Click</v>
      </c>
      <c r="F272" t="str">
        <f t="shared" si="65"/>
        <v>MK|BR_CH|PSD_DT|CROSS_PB|FCBK_FM|CAR_RT|CPM_PD|CidadesdoFuturo_TG|NON_ST|NON_TS|NONE_SZ|1X1_AD|CM1_IT|SOC_U1|RIOVERDE_U2|AzulEscuro</v>
      </c>
      <c r="G272" t="str">
        <f t="shared" si="66"/>
        <v>452412551</v>
      </c>
      <c r="H272" t="str">
        <f t="shared" si="67"/>
        <v>Tracking</v>
      </c>
      <c r="I272">
        <f t="shared" si="68"/>
        <v>0</v>
      </c>
      <c r="J272">
        <f t="shared" si="69"/>
        <v>1</v>
      </c>
      <c r="K272" s="4">
        <f t="shared" si="58"/>
        <v>3.5000000000000001E-3</v>
      </c>
      <c r="L272">
        <f t="shared" si="59"/>
        <v>0.02</v>
      </c>
      <c r="M272" s="4">
        <f t="shared" si="56"/>
        <v>3.5000000000000001E-3</v>
      </c>
      <c r="N272" s="4">
        <f t="shared" si="57"/>
        <v>0.02</v>
      </c>
    </row>
    <row r="273" spans="1:14">
      <c r="A273" t="str">
        <f t="shared" si="60"/>
        <v>MK|BR_CN|CIDADESDOFUTURO_MN|NONE_YQ|19Q4_CP|5020004441_SP|N/A_AC|CMKT_OB|AWA</v>
      </c>
      <c r="B273" t="str">
        <f t="shared" si="61"/>
        <v>Facebook</v>
      </c>
      <c r="C273" t="str">
        <f t="shared" si="62"/>
        <v>MK|BR_CH|PSD_DT|CROSS_PB|FCBK_FM|CAR_RT|CPM_PD|CidadesdoFuturo_TG|NON_ST|NON_TS|NONE_SZ|1X1_AD|CM1_IT|SOC_U1|RIOVERDE_U2|AzulEscuro</v>
      </c>
      <c r="D273" t="str">
        <f t="shared" si="63"/>
        <v>256520431</v>
      </c>
      <c r="E273" t="str">
        <f t="shared" si="64"/>
        <v>Dynamic Click</v>
      </c>
      <c r="F273" t="str">
        <f t="shared" si="65"/>
        <v>MK|BR_CH|PSD_DT|CROSS_PB|FCBK_FM|CAR_RT|CPM_PD|CidadesdoFuturo_TG|NON_ST|NON_TS|NONE_SZ|1X1_AD|CM1_IT|SOC_U1|RIOVERDE_U2|AzulEscuro</v>
      </c>
      <c r="G273" t="str">
        <f t="shared" si="66"/>
        <v>452412542</v>
      </c>
      <c r="H273" t="str">
        <f t="shared" si="67"/>
        <v>Tracking</v>
      </c>
      <c r="I273">
        <f t="shared" si="68"/>
        <v>0</v>
      </c>
      <c r="J273">
        <f t="shared" si="69"/>
        <v>1</v>
      </c>
      <c r="K273" s="4">
        <f t="shared" si="58"/>
        <v>3.5000000000000001E-3</v>
      </c>
      <c r="L273">
        <f t="shared" si="59"/>
        <v>0.02</v>
      </c>
      <c r="M273" s="4">
        <f t="shared" si="56"/>
        <v>3.5000000000000001E-3</v>
      </c>
      <c r="N273" s="4">
        <f t="shared" si="57"/>
        <v>0.02</v>
      </c>
    </row>
    <row r="274" spans="1:14">
      <c r="A274" t="str">
        <f t="shared" si="60"/>
        <v>MK|BR_CN|CIDADESDOFUTURO_MN|NONE_YQ|19Q4_CP|5020004441_SP|N/A_AC|CMKT_OB|AWA</v>
      </c>
      <c r="B274" t="str">
        <f t="shared" si="61"/>
        <v>Facebook</v>
      </c>
      <c r="C274" t="str">
        <f t="shared" si="62"/>
        <v>MK|BR_CH|PSD_DT|CROSS_PB|FCBK_FM|CAR_RT|CPM_PD|CidadesdoFuturo_TG|NON_ST|NON_TS|NONE_SZ|1X1_AD|CM1_IT|SOC_U1|RIOVERDE_U2|AzulEscuro</v>
      </c>
      <c r="D274" t="str">
        <f t="shared" si="63"/>
        <v>256520437</v>
      </c>
      <c r="E274" t="str">
        <f t="shared" si="64"/>
        <v>Dynamic Click</v>
      </c>
      <c r="F274" t="str">
        <f t="shared" si="65"/>
        <v>MK|BR_CH|PSD_DT|CROSS_PB|FCBK_FM|CAR_RT|CPM_PD|CidadesdoFuturo_TG|NON_ST|NON_TS|NONE_SZ|1X1_AD|CM1_IT|SOC_U1|RIOVERDE_U2|AzulEscuro</v>
      </c>
      <c r="G274" t="str">
        <f t="shared" si="66"/>
        <v>452412536</v>
      </c>
      <c r="H274" t="str">
        <f t="shared" si="67"/>
        <v>Tracking</v>
      </c>
      <c r="I274">
        <f t="shared" si="68"/>
        <v>0</v>
      </c>
      <c r="J274">
        <f t="shared" si="69"/>
        <v>2</v>
      </c>
      <c r="K274" s="4">
        <f t="shared" si="58"/>
        <v>3.5000000000000001E-3</v>
      </c>
      <c r="L274">
        <f t="shared" si="59"/>
        <v>0.02</v>
      </c>
      <c r="M274" s="4">
        <f t="shared" si="56"/>
        <v>7.0000000000000001E-3</v>
      </c>
      <c r="N274" s="4">
        <f t="shared" si="57"/>
        <v>0.04</v>
      </c>
    </row>
    <row r="275" spans="1:14">
      <c r="A275" t="str">
        <f t="shared" si="60"/>
        <v>MK|BR_CN|CIDADESDOFUTURO_MN|NONE_YQ|19Q4_CP|5020004441_SP|N/A_AC|CMKT_OB|AWA</v>
      </c>
      <c r="B275" t="str">
        <f t="shared" si="61"/>
        <v>Facebook</v>
      </c>
      <c r="C275" t="str">
        <f t="shared" si="62"/>
        <v>MK|BR_CH|PSD_DT|CROSS_PB|FCBK_FM|CAR_RT|CPM_PD|CidadesdoFuturo_TG|NON_ST|NON_TS|NONE_SZ|1X1_AD|CM1_IT|SOC_U1|SANTACRUZDOSUL_U2|AzulEscuro</v>
      </c>
      <c r="D275" t="str">
        <f t="shared" si="63"/>
        <v>256520449</v>
      </c>
      <c r="E275" t="str">
        <f t="shared" si="64"/>
        <v>Dynamic Click</v>
      </c>
      <c r="F275" t="str">
        <f t="shared" si="65"/>
        <v>MK|BR_CH|PSD_DT|CROSS_PB|FCBK_FM|CAR_RT|CPM_PD|CidadesdoFuturo_TG|NON_ST|NON_TS|NONE_SZ|1X1_AD|CM1_IT|SOC_U1|SANTACRUZDOSUL_U2|AzulEscuro</v>
      </c>
      <c r="G275" t="str">
        <f t="shared" si="66"/>
        <v>452412527</v>
      </c>
      <c r="H275" t="str">
        <f t="shared" si="67"/>
        <v>Tracking</v>
      </c>
      <c r="I275">
        <f t="shared" si="68"/>
        <v>0</v>
      </c>
      <c r="J275">
        <f t="shared" si="69"/>
        <v>1</v>
      </c>
      <c r="K275" s="4">
        <f t="shared" si="58"/>
        <v>3.5000000000000001E-3</v>
      </c>
      <c r="L275">
        <f t="shared" si="59"/>
        <v>0.02</v>
      </c>
      <c r="M275" s="4">
        <f t="shared" si="56"/>
        <v>3.5000000000000001E-3</v>
      </c>
      <c r="N275" s="4">
        <f t="shared" si="57"/>
        <v>0.02</v>
      </c>
    </row>
    <row r="276" spans="1:14">
      <c r="A276" t="str">
        <f t="shared" si="60"/>
        <v>MK|BR_CN|CIDADESDOFUTURO_MN|NONE_YQ|19Q4_CP|5020004441_SP|N/A_AC|CMKT_OB|AWA</v>
      </c>
      <c r="B276" t="str">
        <f t="shared" si="61"/>
        <v>Facebook</v>
      </c>
      <c r="C276" t="str">
        <f t="shared" si="62"/>
        <v>MK|BR_CH|PSD_DT|CROSS_PB|FCBK_FM|CAR_RT|CPM_PD|CidadesdoFuturo_TG|NON_ST|NON_TS|NONE_SZ|1X1_AD|CM1_IT|SOC_U1|SAOLUIS_U2|AzulEscuro</v>
      </c>
      <c r="D276" t="str">
        <f t="shared" si="63"/>
        <v>256520452</v>
      </c>
      <c r="E276" t="str">
        <f t="shared" si="64"/>
        <v>Dynamic Click</v>
      </c>
      <c r="F276" t="str">
        <f t="shared" si="65"/>
        <v>MK|BR_CH|PSD_DT|CROSS_PB|FCBK_FM|CAR_RT|CPM_PD|CidadesdoFuturo_TG|NON_ST|NON_TS|NONE_SZ|1X1_AD|CM1_IT|SOC_U1|SAOLUIS_U2|AzulEscuro</v>
      </c>
      <c r="G276" t="str">
        <f t="shared" si="66"/>
        <v>452411624</v>
      </c>
      <c r="H276" t="str">
        <f t="shared" si="67"/>
        <v>Tracking</v>
      </c>
      <c r="I276">
        <f t="shared" si="68"/>
        <v>0</v>
      </c>
      <c r="J276">
        <f t="shared" si="69"/>
        <v>1</v>
      </c>
      <c r="K276" s="4">
        <f t="shared" si="58"/>
        <v>3.5000000000000001E-3</v>
      </c>
      <c r="L276">
        <f t="shared" si="59"/>
        <v>0.02</v>
      </c>
      <c r="M276" s="4">
        <f t="shared" si="56"/>
        <v>3.5000000000000001E-3</v>
      </c>
      <c r="N276" s="4">
        <f t="shared" si="57"/>
        <v>0.02</v>
      </c>
    </row>
    <row r="277" spans="1:14">
      <c r="A277" t="str">
        <f t="shared" si="60"/>
        <v>MK|BR_CN|CIDADESDOFUTURO_MN|NONE_YQ|19Q4_CP|5020004441_SP|N/A_AC|CMKT_OB|AWA</v>
      </c>
      <c r="B277" t="str">
        <f t="shared" si="61"/>
        <v>Facebook</v>
      </c>
      <c r="C277" t="str">
        <f t="shared" si="62"/>
        <v>MK|BR_CH|PSD_DT|CROSS_PB|FCBK_FM|CAR_RT|CPM_PD|CidadesdoFuturo_TG|NON_ST|NON_TS|NONE_SZ|1X1_AD|CM1_IT|SOC_U1|SAOLUIS_U2|AzulEscuro</v>
      </c>
      <c r="D277" t="str">
        <f t="shared" si="63"/>
        <v>256520455</v>
      </c>
      <c r="E277" t="str">
        <f t="shared" si="64"/>
        <v>Dynamic Click</v>
      </c>
      <c r="F277" t="str">
        <f t="shared" si="65"/>
        <v>MK|BR_CH|PSD_DT|CROSS_PB|FCBK_FM|CAR_RT|CPM_PD|CidadesdoFuturo_TG|NON_ST|NON_TS|NONE_SZ|1X1_AD|CM1_IT|SOC_U1|SAOLUIS_U2|AzulEscuro</v>
      </c>
      <c r="G277" t="str">
        <f t="shared" si="66"/>
        <v>452411621</v>
      </c>
      <c r="H277" t="str">
        <f t="shared" si="67"/>
        <v>Tracking</v>
      </c>
      <c r="I277">
        <f t="shared" si="68"/>
        <v>0</v>
      </c>
      <c r="J277">
        <f t="shared" si="69"/>
        <v>1</v>
      </c>
      <c r="K277" s="4">
        <f t="shared" si="58"/>
        <v>3.5000000000000001E-3</v>
      </c>
      <c r="L277">
        <f t="shared" si="59"/>
        <v>0.02</v>
      </c>
      <c r="M277" s="4">
        <f t="shared" si="56"/>
        <v>3.5000000000000001E-3</v>
      </c>
      <c r="N277" s="4">
        <f t="shared" si="57"/>
        <v>0.02</v>
      </c>
    </row>
    <row r="278" spans="1:14">
      <c r="A278" t="str">
        <f t="shared" si="60"/>
        <v>MK|BR_CN|CIDADESDOFUTURO_MN|NONE_YQ|19Q4_CP|5020004441_SP|N/A_AC|CMKT_OB|AWA</v>
      </c>
      <c r="B278" t="str">
        <f t="shared" si="61"/>
        <v>Facebook</v>
      </c>
      <c r="C278" t="str">
        <f t="shared" si="62"/>
        <v>MK|BR_CH|PSD_DT|CROSS_PB|FCBK_FM|CAR_RT|CPM_PD|CidadesdoFuturo_TG|NON_ST|NON_TS|NONE_SZ|1X1_AD|CM1_IT|SOC_U1|SAOLUIZ_U2|AzulEscuro</v>
      </c>
      <c r="D278" t="str">
        <f t="shared" si="63"/>
        <v>255471019</v>
      </c>
      <c r="E278" t="str">
        <f t="shared" si="64"/>
        <v>Dynamic Click</v>
      </c>
      <c r="F278" t="str">
        <f t="shared" si="65"/>
        <v>MK|BR_CH|PSD_DT|CROSS_PB|FCBK_FM|CAR_RT|CPM_PD|CidadesdoFuturo_TG|NON_ST|NON_TS|NONE_SZ|1X1_AD|CM1_IT|SOC_U1|SAOLUIZ_U2|AzulEscuro</v>
      </c>
      <c r="G278" t="str">
        <f t="shared" si="66"/>
        <v>451397592</v>
      </c>
      <c r="H278" t="str">
        <f t="shared" si="67"/>
        <v>Tracking</v>
      </c>
      <c r="I278">
        <f t="shared" si="68"/>
        <v>0</v>
      </c>
      <c r="J278">
        <f t="shared" si="69"/>
        <v>292</v>
      </c>
      <c r="K278" s="4">
        <f t="shared" si="58"/>
        <v>3.5000000000000001E-3</v>
      </c>
      <c r="L278">
        <f t="shared" si="59"/>
        <v>0.02</v>
      </c>
      <c r="M278" s="4">
        <f t="shared" si="56"/>
        <v>1.022</v>
      </c>
      <c r="N278" s="4">
        <f t="shared" si="57"/>
        <v>5.84</v>
      </c>
    </row>
    <row r="279" spans="1:14">
      <c r="A279" t="str">
        <f t="shared" si="60"/>
        <v>MK|BR_CN|CIDADESDOFUTURO_MN|NONE_YQ|19Q4_CP|5020004441_SP|N/A_AC|CMKT_OB|AWA</v>
      </c>
      <c r="B279" t="str">
        <f t="shared" si="61"/>
        <v>Facebook</v>
      </c>
      <c r="C279" t="str">
        <f t="shared" si="62"/>
        <v>MK|BR_CH|PSD_DT|CROSS_PB|FCBK_FM|CAR_RT|CPM_PD|CidadesdoFuturo_TG|NON_ST|NON_TS|NONE_SZ|1X1_AD|CM1_IT|SOC_U1|SAOMATEUS_U2|AzulEscuro</v>
      </c>
      <c r="D279" t="str">
        <f t="shared" si="63"/>
        <v>256520461</v>
      </c>
      <c r="E279" t="str">
        <f t="shared" si="64"/>
        <v>Dynamic Click</v>
      </c>
      <c r="F279" t="str">
        <f t="shared" si="65"/>
        <v>MK|BR_CH|PSD_DT|CROSS_PB|FCBK_FM|CAR_RT|CPM_PD|CidadesdoFuturo_TG|NON_ST|NON_TS|NONE_SZ|1X1_AD|CM1_IT|SOC_U1|SAOMATEUS_U2|AzulEscuro</v>
      </c>
      <c r="G279" t="str">
        <f t="shared" si="66"/>
        <v>452411615</v>
      </c>
      <c r="H279" t="str">
        <f t="shared" si="67"/>
        <v>Tracking</v>
      </c>
      <c r="I279">
        <f t="shared" si="68"/>
        <v>0</v>
      </c>
      <c r="J279">
        <f t="shared" si="69"/>
        <v>1</v>
      </c>
      <c r="K279" s="4">
        <f t="shared" si="58"/>
        <v>3.5000000000000001E-3</v>
      </c>
      <c r="L279">
        <f t="shared" si="59"/>
        <v>0.02</v>
      </c>
      <c r="M279" s="4">
        <f t="shared" si="56"/>
        <v>3.5000000000000001E-3</v>
      </c>
      <c r="N279" s="4">
        <f t="shared" si="57"/>
        <v>0.02</v>
      </c>
    </row>
    <row r="280" spans="1:14">
      <c r="A280" t="str">
        <f t="shared" si="60"/>
        <v>MK|BR_CN|CIDADESDOFUTURO_MN|NONE_YQ|19Q4_CP|5020004441_SP|N/A_AC|CMKT_OB|AWA</v>
      </c>
      <c r="B280" t="str">
        <f t="shared" si="61"/>
        <v>Facebook</v>
      </c>
      <c r="C280" t="str">
        <f t="shared" si="62"/>
        <v>MK|BR_CH|PSD_DT|CROSS_PB|FCBK_FM|CAR_RT|CPM_PD|CidadesdoFuturo_TG|NON_ST|NON_TS|NONE_SZ|1X1_AD|CM1_IT|SOC_U1|SETELAGOAS_U2|AzulEscuro</v>
      </c>
      <c r="D280" t="str">
        <f t="shared" si="63"/>
        <v>256520473</v>
      </c>
      <c r="E280" t="str">
        <f t="shared" si="64"/>
        <v>Dynamic Click</v>
      </c>
      <c r="F280" t="str">
        <f t="shared" si="65"/>
        <v>MK|BR_CH|PSD_DT|CROSS_PB|FCBK_FM|CAR_RT|CPM_PD|CidadesdoFuturo_TG|NON_ST|NON_TS|NONE_SZ|1X1_AD|CM1_IT|SOC_U1|SETELAGOAS_U2|AzulEscuro</v>
      </c>
      <c r="G280" t="str">
        <f t="shared" si="66"/>
        <v>452411606</v>
      </c>
      <c r="H280" t="str">
        <f t="shared" si="67"/>
        <v>Tracking</v>
      </c>
      <c r="I280">
        <f t="shared" si="68"/>
        <v>0</v>
      </c>
      <c r="J280">
        <f t="shared" si="69"/>
        <v>2</v>
      </c>
      <c r="K280" s="4">
        <f t="shared" si="58"/>
        <v>3.5000000000000001E-3</v>
      </c>
      <c r="L280">
        <f t="shared" si="59"/>
        <v>0.02</v>
      </c>
      <c r="M280" s="4">
        <f t="shared" si="56"/>
        <v>7.0000000000000001E-3</v>
      </c>
      <c r="N280" s="4">
        <f t="shared" si="57"/>
        <v>0.04</v>
      </c>
    </row>
    <row r="281" spans="1:14">
      <c r="A281" t="str">
        <f t="shared" si="60"/>
        <v>MK|BR_CN|CIDADESDOFUTURO_MN|NONE_YQ|19Q4_CP|5020004441_SP|N/A_AC|CMKT_OB|AWA</v>
      </c>
      <c r="B281" t="str">
        <f t="shared" si="61"/>
        <v>Facebook</v>
      </c>
      <c r="C281" t="str">
        <f t="shared" si="62"/>
        <v>MK|BR_CH|PSD_DT|CROSS_PB|FCBK_FM|CAR_RT|CPM_PD|CidadesdoFuturo_TG|NON_ST|NON_TS|NONE_SZ|1X1_AD|CM1_IT|SOC_U1|SETELAGOAS_U2|AzulEscuro</v>
      </c>
      <c r="D281" t="str">
        <f t="shared" si="63"/>
        <v>256520476</v>
      </c>
      <c r="E281" t="str">
        <f t="shared" si="64"/>
        <v>Dynamic Click</v>
      </c>
      <c r="F281" t="str">
        <f t="shared" si="65"/>
        <v>MK|BR_CH|PSD_DT|CROSS_PB|FCBK_FM|CAR_RT|CPM_PD|CidadesdoFuturo_TG|NON_ST|NON_TS|NONE_SZ|1X1_AD|CM1_IT|SOC_U1|SETELAGOAS_U2|AzulEscuro</v>
      </c>
      <c r="G281" t="str">
        <f t="shared" si="66"/>
        <v>452411603</v>
      </c>
      <c r="H281" t="str">
        <f t="shared" si="67"/>
        <v>Tracking</v>
      </c>
      <c r="I281">
        <f t="shared" si="68"/>
        <v>0</v>
      </c>
      <c r="J281">
        <f t="shared" si="69"/>
        <v>1</v>
      </c>
      <c r="K281" s="4">
        <f t="shared" si="58"/>
        <v>3.5000000000000001E-3</v>
      </c>
      <c r="L281">
        <f t="shared" si="59"/>
        <v>0.02</v>
      </c>
      <c r="M281" s="4">
        <f t="shared" si="56"/>
        <v>3.5000000000000001E-3</v>
      </c>
      <c r="N281" s="4">
        <f t="shared" si="57"/>
        <v>0.02</v>
      </c>
    </row>
    <row r="282" spans="1:14">
      <c r="A282" t="str">
        <f t="shared" si="60"/>
        <v>MK|BR_CN|CIDADESDOFUTURO_MN|NONE_YQ|19Q4_CP|5020004441_SP|N/A_AC|CMKT_OB|AWA</v>
      </c>
      <c r="B282" t="str">
        <f t="shared" si="61"/>
        <v>Facebook</v>
      </c>
      <c r="C282" t="str">
        <f t="shared" si="62"/>
        <v>MK|BR_CH|PSD_DT|CROSS_PB|FCBK_FM|CAR_RT|CPM_PD|CidadesdoFuturo_TG|NON_ST|NON_TS|NONE_SZ|1X1_AD|CM1_IT|SOC_U1|TEOFILOOTONI_U2|AzulEscuro</v>
      </c>
      <c r="D282" t="str">
        <f t="shared" si="63"/>
        <v>255471139</v>
      </c>
      <c r="E282" t="str">
        <f t="shared" si="64"/>
        <v>Dynamic Click</v>
      </c>
      <c r="F282" t="str">
        <f t="shared" si="65"/>
        <v>MK|BR_CH|PSD_DT|CROSS_PB|FCBK_FM|CAR_RT|CPM_PD|CidadesdoFuturo_TG|NON_ST|NON_TS|NONE_SZ|1X1_AD|CM1_IT|SOC_U1|TEOFILOOTONI_U2|AzulEscuro</v>
      </c>
      <c r="G282" t="str">
        <f t="shared" si="66"/>
        <v>451397385</v>
      </c>
      <c r="H282" t="str">
        <f t="shared" si="67"/>
        <v>Tracking</v>
      </c>
      <c r="I282">
        <f t="shared" si="68"/>
        <v>0</v>
      </c>
      <c r="J282">
        <f t="shared" si="69"/>
        <v>41</v>
      </c>
      <c r="K282" s="4">
        <f t="shared" si="58"/>
        <v>3.5000000000000001E-3</v>
      </c>
      <c r="L282">
        <f t="shared" si="59"/>
        <v>0.02</v>
      </c>
      <c r="M282" s="4">
        <f t="shared" si="56"/>
        <v>0.14350000000000002</v>
      </c>
      <c r="N282" s="4">
        <f t="shared" si="57"/>
        <v>0.82000000000000006</v>
      </c>
    </row>
    <row r="283" spans="1:14">
      <c r="A283" t="str">
        <f t="shared" si="60"/>
        <v>MK|BR_CN|CIDADESDOFUTURO_MN|NONE_YQ|19Q4_CP|5020004441_SP|N/A_AC|CMKT_OB|AWA</v>
      </c>
      <c r="B283" t="str">
        <f t="shared" si="61"/>
        <v>Facebook</v>
      </c>
      <c r="C283" t="str">
        <f t="shared" si="62"/>
        <v>MK|BR_CH|PSD_DT|CROSS_PB|FCBK_FM|CAR_RT|CPM_PD|CidadesdoFuturo_TG|NON_ST|NON_TS|NONE_SZ|1X1_AD|CM1_IT|SOC_U1|TERESINA_U2|AzulEscuro</v>
      </c>
      <c r="D283" t="str">
        <f t="shared" si="63"/>
        <v>255471007</v>
      </c>
      <c r="E283" t="str">
        <f t="shared" si="64"/>
        <v>Dynamic Click</v>
      </c>
      <c r="F283" t="str">
        <f t="shared" si="65"/>
        <v>MK|BR_CH|PSD_DT|CROSS_PB|FCBK_FM|CAR_RT|CPM_PD|CidadesdoFuturo_TG|NON_ST|NON_TS|NONE_SZ|1X1_AD|CM1_IT|SOC_U1|TERESINA_U2|AzulEscuro</v>
      </c>
      <c r="G283" t="str">
        <f t="shared" si="66"/>
        <v>451397604</v>
      </c>
      <c r="H283" t="str">
        <f t="shared" si="67"/>
        <v>Tracking</v>
      </c>
      <c r="I283">
        <f t="shared" si="68"/>
        <v>0</v>
      </c>
      <c r="J283">
        <f t="shared" si="69"/>
        <v>20</v>
      </c>
      <c r="K283" s="4">
        <f t="shared" si="58"/>
        <v>3.5000000000000001E-3</v>
      </c>
      <c r="L283">
        <f t="shared" si="59"/>
        <v>0.02</v>
      </c>
      <c r="M283" s="4">
        <f t="shared" si="56"/>
        <v>7.0000000000000007E-2</v>
      </c>
      <c r="N283" s="4">
        <f t="shared" si="57"/>
        <v>0.4</v>
      </c>
    </row>
    <row r="284" spans="1:14">
      <c r="A284" t="str">
        <f t="shared" si="60"/>
        <v>MK|BR_CN|CIDADESDOFUTURO_MN|NONE_YQ|19Q4_CP|5020004441_SP|N/A_AC|CMKT_OB|AWA</v>
      </c>
      <c r="B284" t="str">
        <f t="shared" si="61"/>
        <v>Facebook</v>
      </c>
      <c r="C284" t="str">
        <f t="shared" si="62"/>
        <v>MK|BR_CH|PSD_DT|CROSS_PB|FCBK_FM|CAR_RT|CPM_PD|CidadesdoFuturo_TG|NON_ST|NON_TS|NONE_SZ|1X1_AD|CM1_IT|SOC_U1|TERESINA_U2|AzulEscuro</v>
      </c>
      <c r="D284" t="str">
        <f t="shared" si="63"/>
        <v>256520488</v>
      </c>
      <c r="E284" t="str">
        <f t="shared" si="64"/>
        <v>Dynamic Click</v>
      </c>
      <c r="F284" t="str">
        <f t="shared" si="65"/>
        <v>MK|BR_CH|PSD_DT|CROSS_PB|FCBK_FM|CAR_RT|CPM_PD|CidadesdoFuturo_TG|NON_ST|NON_TS|NONE_SZ|1X1_AD|CM1_IT|SOC_U1|TERESINA_U2|AzulEscuro</v>
      </c>
      <c r="G284" t="str">
        <f t="shared" si="66"/>
        <v>452411594</v>
      </c>
      <c r="H284" t="str">
        <f t="shared" si="67"/>
        <v>Tracking</v>
      </c>
      <c r="I284">
        <f t="shared" si="68"/>
        <v>0</v>
      </c>
      <c r="J284">
        <f t="shared" si="69"/>
        <v>1</v>
      </c>
      <c r="K284" s="4">
        <f t="shared" si="58"/>
        <v>3.5000000000000001E-3</v>
      </c>
      <c r="L284">
        <f t="shared" si="59"/>
        <v>0.02</v>
      </c>
      <c r="M284" s="4">
        <f t="shared" si="56"/>
        <v>3.5000000000000001E-3</v>
      </c>
      <c r="N284" s="4">
        <f t="shared" si="57"/>
        <v>0.02</v>
      </c>
    </row>
    <row r="285" spans="1:14">
      <c r="A285" t="str">
        <f t="shared" si="60"/>
        <v>MK|BR_CN|CIDADESDOFUTURO_MN|NONE_YQ|19Q4_CP|5020004441_SP|N/A_AC|CMKT_OB|AWA</v>
      </c>
      <c r="B285" t="str">
        <f t="shared" si="61"/>
        <v>Facebook</v>
      </c>
      <c r="C285" t="str">
        <f t="shared" si="62"/>
        <v>MK|BR_CH|PSD_DT|CROSS_PB|FCBK_FM|CAR_RT|CPM_PD|CidadesdoFuturo_TG|NON_ST|NON_TS|NONE_SZ|1X1_AD|CM1_IT|SOC_U1|TERESINA_U2|AzulEscuro</v>
      </c>
      <c r="D285" t="str">
        <f t="shared" si="63"/>
        <v>256520491</v>
      </c>
      <c r="E285" t="str">
        <f t="shared" si="64"/>
        <v>Dynamic Click</v>
      </c>
      <c r="F285" t="str">
        <f t="shared" si="65"/>
        <v>MK|BR_CH|PSD_DT|CROSS_PB|FCBK_FM|CAR_RT|CPM_PD|CidadesdoFuturo_TG|NON_ST|NON_TS|NONE_SZ|1X1_AD|CM1_IT|SOC_U1|TERESINA_U2|AzulEscuro</v>
      </c>
      <c r="G285" t="str">
        <f t="shared" si="66"/>
        <v>452411591</v>
      </c>
      <c r="H285" t="str">
        <f t="shared" si="67"/>
        <v>Tracking</v>
      </c>
      <c r="I285">
        <f t="shared" si="68"/>
        <v>0</v>
      </c>
      <c r="J285">
        <f t="shared" si="69"/>
        <v>2</v>
      </c>
      <c r="K285" s="4">
        <f t="shared" si="58"/>
        <v>3.5000000000000001E-3</v>
      </c>
      <c r="L285">
        <f t="shared" si="59"/>
        <v>0.02</v>
      </c>
      <c r="M285" s="4">
        <f t="shared" si="56"/>
        <v>7.0000000000000001E-3</v>
      </c>
      <c r="N285" s="4">
        <f t="shared" si="57"/>
        <v>0.04</v>
      </c>
    </row>
    <row r="286" spans="1:14">
      <c r="A286" t="str">
        <f t="shared" si="60"/>
        <v>MK|BR_CN|CIDADESDOFUTURO_MN|NONE_YQ|19Q4_CP|5020004441_SP|N/A_AC|CMKT_OB|AWA</v>
      </c>
      <c r="B286" t="str">
        <f t="shared" si="61"/>
        <v>Facebook</v>
      </c>
      <c r="C286" t="str">
        <f t="shared" si="62"/>
        <v>MK|BR_CH|PSD_DT|CROSS_PB|FCBK_FM|CAR_RT|CPM_PD|CidadesdoFuturo_TG|NON_ST|NON_TS|NONE_SZ|1X1_AD|CM1_IT|SOC_U1|TOLEDO_U2|AzulEscuro</v>
      </c>
      <c r="D286" t="str">
        <f t="shared" si="63"/>
        <v>255471115</v>
      </c>
      <c r="E286" t="str">
        <f t="shared" si="64"/>
        <v>Dynamic Click</v>
      </c>
      <c r="F286" t="str">
        <f t="shared" si="65"/>
        <v>MK|BR_CH|PSD_DT|CROSS_PB|FCBK_FM|CAR_RT|CPM_PD|CidadesdoFuturo_TG|NON_ST|NON_TS|NONE_SZ|1X1_AD|CM1_IT|SOC_U1|TOLEDO_U2|AzulEscuro</v>
      </c>
      <c r="G286" t="str">
        <f t="shared" si="66"/>
        <v>451397436</v>
      </c>
      <c r="H286" t="str">
        <f t="shared" si="67"/>
        <v>Tracking</v>
      </c>
      <c r="I286">
        <f t="shared" si="68"/>
        <v>0</v>
      </c>
      <c r="J286">
        <f t="shared" si="69"/>
        <v>170</v>
      </c>
      <c r="K286" s="4">
        <f t="shared" si="58"/>
        <v>3.5000000000000001E-3</v>
      </c>
      <c r="L286">
        <f t="shared" si="59"/>
        <v>0.02</v>
      </c>
      <c r="M286" s="4">
        <f t="shared" si="56"/>
        <v>0.59499999999999997</v>
      </c>
      <c r="N286" s="4">
        <f t="shared" si="57"/>
        <v>3.4</v>
      </c>
    </row>
    <row r="287" spans="1:14">
      <c r="A287" t="str">
        <f t="shared" si="60"/>
        <v>MK|BR_CN|CIDADESDOFUTURO_MN|NONE_YQ|19Q4_CP|5020004441_SP|N/A_AC|CMKT_OB|AWA</v>
      </c>
      <c r="B287" t="str">
        <f t="shared" si="61"/>
        <v>Facebook</v>
      </c>
      <c r="C287" t="str">
        <f t="shared" si="62"/>
        <v>MK|BR_CH|PSD_DT|CROSS_PB|FCBK_FM|CAR_RT|CPM_PD|CidadesdoFuturo_TG|NON_ST|NON_TS|NONE_SZ|1X1_AD|CM1_IT|SOC_U1|URUGUAIANA_U2|AzulEscuro</v>
      </c>
      <c r="D287" t="str">
        <f t="shared" si="63"/>
        <v>255471103</v>
      </c>
      <c r="E287" t="str">
        <f t="shared" si="64"/>
        <v>Dynamic Click</v>
      </c>
      <c r="F287" t="str">
        <f t="shared" si="65"/>
        <v>MK|BR_CH|PSD_DT|CROSS_PB|FCBK_FM|CAR_RT|CPM_PD|CidadesdoFuturo_TG|NON_ST|NON_TS|NONE_SZ|1X1_AD|CM1_IT|SOC_U1|URUGUAIANA_U2|AzulEscuro</v>
      </c>
      <c r="G287" t="str">
        <f t="shared" si="66"/>
        <v>451397460</v>
      </c>
      <c r="H287" t="str">
        <f t="shared" si="67"/>
        <v>Tracking</v>
      </c>
      <c r="I287">
        <f t="shared" si="68"/>
        <v>0</v>
      </c>
      <c r="J287">
        <f t="shared" si="69"/>
        <v>44</v>
      </c>
      <c r="K287" s="4">
        <f t="shared" si="58"/>
        <v>3.5000000000000001E-3</v>
      </c>
      <c r="L287">
        <f t="shared" si="59"/>
        <v>0.02</v>
      </c>
      <c r="M287" s="4">
        <f t="shared" si="56"/>
        <v>0.154</v>
      </c>
      <c r="N287" s="4">
        <f t="shared" si="57"/>
        <v>0.88</v>
      </c>
    </row>
    <row r="288" spans="1:14">
      <c r="A288" t="str">
        <f t="shared" si="60"/>
        <v>MK|BR_CN|CIDADESDOFUTURO_MN|NONE_YQ|19Q4_CP|5020004441_SP|N/A_AC|CMKT_OB|AWA</v>
      </c>
      <c r="B288" t="str">
        <f t="shared" si="61"/>
        <v>Facebook</v>
      </c>
      <c r="C288" t="str">
        <f t="shared" si="62"/>
        <v>MK|BR_CH|PSD_DT|CROSS_PB|FCBK_FM|CAR_RT|CPM_PD|CidadesdoFuturo_TG|NON_ST|NON_TS|NONE_SZ|1X1_AD|CM1_IT|SOC_U1|URUGUAIANA_U2|AzulEscuro</v>
      </c>
      <c r="D288" t="str">
        <f t="shared" si="63"/>
        <v>256520515</v>
      </c>
      <c r="E288" t="str">
        <f t="shared" si="64"/>
        <v>Dynamic Click</v>
      </c>
      <c r="F288" t="str">
        <f t="shared" si="65"/>
        <v>MK|BR_CH|PSD_DT|CROSS_PB|FCBK_FM|CAR_RT|CPM_PD|CidadesdoFuturo_TG|NON_ST|NON_TS|NONE_SZ|1X1_AD|CM1_IT|SOC_U1|URUGUAIANA_U2|AzulEscuro</v>
      </c>
      <c r="G288" t="str">
        <f t="shared" si="66"/>
        <v>452411570</v>
      </c>
      <c r="H288" t="str">
        <f t="shared" si="67"/>
        <v>Tracking</v>
      </c>
      <c r="I288">
        <f t="shared" si="68"/>
        <v>0</v>
      </c>
      <c r="J288">
        <f t="shared" si="69"/>
        <v>1</v>
      </c>
      <c r="K288" s="4">
        <f t="shared" si="58"/>
        <v>3.5000000000000001E-3</v>
      </c>
      <c r="L288">
        <f t="shared" si="59"/>
        <v>0.02</v>
      </c>
      <c r="M288" s="4">
        <f t="shared" si="56"/>
        <v>3.5000000000000001E-3</v>
      </c>
      <c r="N288" s="4">
        <f t="shared" si="57"/>
        <v>0.02</v>
      </c>
    </row>
    <row r="289" spans="1:14">
      <c r="A289" t="str">
        <f t="shared" si="60"/>
        <v>MK|BR_CN|CIDADESDOFUTURO_MN|NONE_YQ|19Q4_CP|5020004441_SP|N/A_AC|CMKT_OB|AWA</v>
      </c>
      <c r="B289" t="str">
        <f t="shared" si="61"/>
        <v>Facebook</v>
      </c>
      <c r="C289" t="str">
        <f t="shared" si="62"/>
        <v>MK|BR_CH|PSD_DT|CROSS_PB|FCBK_FM|CAR_RT|CPM_PD|CidadesdoFuturo_TG|NON_ST|NON_TS|NONE_SZ|1X1_AD|CM1_IT|SOC_U1|URUGUAIANA_U2|AzulEscuro</v>
      </c>
      <c r="D289" t="str">
        <f t="shared" si="63"/>
        <v>256520518</v>
      </c>
      <c r="E289" t="str">
        <f t="shared" si="64"/>
        <v>Dynamic Click</v>
      </c>
      <c r="F289" t="str">
        <f t="shared" si="65"/>
        <v>MK|BR_CH|PSD_DT|CROSS_PB|FCBK_FM|CAR_RT|CPM_PD|CidadesdoFuturo_TG|NON_ST|NON_TS|NONE_SZ|1X1_AD|CM1_IT|SOC_U1|URUGUAIANA_U2|AzulEscuro</v>
      </c>
      <c r="G289" t="str">
        <f t="shared" si="66"/>
        <v>452411567</v>
      </c>
      <c r="H289" t="str">
        <f t="shared" si="67"/>
        <v>Tracking</v>
      </c>
      <c r="I289">
        <f t="shared" si="68"/>
        <v>0</v>
      </c>
      <c r="J289">
        <f t="shared" si="69"/>
        <v>2</v>
      </c>
      <c r="K289" s="4">
        <f t="shared" si="58"/>
        <v>3.5000000000000001E-3</v>
      </c>
      <c r="L289">
        <f t="shared" si="59"/>
        <v>0.02</v>
      </c>
      <c r="M289" s="4">
        <f t="shared" si="56"/>
        <v>7.0000000000000001E-3</v>
      </c>
      <c r="N289" s="4">
        <f t="shared" si="57"/>
        <v>0.04</v>
      </c>
    </row>
    <row r="290" spans="1:14">
      <c r="A290" t="str">
        <f t="shared" si="60"/>
        <v>MK|BR_CN|CIDADESDOFUTURO_MN|NONE_YQ|19Q4_CP|5020004441_SP|N/A_AC|CMKT_OB|AWA</v>
      </c>
      <c r="B290" t="str">
        <f t="shared" si="61"/>
        <v>Facebook</v>
      </c>
      <c r="C290" t="str">
        <f t="shared" si="62"/>
        <v>MK|BR_CH|PSD_DT|CROSS_PB|FCBK_FM|CAR_RT|CPM_PD|CidadesdoFuturo_TG|NON_ST|NON_TS|NONE_SZ|1X1_AD|CM1_IT|SOC_U1|VITORIADACONQUISTA_U2|AzulEscuro</v>
      </c>
      <c r="D290" t="str">
        <f t="shared" si="63"/>
        <v>255471091</v>
      </c>
      <c r="E290" t="str">
        <f t="shared" si="64"/>
        <v>Dynamic Click</v>
      </c>
      <c r="F290" t="str">
        <f t="shared" si="65"/>
        <v>MK|BR_CH|PSD_DT|CROSS_PB|FCBK_FM|CAR_RT|CPM_PD|CidadesdoFuturo_TG|NON_ST|NON_TS|NONE_SZ|1X1_AD|CM1_IT|SOC_U1|VITORIADACONQUISTA_U2|AzulEscuro</v>
      </c>
      <c r="G290" t="str">
        <f t="shared" si="66"/>
        <v>451397487</v>
      </c>
      <c r="H290" t="str">
        <f t="shared" si="67"/>
        <v>Tracking</v>
      </c>
      <c r="I290">
        <f t="shared" si="68"/>
        <v>0</v>
      </c>
      <c r="J290">
        <f t="shared" si="69"/>
        <v>81</v>
      </c>
      <c r="K290" s="4">
        <f t="shared" si="58"/>
        <v>3.5000000000000001E-3</v>
      </c>
      <c r="L290">
        <f t="shared" si="59"/>
        <v>0.02</v>
      </c>
      <c r="M290" s="4">
        <f t="shared" si="56"/>
        <v>0.28350000000000003</v>
      </c>
      <c r="N290" s="4">
        <f t="shared" si="57"/>
        <v>1.62</v>
      </c>
    </row>
    <row r="291" spans="1:14">
      <c r="A291" t="str">
        <f t="shared" si="60"/>
        <v>MK|BR_CN|CIDADESDOFUTURO_MN|NONE_YQ|19Q4_CP|5020004441_SP|N/A_AC|CMKT_OB|AWA</v>
      </c>
      <c r="B291" t="str">
        <f t="shared" si="61"/>
        <v>Facebook</v>
      </c>
      <c r="C291" t="str">
        <f t="shared" si="62"/>
        <v>MK|BR_CH|PSD_DT|CROSS_PB|FCBK_FM|CAR_RT|CPM_PD|CompraFora_TG|NON_ST|NON_TS|NONE_SZ|1X1_AD|CM1_IT|SOC_U1|FASHION</v>
      </c>
      <c r="D291" t="str">
        <f t="shared" si="63"/>
        <v>251670963</v>
      </c>
      <c r="E291" t="str">
        <f t="shared" si="64"/>
        <v>Dynamic Click</v>
      </c>
      <c r="F291" t="str">
        <f t="shared" si="65"/>
        <v>MK|BR_CH|PSD_DT|CROSS_PB|FCBK_FM|CAR_RT|CPM_PD|CompraFora_TG|NON_ST|NON_TS|NONE_SZ|1X1_AD|CM1_IT|SOC_U1|FASHION</v>
      </c>
      <c r="G291" t="str">
        <f t="shared" si="66"/>
        <v>447619917</v>
      </c>
      <c r="H291" t="str">
        <f t="shared" si="67"/>
        <v>Tracking</v>
      </c>
      <c r="I291">
        <f t="shared" si="68"/>
        <v>0</v>
      </c>
      <c r="J291">
        <f t="shared" si="69"/>
        <v>1</v>
      </c>
      <c r="K291" s="4">
        <f t="shared" si="58"/>
        <v>3.5000000000000001E-3</v>
      </c>
      <c r="L291">
        <f t="shared" si="59"/>
        <v>0.02</v>
      </c>
      <c r="M291" s="4">
        <f t="shared" ref="M291:M354" si="70">IF(E291="Dynamic Click",J291*K291,K291*$I291/1000)</f>
        <v>3.5000000000000001E-3</v>
      </c>
      <c r="N291" s="4">
        <f t="shared" ref="N291:N354" si="71">IF(E291="Dynamic Click",J291*L291,L291*$I291/1000)</f>
        <v>0.02</v>
      </c>
    </row>
    <row r="292" spans="1:14">
      <c r="A292" t="str">
        <f t="shared" si="60"/>
        <v>MK|BR_CN|CIDADESDOFUTURO_MN|NONE_YQ|19Q4_CP|5020004441_SP|N/A_AC|CMKT_OB|AWA</v>
      </c>
      <c r="B292" t="str">
        <f t="shared" si="61"/>
        <v>Facebook</v>
      </c>
      <c r="C292" t="str">
        <f t="shared" si="62"/>
        <v>MK|BR_CH|PSD_DT|CROSS_PB|FCBK_FM|CAR_RT|CPM_PD|CompraFora_TG|NON_ST|NON_TS|NONE_SZ|1X1_AD|CM1_IT|SOC_U1|GAMER</v>
      </c>
      <c r="D292" t="str">
        <f t="shared" si="63"/>
        <v>251672067</v>
      </c>
      <c r="E292" t="str">
        <f t="shared" si="64"/>
        <v>Dynamic Click</v>
      </c>
      <c r="F292" t="str">
        <f t="shared" si="65"/>
        <v>MK|BR_CH|PSD_DT|CROSS_PB|FCBK_FM|CAR_RT|CPM_PD|CompraFora_TG|NON_ST|NON_TS|NONE_SZ|1X1_AD|CM1_IT|SOC_U1|GAMER</v>
      </c>
      <c r="G292" t="str">
        <f t="shared" si="66"/>
        <v>447620457</v>
      </c>
      <c r="H292" t="str">
        <f t="shared" si="67"/>
        <v>Tracking</v>
      </c>
      <c r="I292">
        <f t="shared" si="68"/>
        <v>0</v>
      </c>
      <c r="J292">
        <f t="shared" si="69"/>
        <v>2</v>
      </c>
      <c r="K292" s="4">
        <f t="shared" si="58"/>
        <v>3.5000000000000001E-3</v>
      </c>
      <c r="L292">
        <f t="shared" si="59"/>
        <v>0.02</v>
      </c>
      <c r="M292" s="4">
        <f t="shared" si="70"/>
        <v>7.0000000000000001E-3</v>
      </c>
      <c r="N292" s="4">
        <f t="shared" si="71"/>
        <v>0.04</v>
      </c>
    </row>
    <row r="293" spans="1:14">
      <c r="A293" t="str">
        <f t="shared" si="60"/>
        <v>MK|BR_CN|CIDADESDOFUTURO_MN|NONE_YQ|19Q4_CP|5020004441_SP|N/A_AC|CMKT_OB|AWA</v>
      </c>
      <c r="B293" t="str">
        <f t="shared" si="61"/>
        <v>Facebook</v>
      </c>
      <c r="C293" t="str">
        <f t="shared" si="62"/>
        <v>MK|BR_CH|PSD_DT|CROSS_PB|FCBK_FM|CAR_RT|CPM_PD|CrossBorder_TG|NON_ST|NON_TS|NONE_SZ|1X1_AD|CM1_IT|SOC_U1|CASHBACK_U2|DNA_U3|VIAJANTE</v>
      </c>
      <c r="D293" t="str">
        <f t="shared" si="63"/>
        <v>235445602</v>
      </c>
      <c r="E293" t="str">
        <f t="shared" si="64"/>
        <v>Dynamic Click</v>
      </c>
      <c r="F293" t="str">
        <f t="shared" si="65"/>
        <v>MK|BR_CH|PSD_DT|CROSS_PB|FCBK_FM|CAR_RT|CPM_PD|CrossBorder_TG|NON_ST|NON_TS|NONE_SZ|1X1_AD|CM1_IT|SOC_U1|CASHBACK_U2|DNA_U3|VIAJANTE</v>
      </c>
      <c r="G293" t="str">
        <f t="shared" si="66"/>
        <v>433057340</v>
      </c>
      <c r="H293" t="str">
        <f t="shared" si="67"/>
        <v>Tracking</v>
      </c>
      <c r="I293">
        <f t="shared" si="68"/>
        <v>0</v>
      </c>
      <c r="J293">
        <f t="shared" si="69"/>
        <v>1</v>
      </c>
      <c r="K293" s="4">
        <f t="shared" si="58"/>
        <v>3.5000000000000001E-3</v>
      </c>
      <c r="L293">
        <f t="shared" si="59"/>
        <v>0.02</v>
      </c>
      <c r="M293" s="4">
        <f t="shared" si="70"/>
        <v>3.5000000000000001E-3</v>
      </c>
      <c r="N293" s="4">
        <f t="shared" si="71"/>
        <v>0.02</v>
      </c>
    </row>
    <row r="294" spans="1:14">
      <c r="A294" t="str">
        <f t="shared" si="60"/>
        <v>MK|BR_CN|CIDADESDOFUTURO_MN|NONE_YQ|19Q4_CP|5020004441_SP|N/A_AC|CMKT_OB|AWA</v>
      </c>
      <c r="B294" t="str">
        <f t="shared" si="61"/>
        <v>Facebook</v>
      </c>
      <c r="C294" t="str">
        <f t="shared" si="62"/>
        <v>MK|BR_CH|PSD_DT|CROSS_PB|FCBK_FM|GIF_RT|CPM_PD|CidadesdoFuturo_TG|NON_ST|NON_TS|NONE_SZ|1X1_AD|CM1_IT|SOC_U1|ANAPOLIS_U2|AzulEscuro</v>
      </c>
      <c r="D294" t="str">
        <f t="shared" si="63"/>
        <v>255146072</v>
      </c>
      <c r="E294" t="str">
        <f t="shared" si="64"/>
        <v>Dynamic Click</v>
      </c>
      <c r="F294" t="str">
        <f t="shared" si="65"/>
        <v>MK|BR_CH|PSD_DT|CROSS_PB|FCBK_FM|GIF_RT|CPM_PD|CidadesdoFuturo_TG|NON_ST|NON_TS|NONE_SZ|1X1_AD|CM1_IT|SOC_U1|ANAPOLIS_U2|AzulEscuro</v>
      </c>
      <c r="G294" t="str">
        <f t="shared" si="66"/>
        <v>451451573</v>
      </c>
      <c r="H294" t="str">
        <f t="shared" si="67"/>
        <v>Tracking</v>
      </c>
      <c r="I294">
        <f t="shared" si="68"/>
        <v>0</v>
      </c>
      <c r="J294">
        <f t="shared" si="69"/>
        <v>15</v>
      </c>
      <c r="K294" s="4">
        <f t="shared" si="58"/>
        <v>3.5000000000000001E-3</v>
      </c>
      <c r="L294">
        <f t="shared" si="59"/>
        <v>0.02</v>
      </c>
      <c r="M294" s="4">
        <f t="shared" si="70"/>
        <v>5.2499999999999998E-2</v>
      </c>
      <c r="N294" s="4">
        <f t="shared" si="71"/>
        <v>0.3</v>
      </c>
    </row>
    <row r="295" spans="1:14">
      <c r="A295" t="str">
        <f t="shared" si="60"/>
        <v>MK|BR_CN|CIDADESDOFUTURO_MN|NONE_YQ|19Q4_CP|5020004441_SP|N/A_AC|CMKT_OB|AWA</v>
      </c>
      <c r="B295" t="str">
        <f t="shared" si="61"/>
        <v>Facebook</v>
      </c>
      <c r="C295" t="str">
        <f t="shared" si="62"/>
        <v>MK|BR_CH|PSD_DT|CROSS_PB|FCBK_FM|GIF_RT|CPM_PD|CidadesdoFuturo_TG|NON_ST|NON_TS|NONE_SZ|1X1_AD|CM1_IT|SOC_U1|ANAPOLIS_U2|AzulEscuro</v>
      </c>
      <c r="D295" t="str">
        <f t="shared" si="63"/>
        <v>256224065</v>
      </c>
      <c r="E295" t="str">
        <f t="shared" si="64"/>
        <v>Dynamic Click</v>
      </c>
      <c r="F295" t="str">
        <f t="shared" si="65"/>
        <v>MK|BR_CH|PSD_DT|CROSS_PB|FCBK_FM|GIF_RT|CPM_PD|CidadesdoFuturo_TG|NON_ST|NON_TS|NONE_SZ|1X1_AD|CM1_IT|SOC_U1|ANAPOLIS_U2|AzulEscuro</v>
      </c>
      <c r="G295" t="str">
        <f t="shared" si="66"/>
        <v>452369835</v>
      </c>
      <c r="H295" t="str">
        <f t="shared" si="67"/>
        <v>Tracking</v>
      </c>
      <c r="I295">
        <f t="shared" si="68"/>
        <v>0</v>
      </c>
      <c r="J295">
        <f t="shared" si="69"/>
        <v>3</v>
      </c>
      <c r="K295" s="4">
        <f t="shared" si="58"/>
        <v>3.5000000000000001E-3</v>
      </c>
      <c r="L295">
        <f t="shared" si="59"/>
        <v>0.02</v>
      </c>
      <c r="M295" s="4">
        <f t="shared" si="70"/>
        <v>1.0500000000000001E-2</v>
      </c>
      <c r="N295" s="4">
        <f t="shared" si="71"/>
        <v>0.06</v>
      </c>
    </row>
    <row r="296" spans="1:14">
      <c r="A296" t="str">
        <f t="shared" si="60"/>
        <v>MK|BR_CN|CIDADESDOFUTURO_MN|NONE_YQ|19Q4_CP|5020004441_SP|N/A_AC|CMKT_OB|AWA</v>
      </c>
      <c r="B296" t="str">
        <f t="shared" si="61"/>
        <v>Facebook</v>
      </c>
      <c r="C296" t="str">
        <f t="shared" si="62"/>
        <v>MK|BR_CH|PSD_DT|CROSS_PB|FCBK_FM|GIF_RT|CPM_PD|CidadesdoFuturo_TG|NON_ST|NON_TS|NONE_SZ|1X1_AD|CM1_IT|SOC_U1|ANGRADOSREIS_U2|AzulEscuro</v>
      </c>
      <c r="D296" t="str">
        <f t="shared" si="63"/>
        <v>255146060</v>
      </c>
      <c r="E296" t="str">
        <f t="shared" si="64"/>
        <v>Dynamic Click</v>
      </c>
      <c r="F296" t="str">
        <f t="shared" si="65"/>
        <v>MK|BR_CH|PSD_DT|CROSS_PB|FCBK_FM|GIF_RT|CPM_PD|CidadesdoFuturo_TG|NON_ST|NON_TS|NONE_SZ|1X1_AD|CM1_IT|SOC_U1|ANGRADOSREIS_U2|AzulEscuro</v>
      </c>
      <c r="G296" t="str">
        <f t="shared" si="66"/>
        <v>451451597</v>
      </c>
      <c r="H296" t="str">
        <f t="shared" si="67"/>
        <v>Tracking</v>
      </c>
      <c r="I296">
        <f t="shared" si="68"/>
        <v>0</v>
      </c>
      <c r="J296">
        <f t="shared" si="69"/>
        <v>36</v>
      </c>
      <c r="K296" s="4">
        <f t="shared" si="58"/>
        <v>3.5000000000000001E-3</v>
      </c>
      <c r="L296">
        <f t="shared" si="59"/>
        <v>0.02</v>
      </c>
      <c r="M296" s="4">
        <f t="shared" si="70"/>
        <v>0.126</v>
      </c>
      <c r="N296" s="4">
        <f t="shared" si="71"/>
        <v>0.72</v>
      </c>
    </row>
    <row r="297" spans="1:14">
      <c r="A297" t="str">
        <f t="shared" si="60"/>
        <v>MK|BR_CN|CIDADESDOFUTURO_MN|NONE_YQ|19Q4_CP|5020004441_SP|N/A_AC|CMKT_OB|AWA</v>
      </c>
      <c r="B297" t="str">
        <f t="shared" si="61"/>
        <v>Facebook</v>
      </c>
      <c r="C297" t="str">
        <f t="shared" si="62"/>
        <v>MK|BR_CH|PSD_DT|CROSS_PB|FCBK_FM|GIF_RT|CPM_PD|CidadesdoFuturo_TG|NON_ST|NON_TS|NONE_SZ|1X1_AD|CM1_IT|SOC_U1|APUCARANA_U2|AzulEscuro</v>
      </c>
      <c r="D297" t="str">
        <f t="shared" si="63"/>
        <v>255146048</v>
      </c>
      <c r="E297" t="str">
        <f t="shared" si="64"/>
        <v>Dynamic Click</v>
      </c>
      <c r="F297" t="str">
        <f t="shared" si="65"/>
        <v>MK|BR_CH|PSD_DT|CROSS_PB|FCBK_FM|GIF_RT|CPM_PD|CidadesdoFuturo_TG|NON_ST|NON_TS|NONE_SZ|1X1_AD|CM1_IT|SOC_U1|APUCARANA_U2|AzulEscuro</v>
      </c>
      <c r="G297" t="str">
        <f t="shared" si="66"/>
        <v>451491286</v>
      </c>
      <c r="H297" t="str">
        <f t="shared" si="67"/>
        <v>Tracking</v>
      </c>
      <c r="I297">
        <f t="shared" si="68"/>
        <v>0</v>
      </c>
      <c r="J297">
        <f t="shared" si="69"/>
        <v>19</v>
      </c>
      <c r="K297" s="4">
        <f t="shared" si="58"/>
        <v>3.5000000000000001E-3</v>
      </c>
      <c r="L297">
        <f t="shared" si="59"/>
        <v>0.02</v>
      </c>
      <c r="M297" s="4">
        <f t="shared" si="70"/>
        <v>6.6500000000000004E-2</v>
      </c>
      <c r="N297" s="4">
        <f t="shared" si="71"/>
        <v>0.38</v>
      </c>
    </row>
    <row r="298" spans="1:14">
      <c r="A298" t="str">
        <f t="shared" si="60"/>
        <v>MK|BR_CN|CIDADESDOFUTURO_MN|NONE_YQ|19Q4_CP|5020004441_SP|N/A_AC|CMKT_OB|AWA</v>
      </c>
      <c r="B298" t="str">
        <f t="shared" si="61"/>
        <v>Facebook</v>
      </c>
      <c r="C298" t="str">
        <f t="shared" si="62"/>
        <v>MK|BR_CH|PSD_DT|CROSS_PB|FCBK_FM|GIF_RT|CPM_PD|CidadesdoFuturo_TG|NON_ST|NON_TS|NONE_SZ|1X1_AD|CM1_IT|SOC_U1|APUCARANA_U2|AzulEscuro</v>
      </c>
      <c r="D298" t="str">
        <f t="shared" si="63"/>
        <v>256224077</v>
      </c>
      <c r="E298" t="str">
        <f t="shared" si="64"/>
        <v>Dynamic Click</v>
      </c>
      <c r="F298" t="str">
        <f t="shared" si="65"/>
        <v>MK|BR_CH|PSD_DT|CROSS_PB|FCBK_FM|GIF_RT|CPM_PD|CidadesdoFuturo_TG|NON_ST|NON_TS|NONE_SZ|1X1_AD|CM1_IT|SOC_U1|APUCARANA_U2|AzulEscuro</v>
      </c>
      <c r="G298" t="str">
        <f t="shared" si="66"/>
        <v>452369823</v>
      </c>
      <c r="H298" t="str">
        <f t="shared" si="67"/>
        <v>Tracking</v>
      </c>
      <c r="I298">
        <f t="shared" si="68"/>
        <v>0</v>
      </c>
      <c r="J298">
        <f t="shared" si="69"/>
        <v>1</v>
      </c>
      <c r="K298" s="4">
        <f t="shared" si="58"/>
        <v>3.5000000000000001E-3</v>
      </c>
      <c r="L298">
        <f t="shared" si="59"/>
        <v>0.02</v>
      </c>
      <c r="M298" s="4">
        <f t="shared" si="70"/>
        <v>3.5000000000000001E-3</v>
      </c>
      <c r="N298" s="4">
        <f t="shared" si="71"/>
        <v>0.02</v>
      </c>
    </row>
    <row r="299" spans="1:14">
      <c r="A299" t="str">
        <f t="shared" si="60"/>
        <v>MK|BR_CN|CIDADESDOFUTURO_MN|NONE_YQ|19Q4_CP|5020004441_SP|N/A_AC|CMKT_OB|AWA</v>
      </c>
      <c r="B299" t="str">
        <f t="shared" si="61"/>
        <v>Facebook</v>
      </c>
      <c r="C299" t="str">
        <f t="shared" si="62"/>
        <v>MK|BR_CH|PSD_DT|CROSS_PB|FCBK_FM|GIF_RT|CPM_PD|CidadesdoFuturo_TG|NON_ST|NON_TS|NONE_SZ|1X1_AD|CM1_IT|SOC_U1|ARAGUAINA_U2|AzulEscuro</v>
      </c>
      <c r="D299" t="str">
        <f t="shared" si="63"/>
        <v>255146036</v>
      </c>
      <c r="E299" t="str">
        <f t="shared" si="64"/>
        <v>Dynamic Click</v>
      </c>
      <c r="F299" t="str">
        <f t="shared" si="65"/>
        <v>MK|BR_CH|PSD_DT|CROSS_PB|FCBK_FM|GIF_RT|CPM_PD|CidadesdoFuturo_TG|NON_ST|NON_TS|NONE_SZ|1X1_AD|CM1_IT|SOC_U1|ARAGUAINA_U2|AzulEscuro</v>
      </c>
      <c r="G299" t="str">
        <f t="shared" si="66"/>
        <v>451491310</v>
      </c>
      <c r="H299" t="str">
        <f t="shared" si="67"/>
        <v>Tracking</v>
      </c>
      <c r="I299">
        <f t="shared" si="68"/>
        <v>0</v>
      </c>
      <c r="J299">
        <f t="shared" si="69"/>
        <v>25</v>
      </c>
      <c r="K299" s="4">
        <f t="shared" si="58"/>
        <v>3.5000000000000001E-3</v>
      </c>
      <c r="L299">
        <f t="shared" si="59"/>
        <v>0.02</v>
      </c>
      <c r="M299" s="4">
        <f t="shared" si="70"/>
        <v>8.7500000000000008E-2</v>
      </c>
      <c r="N299" s="4">
        <f t="shared" si="71"/>
        <v>0.5</v>
      </c>
    </row>
    <row r="300" spans="1:14">
      <c r="A300" t="str">
        <f t="shared" si="60"/>
        <v>MK|BR_CN|CIDADESDOFUTURO_MN|NONE_YQ|19Q4_CP|5020004441_SP|N/A_AC|CMKT_OB|AWA</v>
      </c>
      <c r="B300" t="str">
        <f t="shared" si="61"/>
        <v>Facebook</v>
      </c>
      <c r="C300" t="str">
        <f t="shared" si="62"/>
        <v>MK|BR_CH|PSD_DT|CROSS_PB|FCBK_FM|GIF_RT|CPM_PD|CidadesdoFuturo_TG|NON_ST|NON_TS|NONE_SZ|1X1_AD|CM1_IT|SOC_U1|ARAGUAINA_U2|AzulEscuro</v>
      </c>
      <c r="D300" t="str">
        <f t="shared" si="63"/>
        <v>256224083</v>
      </c>
      <c r="E300" t="str">
        <f t="shared" si="64"/>
        <v>Dynamic Click</v>
      </c>
      <c r="F300" t="str">
        <f t="shared" si="65"/>
        <v>MK|BR_CH|PSD_DT|CROSS_PB|FCBK_FM|GIF_RT|CPM_PD|CidadesdoFuturo_TG|NON_ST|NON_TS|NONE_SZ|1X1_AD|CM1_IT|SOC_U1|ARAGUAINA_U2|AzulEscuro</v>
      </c>
      <c r="G300" t="str">
        <f t="shared" si="66"/>
        <v>452369817</v>
      </c>
      <c r="H300" t="str">
        <f t="shared" si="67"/>
        <v>Tracking</v>
      </c>
      <c r="I300">
        <f t="shared" si="68"/>
        <v>0</v>
      </c>
      <c r="J300">
        <f t="shared" si="69"/>
        <v>2</v>
      </c>
      <c r="K300" s="4">
        <f t="shared" ref="K300:K363" si="72">IF(LEFT(B300,3)="DBM",0,VLOOKUP(E300,tabela,2,FALSE))</f>
        <v>3.5000000000000001E-3</v>
      </c>
      <c r="L300">
        <f t="shared" ref="L300:L363" si="73">VLOOKUP(E300,tabela,3,FALSE)</f>
        <v>0.02</v>
      </c>
      <c r="M300" s="4">
        <f t="shared" si="70"/>
        <v>7.0000000000000001E-3</v>
      </c>
      <c r="N300" s="4">
        <f t="shared" si="71"/>
        <v>0.04</v>
      </c>
    </row>
    <row r="301" spans="1:14">
      <c r="A301" t="str">
        <f t="shared" si="60"/>
        <v>MK|BR_CN|CIDADESDOFUTURO_MN|NONE_YQ|19Q4_CP|5020004441_SP|N/A_AC|CMKT_OB|AWA</v>
      </c>
      <c r="B301" t="str">
        <f t="shared" si="61"/>
        <v>Facebook</v>
      </c>
      <c r="C301" t="str">
        <f t="shared" si="62"/>
        <v>MK|BR_CH|PSD_DT|CROSS_PB|FCBK_FM|GIF_RT|CPM_PD|CidadesdoFuturo_TG|NON_ST|NON_TS|NONE_SZ|1X1_AD|CM1_IT|SOC_U1|ARARAS_U2|AzulEscuro</v>
      </c>
      <c r="D301" t="str">
        <f t="shared" si="63"/>
        <v>255146024</v>
      </c>
      <c r="E301" t="str">
        <f t="shared" si="64"/>
        <v>Dynamic Click</v>
      </c>
      <c r="F301" t="str">
        <f t="shared" si="65"/>
        <v>MK|BR_CH|PSD_DT|CROSS_PB|FCBK_FM|GIF_RT|CPM_PD|CidadesdoFuturo_TG|NON_ST|NON_TS|NONE_SZ|1X1_AD|CM1_IT|SOC_U1|ARARAS_U2|AzulEscuro</v>
      </c>
      <c r="G301" t="str">
        <f t="shared" si="66"/>
        <v>451491337</v>
      </c>
      <c r="H301" t="str">
        <f t="shared" si="67"/>
        <v>Tracking</v>
      </c>
      <c r="I301">
        <f t="shared" si="68"/>
        <v>0</v>
      </c>
      <c r="J301">
        <f t="shared" si="69"/>
        <v>15</v>
      </c>
      <c r="K301" s="4">
        <f t="shared" si="72"/>
        <v>3.5000000000000001E-3</v>
      </c>
      <c r="L301">
        <f t="shared" si="73"/>
        <v>0.02</v>
      </c>
      <c r="M301" s="4">
        <f t="shared" si="70"/>
        <v>5.2499999999999998E-2</v>
      </c>
      <c r="N301" s="4">
        <f t="shared" si="71"/>
        <v>0.3</v>
      </c>
    </row>
    <row r="302" spans="1:14">
      <c r="A302" t="str">
        <f t="shared" si="60"/>
        <v>MK|BR_CN|CIDADESDOFUTURO_MN|NONE_YQ|19Q4_CP|5020004441_SP|N/A_AC|CMKT_OB|AWA</v>
      </c>
      <c r="B302" t="str">
        <f t="shared" si="61"/>
        <v>Facebook</v>
      </c>
      <c r="C302" t="str">
        <f t="shared" si="62"/>
        <v>MK|BR_CH|PSD_DT|CROSS_PB|FCBK_FM|GIF_RT|CPM_PD|CidadesdoFuturo_TG|NON_ST|NON_TS|NONE_SZ|1X1_AD|CM1_IT|SOC_U1|BARRETOS_U2|AzulEscuro</v>
      </c>
      <c r="D302" t="str">
        <f t="shared" si="63"/>
        <v>255146012</v>
      </c>
      <c r="E302" t="str">
        <f t="shared" si="64"/>
        <v>Dynamic Click</v>
      </c>
      <c r="F302" t="str">
        <f t="shared" si="65"/>
        <v>MK|BR_CH|PSD_DT|CROSS_PB|FCBK_FM|GIF_RT|CPM_PD|CidadesdoFuturo_TG|NON_ST|NON_TS|NONE_SZ|1X1_AD|CM1_IT|SOC_U1|BARRETOS_U2|AzulEscuro</v>
      </c>
      <c r="G302" t="str">
        <f t="shared" si="66"/>
        <v>451491361</v>
      </c>
      <c r="H302" t="str">
        <f t="shared" si="67"/>
        <v>Tracking</v>
      </c>
      <c r="I302">
        <f t="shared" si="68"/>
        <v>0</v>
      </c>
      <c r="J302">
        <f t="shared" si="69"/>
        <v>16</v>
      </c>
      <c r="K302" s="4">
        <f t="shared" si="72"/>
        <v>3.5000000000000001E-3</v>
      </c>
      <c r="L302">
        <f t="shared" si="73"/>
        <v>0.02</v>
      </c>
      <c r="M302" s="4">
        <f t="shared" si="70"/>
        <v>5.6000000000000001E-2</v>
      </c>
      <c r="N302" s="4">
        <f t="shared" si="71"/>
        <v>0.32</v>
      </c>
    </row>
    <row r="303" spans="1:14">
      <c r="A303" t="str">
        <f t="shared" si="60"/>
        <v>MK|BR_CN|CIDADESDOFUTURO_MN|NONE_YQ|19Q4_CP|5020004441_SP|N/A_AC|CMKT_OB|AWA</v>
      </c>
      <c r="B303" t="str">
        <f t="shared" si="61"/>
        <v>Facebook</v>
      </c>
      <c r="C303" t="str">
        <f t="shared" si="62"/>
        <v>MK|BR_CH|PSD_DT|CROSS_PB|FCBK_FM|GIF_RT|CPM_PD|CidadesdoFuturo_TG|NON_ST|NON_TS|NONE_SZ|1X1_AD|CM1_IT|SOC_U1|BARRETOS_U2|AzulEscuro</v>
      </c>
      <c r="D303" t="str">
        <f t="shared" si="63"/>
        <v>256224095</v>
      </c>
      <c r="E303" t="str">
        <f t="shared" si="64"/>
        <v>Dynamic Click</v>
      </c>
      <c r="F303" t="str">
        <f t="shared" si="65"/>
        <v>MK|BR_CH|PSD_DT|CROSS_PB|FCBK_FM|GIF_RT|CPM_PD|CidadesdoFuturo_TG|NON_ST|NON_TS|NONE_SZ|1X1_AD|CM1_IT|SOC_U1|BARRETOS_U2|AzulEscuro</v>
      </c>
      <c r="G303" t="str">
        <f t="shared" si="66"/>
        <v>452369805</v>
      </c>
      <c r="H303" t="str">
        <f t="shared" si="67"/>
        <v>Tracking</v>
      </c>
      <c r="I303">
        <f t="shared" si="68"/>
        <v>0</v>
      </c>
      <c r="J303">
        <f t="shared" si="69"/>
        <v>1</v>
      </c>
      <c r="K303" s="4">
        <f t="shared" si="72"/>
        <v>3.5000000000000001E-3</v>
      </c>
      <c r="L303">
        <f t="shared" si="73"/>
        <v>0.02</v>
      </c>
      <c r="M303" s="4">
        <f t="shared" si="70"/>
        <v>3.5000000000000001E-3</v>
      </c>
      <c r="N303" s="4">
        <f t="shared" si="71"/>
        <v>0.02</v>
      </c>
    </row>
    <row r="304" spans="1:14">
      <c r="A304" t="str">
        <f t="shared" si="60"/>
        <v>MK|BR_CN|CIDADESDOFUTURO_MN|NONE_YQ|19Q4_CP|5020004441_SP|N/A_AC|CMKT_OB|AWA</v>
      </c>
      <c r="B304" t="str">
        <f t="shared" si="61"/>
        <v>Facebook</v>
      </c>
      <c r="C304" t="str">
        <f t="shared" si="62"/>
        <v>MK|BR_CH|PSD_DT|CROSS_PB|FCBK_FM|GIF_RT|CPM_PD|CidadesdoFuturo_TG|NON_ST|NON_TS|NONE_SZ|1X1_AD|CM1_IT|SOC_U1|BELEM_U2|AzulEscuro</v>
      </c>
      <c r="D304" t="str">
        <f t="shared" si="63"/>
        <v>255471076</v>
      </c>
      <c r="E304" t="str">
        <f t="shared" si="64"/>
        <v>Dynamic Click</v>
      </c>
      <c r="F304" t="str">
        <f t="shared" si="65"/>
        <v>MK|BR_CH|PSD_DT|CROSS_PB|FCBK_FM|GIF_RT|CPM_PD|CidadesdoFuturo_TG|NON_ST|NON_TS|NONE_SZ|1X1_AD|CM1_IT|SOC_U1|BELEM_U2|AzulEscuro</v>
      </c>
      <c r="G304" t="str">
        <f t="shared" si="66"/>
        <v>451397517</v>
      </c>
      <c r="H304" t="str">
        <f t="shared" si="67"/>
        <v>Tracking</v>
      </c>
      <c r="I304">
        <f t="shared" si="68"/>
        <v>0</v>
      </c>
      <c r="J304">
        <f t="shared" si="69"/>
        <v>157</v>
      </c>
      <c r="K304" s="4">
        <f t="shared" si="72"/>
        <v>3.5000000000000001E-3</v>
      </c>
      <c r="L304">
        <f t="shared" si="73"/>
        <v>0.02</v>
      </c>
      <c r="M304" s="4">
        <f t="shared" si="70"/>
        <v>0.54949999999999999</v>
      </c>
      <c r="N304" s="4">
        <f t="shared" si="71"/>
        <v>3.14</v>
      </c>
    </row>
    <row r="305" spans="1:14">
      <c r="A305" t="str">
        <f t="shared" si="60"/>
        <v>MK|BR_CN|CIDADESDOFUTURO_MN|NONE_YQ|19Q4_CP|5020004441_SP|N/A_AC|CMKT_OB|AWA</v>
      </c>
      <c r="B305" t="str">
        <f t="shared" si="61"/>
        <v>Facebook</v>
      </c>
      <c r="C305" t="str">
        <f t="shared" si="62"/>
        <v>MK|BR_CH|PSD_DT|CROSS_PB|FCBK_FM|GIF_RT|CPM_PD|CidadesdoFuturo_TG|NON_ST|NON_TS|NONE_SZ|1X1_AD|CM1_IT|SOC_U1|BOAVISTA_U2|AzulEscuro</v>
      </c>
      <c r="D305" t="str">
        <f t="shared" si="63"/>
        <v>255146000</v>
      </c>
      <c r="E305" t="str">
        <f t="shared" si="64"/>
        <v>Dynamic Click</v>
      </c>
      <c r="F305" t="str">
        <f t="shared" si="65"/>
        <v>MK|BR_CH|PSD_DT|CROSS_PB|FCBK_FM|GIF_RT|CPM_PD|CidadesdoFuturo_TG|NON_ST|NON_TS|NONE_SZ|1X1_AD|CM1_IT|SOC_U1|BOAVISTA_U2|AzulEscuro</v>
      </c>
      <c r="G305" t="str">
        <f t="shared" si="66"/>
        <v>451491388</v>
      </c>
      <c r="H305" t="str">
        <f t="shared" si="67"/>
        <v>Tracking</v>
      </c>
      <c r="I305">
        <f t="shared" si="68"/>
        <v>0</v>
      </c>
      <c r="J305">
        <f t="shared" si="69"/>
        <v>40</v>
      </c>
      <c r="K305" s="4">
        <f t="shared" si="72"/>
        <v>3.5000000000000001E-3</v>
      </c>
      <c r="L305">
        <f t="shared" si="73"/>
        <v>0.02</v>
      </c>
      <c r="M305" s="4">
        <f t="shared" si="70"/>
        <v>0.14000000000000001</v>
      </c>
      <c r="N305" s="4">
        <f t="shared" si="71"/>
        <v>0.8</v>
      </c>
    </row>
    <row r="306" spans="1:14">
      <c r="A306" t="str">
        <f t="shared" si="60"/>
        <v>MK|BR_CN|CIDADESDOFUTURO_MN|NONE_YQ|19Q4_CP|5020004441_SP|N/A_AC|CMKT_OB|AWA</v>
      </c>
      <c r="B306" t="str">
        <f t="shared" si="61"/>
        <v>Facebook</v>
      </c>
      <c r="C306" t="str">
        <f t="shared" si="62"/>
        <v>MK|BR_CH|PSD_DT|CROSS_PB|FCBK_FM|GIF_RT|CPM_PD|CidadesdoFuturo_TG|NON_ST|NON_TS|NONE_SZ|1X1_AD|CM1_IT|SOC_U1|BOAVISTA_U2|AzulEscuro</v>
      </c>
      <c r="D306" t="str">
        <f t="shared" si="63"/>
        <v>256224101</v>
      </c>
      <c r="E306" t="str">
        <f t="shared" si="64"/>
        <v>Dynamic Click</v>
      </c>
      <c r="F306" t="str">
        <f t="shared" si="65"/>
        <v>MK|BR_CH|PSD_DT|CROSS_PB|FCBK_FM|GIF_RT|CPM_PD|CidadesdoFuturo_TG|NON_ST|NON_TS|NONE_SZ|1X1_AD|CM1_IT|SOC_U1|BOAVISTA_U2|AzulEscuro</v>
      </c>
      <c r="G306" t="str">
        <f t="shared" si="66"/>
        <v>452369799</v>
      </c>
      <c r="H306" t="str">
        <f t="shared" si="67"/>
        <v>Tracking</v>
      </c>
      <c r="I306">
        <f t="shared" si="68"/>
        <v>0</v>
      </c>
      <c r="J306">
        <f t="shared" si="69"/>
        <v>1</v>
      </c>
      <c r="K306" s="4">
        <f t="shared" si="72"/>
        <v>3.5000000000000001E-3</v>
      </c>
      <c r="L306">
        <f t="shared" si="73"/>
        <v>0.02</v>
      </c>
      <c r="M306" s="4">
        <f t="shared" si="70"/>
        <v>3.5000000000000001E-3</v>
      </c>
      <c r="N306" s="4">
        <f t="shared" si="71"/>
        <v>0.02</v>
      </c>
    </row>
    <row r="307" spans="1:14">
      <c r="A307" t="str">
        <f t="shared" si="60"/>
        <v>MK|BR_CN|CIDADESDOFUTURO_MN|NONE_YQ|19Q4_CP|5020004441_SP|N/A_AC|CMKT_OB|AWA</v>
      </c>
      <c r="B307" t="str">
        <f t="shared" si="61"/>
        <v>Facebook</v>
      </c>
      <c r="C307" t="str">
        <f t="shared" si="62"/>
        <v>MK|BR_CH|PSD_DT|CROSS_PB|FCBK_FM|GIF_RT|CPM_PD|CidadesdoFuturo_TG|NON_ST|NON_TS|NONE_SZ|1X1_AD|CM1_IT|SOC_U1|BRUSQUE_U2|AzulEscuro</v>
      </c>
      <c r="D307" t="str">
        <f t="shared" si="63"/>
        <v>255145988</v>
      </c>
      <c r="E307" t="str">
        <f t="shared" si="64"/>
        <v>Dynamic Click</v>
      </c>
      <c r="F307" t="str">
        <f t="shared" si="65"/>
        <v>MK|BR_CH|PSD_DT|CROSS_PB|FCBK_FM|GIF_RT|CPM_PD|CidadesdoFuturo_TG|NON_ST|NON_TS|NONE_SZ|1X1_AD|CM1_IT|SOC_U1|BRUSQUE_U2|AzulEscuro</v>
      </c>
      <c r="G307" t="str">
        <f t="shared" si="66"/>
        <v>451491412</v>
      </c>
      <c r="H307" t="str">
        <f t="shared" si="67"/>
        <v>Tracking</v>
      </c>
      <c r="I307">
        <f t="shared" si="68"/>
        <v>0</v>
      </c>
      <c r="J307">
        <f t="shared" si="69"/>
        <v>21</v>
      </c>
      <c r="K307" s="4">
        <f t="shared" si="72"/>
        <v>3.5000000000000001E-3</v>
      </c>
      <c r="L307">
        <f t="shared" si="73"/>
        <v>0.02</v>
      </c>
      <c r="M307" s="4">
        <f t="shared" si="70"/>
        <v>7.3499999999999996E-2</v>
      </c>
      <c r="N307" s="4">
        <f t="shared" si="71"/>
        <v>0.42</v>
      </c>
    </row>
    <row r="308" spans="1:14">
      <c r="A308" t="str">
        <f t="shared" si="60"/>
        <v>MK|BR_CN|CIDADESDOFUTURO_MN|NONE_YQ|19Q4_CP|5020004441_SP|N/A_AC|CMKT_OB|AWA</v>
      </c>
      <c r="B308" t="str">
        <f t="shared" si="61"/>
        <v>Facebook</v>
      </c>
      <c r="C308" t="str">
        <f t="shared" si="62"/>
        <v>MK|BR_CH|PSD_DT|CROSS_PB|FCBK_FM|GIF_RT|CPM_PD|CidadesdoFuturo_TG|NON_ST|NON_TS|NONE_SZ|1X1_AD|CM1_IT|SOC_U1|BRUSQUE_U2|AzulEscuro</v>
      </c>
      <c r="D308" t="str">
        <f t="shared" si="63"/>
        <v>256224107</v>
      </c>
      <c r="E308" t="str">
        <f t="shared" si="64"/>
        <v>Dynamic Click</v>
      </c>
      <c r="F308" t="str">
        <f t="shared" si="65"/>
        <v>MK|BR_CH|PSD_DT|CROSS_PB|FCBK_FM|GIF_RT|CPM_PD|CidadesdoFuturo_TG|NON_ST|NON_TS|NONE_SZ|1X1_AD|CM1_IT|SOC_U1|BRUSQUE_U2|AzulEscuro</v>
      </c>
      <c r="G308" t="str">
        <f t="shared" si="66"/>
        <v>452369793</v>
      </c>
      <c r="H308" t="str">
        <f t="shared" si="67"/>
        <v>Tracking</v>
      </c>
      <c r="I308">
        <f t="shared" si="68"/>
        <v>0</v>
      </c>
      <c r="J308">
        <f t="shared" si="69"/>
        <v>1</v>
      </c>
      <c r="K308" s="4">
        <f t="shared" si="72"/>
        <v>3.5000000000000001E-3</v>
      </c>
      <c r="L308">
        <f t="shared" si="73"/>
        <v>0.02</v>
      </c>
      <c r="M308" s="4">
        <f t="shared" si="70"/>
        <v>3.5000000000000001E-3</v>
      </c>
      <c r="N308" s="4">
        <f t="shared" si="71"/>
        <v>0.02</v>
      </c>
    </row>
    <row r="309" spans="1:14">
      <c r="A309" t="str">
        <f t="shared" si="60"/>
        <v>MK|BR_CN|CIDADESDOFUTURO_MN|NONE_YQ|19Q4_CP|5020004441_SP|N/A_AC|CMKT_OB|AWA</v>
      </c>
      <c r="B309" t="str">
        <f t="shared" si="61"/>
        <v>Facebook</v>
      </c>
      <c r="C309" t="str">
        <f t="shared" si="62"/>
        <v>MK|BR_CH|PSD_DT|CROSS_PB|FCBK_FM|GIF_RT|CPM_PD|CidadesdoFuturo_TG|NON_ST|NON_TS|NONE_SZ|1X1_AD|CM1_IT|SOC_U1|CABOFRIO_U2|AzulEscuro</v>
      </c>
      <c r="D309" t="str">
        <f t="shared" si="63"/>
        <v>255145976</v>
      </c>
      <c r="E309" t="str">
        <f t="shared" si="64"/>
        <v>Dynamic Click</v>
      </c>
      <c r="F309" t="str">
        <f t="shared" si="65"/>
        <v>MK|BR_CH|PSD_DT|CROSS_PB|FCBK_FM|GIF_RT|CPM_PD|CidadesdoFuturo_TG|NON_ST|NON_TS|NONE_SZ|1X1_AD|CM1_IT|SOC_U1|CABOFRIO_U2|AzulEscuro</v>
      </c>
      <c r="G309" t="str">
        <f t="shared" si="66"/>
        <v>451491439</v>
      </c>
      <c r="H309" t="str">
        <f t="shared" si="67"/>
        <v>Tracking</v>
      </c>
      <c r="I309">
        <f t="shared" si="68"/>
        <v>0</v>
      </c>
      <c r="J309">
        <f t="shared" si="69"/>
        <v>37</v>
      </c>
      <c r="K309" s="4">
        <f t="shared" si="72"/>
        <v>3.5000000000000001E-3</v>
      </c>
      <c r="L309">
        <f t="shared" si="73"/>
        <v>0.02</v>
      </c>
      <c r="M309" s="4">
        <f t="shared" si="70"/>
        <v>0.1295</v>
      </c>
      <c r="N309" s="4">
        <f t="shared" si="71"/>
        <v>0.74</v>
      </c>
    </row>
    <row r="310" spans="1:14">
      <c r="A310" t="str">
        <f t="shared" si="60"/>
        <v>MK|BR_CN|CIDADESDOFUTURO_MN|NONE_YQ|19Q4_CP|5020004441_SP|N/A_AC|CMKT_OB|AWA</v>
      </c>
      <c r="B310" t="str">
        <f t="shared" si="61"/>
        <v>Facebook</v>
      </c>
      <c r="C310" t="str">
        <f t="shared" si="62"/>
        <v>MK|BR_CH|PSD_DT|CROSS_PB|FCBK_FM|GIF_RT|CPM_PD|CidadesdoFuturo_TG|NON_ST|NON_TS|NONE_SZ|1X1_AD|CM1_IT|SOC_U1|CACHOEIRODEITAPEMIRIM_U2|AzulEscuro</v>
      </c>
      <c r="D310" t="str">
        <f t="shared" si="63"/>
        <v>255145964</v>
      </c>
      <c r="E310" t="str">
        <f t="shared" si="64"/>
        <v>Dynamic Click</v>
      </c>
      <c r="F310" t="str">
        <f t="shared" si="65"/>
        <v>MK|BR_CH|PSD_DT|CROSS_PB|FCBK_FM|GIF_RT|CPM_PD|CidadesdoFuturo_TG|NON_ST|NON_TS|NONE_SZ|1X1_AD|CM1_IT|SOC_U1|CACHOEIRODEITAPEMIRIM_U2|AzulEscuro</v>
      </c>
      <c r="G310" t="str">
        <f t="shared" si="66"/>
        <v>451491463</v>
      </c>
      <c r="H310" t="str">
        <f t="shared" si="67"/>
        <v>Tracking</v>
      </c>
      <c r="I310">
        <f t="shared" si="68"/>
        <v>0</v>
      </c>
      <c r="J310">
        <f t="shared" si="69"/>
        <v>38</v>
      </c>
      <c r="K310" s="4">
        <f t="shared" si="72"/>
        <v>3.5000000000000001E-3</v>
      </c>
      <c r="L310">
        <f t="shared" si="73"/>
        <v>0.02</v>
      </c>
      <c r="M310" s="4">
        <f t="shared" si="70"/>
        <v>0.13300000000000001</v>
      </c>
      <c r="N310" s="4">
        <f t="shared" si="71"/>
        <v>0.76</v>
      </c>
    </row>
    <row r="311" spans="1:14">
      <c r="A311" t="str">
        <f t="shared" si="60"/>
        <v>MK|BR_CN|CIDADESDOFUTURO_MN|NONE_YQ|19Q4_CP|5020004441_SP|N/A_AC|CMKT_OB|AWA</v>
      </c>
      <c r="B311" t="str">
        <f t="shared" si="61"/>
        <v>Facebook</v>
      </c>
      <c r="C311" t="str">
        <f t="shared" si="62"/>
        <v>MK|BR_CH|PSD_DT|CROSS_PB|FCBK_FM|GIF_RT|CPM_PD|CidadesdoFuturo_TG|NON_ST|NON_TS|NONE_SZ|1X1_AD|CM1_IT|SOC_U1|CACHOEIRODEITAPEMIRIM_U2|AzulEscuro</v>
      </c>
      <c r="D311" t="str">
        <f t="shared" si="63"/>
        <v>256224119</v>
      </c>
      <c r="E311" t="str">
        <f t="shared" si="64"/>
        <v>Dynamic Click</v>
      </c>
      <c r="F311" t="str">
        <f t="shared" si="65"/>
        <v>MK|BR_CH|PSD_DT|CROSS_PB|FCBK_FM|GIF_RT|CPM_PD|CidadesdoFuturo_TG|NON_ST|NON_TS|NONE_SZ|1X1_AD|CM1_IT|SOC_U1|CACHOEIRODEITAPEMIRIM_U2|AzulEscuro</v>
      </c>
      <c r="G311" t="str">
        <f t="shared" si="66"/>
        <v>452369781</v>
      </c>
      <c r="H311" t="str">
        <f t="shared" si="67"/>
        <v>Tracking</v>
      </c>
      <c r="I311">
        <f t="shared" si="68"/>
        <v>0</v>
      </c>
      <c r="J311">
        <f t="shared" si="69"/>
        <v>2</v>
      </c>
      <c r="K311" s="4">
        <f t="shared" si="72"/>
        <v>3.5000000000000001E-3</v>
      </c>
      <c r="L311">
        <f t="shared" si="73"/>
        <v>0.02</v>
      </c>
      <c r="M311" s="4">
        <f t="shared" si="70"/>
        <v>7.0000000000000001E-3</v>
      </c>
      <c r="N311" s="4">
        <f t="shared" si="71"/>
        <v>0.04</v>
      </c>
    </row>
    <row r="312" spans="1:14">
      <c r="A312" t="str">
        <f t="shared" si="60"/>
        <v>MK|BR_CN|CIDADESDOFUTURO_MN|NONE_YQ|19Q4_CP|5020004441_SP|N/A_AC|CMKT_OB|AWA</v>
      </c>
      <c r="B312" t="str">
        <f t="shared" si="61"/>
        <v>Facebook</v>
      </c>
      <c r="C312" t="str">
        <f t="shared" si="62"/>
        <v>MK|BR_CH|PSD_DT|CROSS_PB|FCBK_FM|GIF_RT|CPM_PD|CidadesdoFuturo_TG|NON_ST|NON_TS|NONE_SZ|1X1_AD|CM1_IT|SOC_U1|CAMPINAGRANDE_U2|AzulEscuro</v>
      </c>
      <c r="D312" t="str">
        <f t="shared" si="63"/>
        <v>255145952</v>
      </c>
      <c r="E312" t="str">
        <f t="shared" si="64"/>
        <v>Dynamic Click</v>
      </c>
      <c r="F312" t="str">
        <f t="shared" si="65"/>
        <v>MK|BR_CH|PSD_DT|CROSS_PB|FCBK_FM|GIF_RT|CPM_PD|CidadesdoFuturo_TG|NON_ST|NON_TS|NONE_SZ|1X1_AD|CM1_IT|SOC_U1|CAMPINAGRANDE_U2|AzulEscuro</v>
      </c>
      <c r="G312" t="str">
        <f t="shared" si="66"/>
        <v>451491490</v>
      </c>
      <c r="H312" t="str">
        <f t="shared" si="67"/>
        <v>Tracking</v>
      </c>
      <c r="I312">
        <f t="shared" si="68"/>
        <v>0</v>
      </c>
      <c r="J312">
        <f t="shared" si="69"/>
        <v>21</v>
      </c>
      <c r="K312" s="4">
        <f t="shared" si="72"/>
        <v>3.5000000000000001E-3</v>
      </c>
      <c r="L312">
        <f t="shared" si="73"/>
        <v>0.02</v>
      </c>
      <c r="M312" s="4">
        <f t="shared" si="70"/>
        <v>7.3499999999999996E-2</v>
      </c>
      <c r="N312" s="4">
        <f t="shared" si="71"/>
        <v>0.42</v>
      </c>
    </row>
    <row r="313" spans="1:14">
      <c r="A313" t="str">
        <f t="shared" si="60"/>
        <v>MK|BR_CN|CIDADESDOFUTURO_MN|NONE_YQ|19Q4_CP|5020004441_SP|N/A_AC|CMKT_OB|AWA</v>
      </c>
      <c r="B313" t="str">
        <f t="shared" si="61"/>
        <v>Facebook</v>
      </c>
      <c r="C313" t="str">
        <f t="shared" si="62"/>
        <v>MK|BR_CH|PSD_DT|CROSS_PB|FCBK_FM|GIF_RT|CPM_PD|CidadesdoFuturo_TG|NON_ST|NON_TS|NONE_SZ|1X1_AD|CM1_IT|SOC_U1|CAMPINAGRANDE_U2|AzulEscuro</v>
      </c>
      <c r="D313" t="str">
        <f t="shared" si="63"/>
        <v>256224125</v>
      </c>
      <c r="E313" t="str">
        <f t="shared" si="64"/>
        <v>Dynamic Click</v>
      </c>
      <c r="F313" t="str">
        <f t="shared" si="65"/>
        <v>MK|BR_CH|PSD_DT|CROSS_PB|FCBK_FM|GIF_RT|CPM_PD|CidadesdoFuturo_TG|NON_ST|NON_TS|NONE_SZ|1X1_AD|CM1_IT|SOC_U1|CAMPINAGRANDE_U2|AzulEscuro</v>
      </c>
      <c r="G313" t="str">
        <f t="shared" si="66"/>
        <v>452369775</v>
      </c>
      <c r="H313" t="str">
        <f t="shared" si="67"/>
        <v>Tracking</v>
      </c>
      <c r="I313">
        <f t="shared" si="68"/>
        <v>0</v>
      </c>
      <c r="J313">
        <f t="shared" si="69"/>
        <v>1</v>
      </c>
      <c r="K313" s="4">
        <f t="shared" si="72"/>
        <v>3.5000000000000001E-3</v>
      </c>
      <c r="L313">
        <f t="shared" si="73"/>
        <v>0.02</v>
      </c>
      <c r="M313" s="4">
        <f t="shared" si="70"/>
        <v>3.5000000000000001E-3</v>
      </c>
      <c r="N313" s="4">
        <f t="shared" si="71"/>
        <v>0.02</v>
      </c>
    </row>
    <row r="314" spans="1:14">
      <c r="A314" t="str">
        <f t="shared" si="60"/>
        <v>MK|BR_CN|CIDADESDOFUTURO_MN|NONE_YQ|19Q4_CP|5020004441_SP|N/A_AC|CMKT_OB|AWA</v>
      </c>
      <c r="B314" t="str">
        <f t="shared" si="61"/>
        <v>Facebook</v>
      </c>
      <c r="C314" t="str">
        <f t="shared" si="62"/>
        <v>MK|BR_CH|PSD_DT|CROSS_PB|FCBK_FM|GIF_RT|CPM_PD|CidadesdoFuturo_TG|NON_ST|NON_TS|NONE_SZ|1X1_AD|CM1_IT|SOC_U1|CAMPINAGRANDE_U2|AzulEscuro</v>
      </c>
      <c r="D314" t="str">
        <f t="shared" si="63"/>
        <v>256224131</v>
      </c>
      <c r="E314" t="str">
        <f t="shared" si="64"/>
        <v>Dynamic Click</v>
      </c>
      <c r="F314" t="str">
        <f t="shared" si="65"/>
        <v>MK|BR_CH|PSD_DT|CROSS_PB|FCBK_FM|GIF_RT|CPM_PD|CidadesdoFuturo_TG|NON_ST|NON_TS|NONE_SZ|1X1_AD|CM1_IT|SOC_U1|CAMPINAGRANDE_U2|AzulEscuro</v>
      </c>
      <c r="G314" t="str">
        <f t="shared" si="66"/>
        <v>452369769</v>
      </c>
      <c r="H314" t="str">
        <f t="shared" si="67"/>
        <v>Tracking</v>
      </c>
      <c r="I314">
        <f t="shared" si="68"/>
        <v>0</v>
      </c>
      <c r="J314">
        <f t="shared" si="69"/>
        <v>1</v>
      </c>
      <c r="K314" s="4">
        <f t="shared" si="72"/>
        <v>3.5000000000000001E-3</v>
      </c>
      <c r="L314">
        <f t="shared" si="73"/>
        <v>0.02</v>
      </c>
      <c r="M314" s="4">
        <f t="shared" si="70"/>
        <v>3.5000000000000001E-3</v>
      </c>
      <c r="N314" s="4">
        <f t="shared" si="71"/>
        <v>0.02</v>
      </c>
    </row>
    <row r="315" spans="1:14">
      <c r="A315" t="str">
        <f t="shared" si="60"/>
        <v>MK|BR_CN|CIDADESDOFUTURO_MN|NONE_YQ|19Q4_CP|5020004441_SP|N/A_AC|CMKT_OB|AWA</v>
      </c>
      <c r="B315" t="str">
        <f t="shared" si="61"/>
        <v>Facebook</v>
      </c>
      <c r="C315" t="str">
        <f t="shared" si="62"/>
        <v>MK|BR_CH|PSD_DT|CROSS_PB|FCBK_FM|GIF_RT|CPM_PD|CidadesdoFuturo_TG|NON_ST|NON_TS|NONE_SZ|1X1_AD|CM1_IT|SOC_U1|CAMPOSDOSGOYTACAZES_U2|AzulEscuro</v>
      </c>
      <c r="D315" t="str">
        <f t="shared" si="63"/>
        <v>255145940</v>
      </c>
      <c r="E315" t="str">
        <f t="shared" si="64"/>
        <v>Dynamic Click</v>
      </c>
      <c r="F315" t="str">
        <f t="shared" si="65"/>
        <v>MK|BR_CH|PSD_DT|CROSS_PB|FCBK_FM|GIF_RT|CPM_PD|CidadesdoFuturo_TG|NON_ST|NON_TS|NONE_SZ|1X1_AD|CM1_IT|SOC_U1|CAMPINAGRANDE_U2|AzulEscuro</v>
      </c>
      <c r="G315" t="str">
        <f t="shared" si="66"/>
        <v>451491514</v>
      </c>
      <c r="H315" t="str">
        <f t="shared" si="67"/>
        <v>Tracking</v>
      </c>
      <c r="I315">
        <f t="shared" si="68"/>
        <v>0</v>
      </c>
      <c r="J315">
        <f t="shared" si="69"/>
        <v>72</v>
      </c>
      <c r="K315" s="4">
        <f t="shared" si="72"/>
        <v>3.5000000000000001E-3</v>
      </c>
      <c r="L315">
        <f t="shared" si="73"/>
        <v>0.02</v>
      </c>
      <c r="M315" s="4">
        <f t="shared" si="70"/>
        <v>0.252</v>
      </c>
      <c r="N315" s="4">
        <f t="shared" si="71"/>
        <v>1.44</v>
      </c>
    </row>
    <row r="316" spans="1:14">
      <c r="A316" t="str">
        <f t="shared" si="60"/>
        <v>MK|BR_CN|CIDADESDOFUTURO_MN|NONE_YQ|19Q4_CP|5020004441_SP|N/A_AC|CMKT_OB|AWA</v>
      </c>
      <c r="B316" t="str">
        <f t="shared" si="61"/>
        <v>Facebook</v>
      </c>
      <c r="C316" t="str">
        <f t="shared" si="62"/>
        <v>MK|BR_CH|PSD_DT|CROSS_PB|FCBK_FM|GIF_RT|CPM_PD|CidadesdoFuturo_TG|NON_ST|NON_TS|NONE_SZ|1X1_AD|CM1_IT|SOC_U1|CAMPOSDOSGOYTACAZES_U2|AzulEscuro</v>
      </c>
      <c r="D316" t="str">
        <f t="shared" si="63"/>
        <v>256224137</v>
      </c>
      <c r="E316" t="str">
        <f t="shared" si="64"/>
        <v>Dynamic Click</v>
      </c>
      <c r="F316" t="str">
        <f t="shared" si="65"/>
        <v>MK|BR_CH|PSD_DT|CROSS_PB|FCBK_FM|GIF_RT|CPM_PD|CidadesdoFuturo_TG|NON_ST|NON_TS|NONE_SZ|1X1_AD|CM1_IT|SOC_U1|CAMPOSDOSGOYTACAZES_U2|AzulEscuro</v>
      </c>
      <c r="G316" t="str">
        <f t="shared" si="66"/>
        <v>452369763</v>
      </c>
      <c r="H316" t="str">
        <f t="shared" si="67"/>
        <v>Tracking</v>
      </c>
      <c r="I316">
        <f t="shared" si="68"/>
        <v>0</v>
      </c>
      <c r="J316">
        <f t="shared" si="69"/>
        <v>2</v>
      </c>
      <c r="K316" s="4">
        <f t="shared" si="72"/>
        <v>3.5000000000000001E-3</v>
      </c>
      <c r="L316">
        <f t="shared" si="73"/>
        <v>0.02</v>
      </c>
      <c r="M316" s="4">
        <f t="shared" si="70"/>
        <v>7.0000000000000001E-3</v>
      </c>
      <c r="N316" s="4">
        <f t="shared" si="71"/>
        <v>0.04</v>
      </c>
    </row>
    <row r="317" spans="1:14">
      <c r="A317" t="str">
        <f t="shared" si="60"/>
        <v>MK|BR_CN|CIDADESDOFUTURO_MN|NONE_YQ|19Q4_CP|5020004441_SP|N/A_AC|CMKT_OB|AWA</v>
      </c>
      <c r="B317" t="str">
        <f t="shared" si="61"/>
        <v>Facebook</v>
      </c>
      <c r="C317" t="str">
        <f t="shared" si="62"/>
        <v>MK|BR_CH|PSD_DT|CROSS_PB|FCBK_FM|GIF_RT|CPM_PD|CidadesdoFuturo_TG|NON_ST|NON_TS|NONE_SZ|1X1_AD|CM1_IT|SOC_U1|CARUARU_U2|AzulEscuro</v>
      </c>
      <c r="D317" t="str">
        <f t="shared" si="63"/>
        <v>255145928</v>
      </c>
      <c r="E317" t="str">
        <f t="shared" si="64"/>
        <v>Dynamic Click</v>
      </c>
      <c r="F317" t="str">
        <f t="shared" si="65"/>
        <v>MK|BR_CH|PSD_DT|CROSS_PB|FCBK_FM|GIF_RT|CPM_PD|CidadesdoFuturo_TG|NON_ST|NON_TS|NONE_SZ|1X1_AD|CM1_IT|SOC_U1|CARUARU_U2|AzulEscuro</v>
      </c>
      <c r="G317" t="str">
        <f t="shared" si="66"/>
        <v>451491541</v>
      </c>
      <c r="H317" t="str">
        <f t="shared" si="67"/>
        <v>Tracking</v>
      </c>
      <c r="I317">
        <f t="shared" si="68"/>
        <v>0</v>
      </c>
      <c r="J317">
        <f t="shared" si="69"/>
        <v>59</v>
      </c>
      <c r="K317" s="4">
        <f t="shared" si="72"/>
        <v>3.5000000000000001E-3</v>
      </c>
      <c r="L317">
        <f t="shared" si="73"/>
        <v>0.02</v>
      </c>
      <c r="M317" s="4">
        <f t="shared" si="70"/>
        <v>0.20650000000000002</v>
      </c>
      <c r="N317" s="4">
        <f t="shared" si="71"/>
        <v>1.18</v>
      </c>
    </row>
    <row r="318" spans="1:14">
      <c r="A318" t="str">
        <f t="shared" si="60"/>
        <v>MK|BR_CN|CIDADESDOFUTURO_MN|NONE_YQ|19Q4_CP|5020004441_SP|N/A_AC|CMKT_OB|AWA</v>
      </c>
      <c r="B318" t="str">
        <f t="shared" si="61"/>
        <v>Facebook</v>
      </c>
      <c r="C318" t="str">
        <f t="shared" si="62"/>
        <v>MK|BR_CH|PSD_DT|CROSS_PB|FCBK_FM|GIF_RT|CPM_PD|CidadesdoFuturo_TG|NON_ST|NON_TS|NONE_SZ|1X1_AD|CM1_IT|SOC_U1|CARUARU_U2|AzulEscuro</v>
      </c>
      <c r="D318" t="str">
        <f t="shared" si="63"/>
        <v>256224143</v>
      </c>
      <c r="E318" t="str">
        <f t="shared" si="64"/>
        <v>Dynamic Click</v>
      </c>
      <c r="F318" t="str">
        <f t="shared" si="65"/>
        <v>MK|BR_CH|PSD_DT|CROSS_PB|FCBK_FM|GIF_RT|CPM_PD|CidadesdoFuturo_TG|NON_ST|NON_TS|NONE_SZ|1X1_AD|CM1_IT|SOC_U1|CARUARU_U2|AzulEscuro</v>
      </c>
      <c r="G318" t="str">
        <f t="shared" si="66"/>
        <v>452369757</v>
      </c>
      <c r="H318" t="str">
        <f t="shared" si="67"/>
        <v>Tracking</v>
      </c>
      <c r="I318">
        <f t="shared" si="68"/>
        <v>0</v>
      </c>
      <c r="J318">
        <f t="shared" si="69"/>
        <v>1</v>
      </c>
      <c r="K318" s="4">
        <f t="shared" si="72"/>
        <v>3.5000000000000001E-3</v>
      </c>
      <c r="L318">
        <f t="shared" si="73"/>
        <v>0.02</v>
      </c>
      <c r="M318" s="4">
        <f t="shared" si="70"/>
        <v>3.5000000000000001E-3</v>
      </c>
      <c r="N318" s="4">
        <f t="shared" si="71"/>
        <v>0.02</v>
      </c>
    </row>
    <row r="319" spans="1:14">
      <c r="A319" t="str">
        <f t="shared" si="60"/>
        <v>MK|BR_CN|CIDADESDOFUTURO_MN|NONE_YQ|19Q4_CP|5020004441_SP|N/A_AC|CMKT_OB|AWA</v>
      </c>
      <c r="B319" t="str">
        <f t="shared" si="61"/>
        <v>Facebook</v>
      </c>
      <c r="C319" t="str">
        <f t="shared" si="62"/>
        <v>MK|BR_CH|PSD_DT|CROSS_PB|FCBK_FM|GIF_RT|CPM_PD|CidadesdoFuturo_TG|NON_ST|NON_TS|NONE_SZ|1X1_AD|CM1_IT|SOC_U1|CASCAVEL_U2|AzulEscuro</v>
      </c>
      <c r="D319" t="str">
        <f t="shared" si="63"/>
        <v>255145904</v>
      </c>
      <c r="E319" t="str">
        <f t="shared" si="64"/>
        <v>Dynamic Click</v>
      </c>
      <c r="F319" t="str">
        <f t="shared" si="65"/>
        <v>MK|BR_CH|PSD_DT|CROSS_PB|FCBK_FM|GIF_RT|CPM_PD|CidadesdoFuturo_TG|NON_ST|NON_TS|NONE_SZ|1X1_AD|CM1_IT|SOC_U1|CASCAVEL_U2|AzulEscuro</v>
      </c>
      <c r="G319" t="str">
        <f t="shared" si="66"/>
        <v>451396524</v>
      </c>
      <c r="H319" t="str">
        <f t="shared" si="67"/>
        <v>Tracking</v>
      </c>
      <c r="I319">
        <f t="shared" si="68"/>
        <v>0</v>
      </c>
      <c r="J319">
        <f t="shared" si="69"/>
        <v>17</v>
      </c>
      <c r="K319" s="4">
        <f t="shared" si="72"/>
        <v>3.5000000000000001E-3</v>
      </c>
      <c r="L319">
        <f t="shared" si="73"/>
        <v>0.02</v>
      </c>
      <c r="M319" s="4">
        <f t="shared" si="70"/>
        <v>5.9500000000000004E-2</v>
      </c>
      <c r="N319" s="4">
        <f t="shared" si="71"/>
        <v>0.34</v>
      </c>
    </row>
    <row r="320" spans="1:14">
      <c r="A320" t="str">
        <f t="shared" si="60"/>
        <v>MK|BR_CN|CIDADESDOFUTURO_MN|NONE_YQ|19Q4_CP|5020004441_SP|N/A_AC|CMKT_OB|AWA</v>
      </c>
      <c r="B320" t="str">
        <f t="shared" si="61"/>
        <v>Facebook</v>
      </c>
      <c r="C320" t="str">
        <f t="shared" si="62"/>
        <v>MK|BR_CH|PSD_DT|CROSS_PB|FCBK_FM|GIF_RT|CPM_PD|CidadesdoFuturo_TG|NON_ST|NON_TS|NONE_SZ|1X1_AD|CM1_IT|SOC_U1|CASCAVEL_U2|AzulEscuro</v>
      </c>
      <c r="D320" t="str">
        <f t="shared" si="63"/>
        <v>255145916</v>
      </c>
      <c r="E320" t="str">
        <f t="shared" si="64"/>
        <v>Dynamic Click</v>
      </c>
      <c r="F320" t="str">
        <f t="shared" si="65"/>
        <v>MK|BR_CH|PSD_DT|CROSS_PB|FCBK_FM|GIF_RT|CPM_PD|CidadesdoFuturo_TG|NON_ST|NON_TS|NONE_SZ|1X1_AD|CM1_IT|SOC_U1|CARUARU_U2|AzulEscuro</v>
      </c>
      <c r="G320" t="str">
        <f t="shared" si="66"/>
        <v>451491565</v>
      </c>
      <c r="H320" t="str">
        <f t="shared" si="67"/>
        <v>Tracking</v>
      </c>
      <c r="I320">
        <f t="shared" si="68"/>
        <v>0</v>
      </c>
      <c r="J320">
        <f t="shared" si="69"/>
        <v>49</v>
      </c>
      <c r="K320" s="4">
        <f t="shared" si="72"/>
        <v>3.5000000000000001E-3</v>
      </c>
      <c r="L320">
        <f t="shared" si="73"/>
        <v>0.02</v>
      </c>
      <c r="M320" s="4">
        <f t="shared" si="70"/>
        <v>0.17150000000000001</v>
      </c>
      <c r="N320" s="4">
        <f t="shared" si="71"/>
        <v>0.98</v>
      </c>
    </row>
    <row r="321" spans="1:14">
      <c r="A321" t="str">
        <f t="shared" si="60"/>
        <v>MK|BR_CN|CIDADESDOFUTURO_MN|NONE_YQ|19Q4_CP|5020004441_SP|N/A_AC|CMKT_OB|AWA</v>
      </c>
      <c r="B321" t="str">
        <f t="shared" si="61"/>
        <v>Facebook</v>
      </c>
      <c r="C321" t="str">
        <f t="shared" si="62"/>
        <v>MK|BR_CH|PSD_DT|CROSS_PB|FCBK_FM|GIF_RT|CPM_PD|CidadesdoFuturo_TG|NON_ST|NON_TS|NONE_SZ|1X1_AD|CM1_IT|SOC_U1|CATANDUVA_U2|AzulEscuro</v>
      </c>
      <c r="D321" t="str">
        <f t="shared" si="63"/>
        <v>255145892</v>
      </c>
      <c r="E321" t="str">
        <f t="shared" si="64"/>
        <v>Dynamic Click</v>
      </c>
      <c r="F321" t="str">
        <f t="shared" si="65"/>
        <v>MK|BR_CH|PSD_DT|CROSS_PB|FCBK_FM|GIF_RT|CPM_PD|CidadesdoFuturo_TG|NON_ST|NON_TS|NONE_SZ|1X1_AD|CM1_IT|SOC_U1|CATANDUVA_U2|AzulEscuro</v>
      </c>
      <c r="G321" t="str">
        <f t="shared" si="66"/>
        <v>451396548</v>
      </c>
      <c r="H321" t="str">
        <f t="shared" si="67"/>
        <v>Tracking</v>
      </c>
      <c r="I321">
        <f t="shared" si="68"/>
        <v>0</v>
      </c>
      <c r="J321">
        <f t="shared" si="69"/>
        <v>46</v>
      </c>
      <c r="K321" s="4">
        <f t="shared" si="72"/>
        <v>3.5000000000000001E-3</v>
      </c>
      <c r="L321">
        <f t="shared" si="73"/>
        <v>0.02</v>
      </c>
      <c r="M321" s="4">
        <f t="shared" si="70"/>
        <v>0.161</v>
      </c>
      <c r="N321" s="4">
        <f t="shared" si="71"/>
        <v>0.92</v>
      </c>
    </row>
    <row r="322" spans="1:14">
      <c r="A322" t="str">
        <f t="shared" ref="A322:A385" si="74">bd_campaign</f>
        <v>MK|BR_CN|CIDADESDOFUTURO_MN|NONE_YQ|19Q4_CP|5020004441_SP|N/A_AC|CMKT_OB|AWA</v>
      </c>
      <c r="B322" t="str">
        <f t="shared" ref="B322:B385" si="75">bd_site</f>
        <v>Facebook</v>
      </c>
      <c r="C322" t="str">
        <f t="shared" ref="C322:C385" si="76">bd_placement</f>
        <v>MK|BR_CH|PSD_DT|CROSS_PB|FCBK_FM|GIF_RT|CPM_PD|CidadesdoFuturo_TG|NON_ST|NON_TS|NONE_SZ|1X1_AD|CM1_IT|SOC_U1|COLATINA_U2|AzulEscuro</v>
      </c>
      <c r="D322" t="str">
        <f t="shared" ref="D322:D385" si="77">bd_placementID</f>
        <v>256224161</v>
      </c>
      <c r="E322" t="str">
        <f t="shared" ref="E322:E385" si="78">VLOOKUP(CONCATENATE(bd_adtype,"_",bd_creativetype),tabela,2,FALSE)</f>
        <v>Dynamic Click</v>
      </c>
      <c r="F322" t="str">
        <f t="shared" ref="F322:F385" si="79">bd_ad</f>
        <v>MK|BR_CH|PSD_DT|CROSS_PB|FCBK_FM|GIF_RT|CPM_PD|CidadesdoFuturo_TG|NON_ST|NON_TS|NONE_SZ|1X1_AD|CM1_IT|SOC_U1|COLATINA_U2|AzulEscuro</v>
      </c>
      <c r="G322" t="str">
        <f t="shared" ref="G322:G385" si="80">bd_adid</f>
        <v>452369739</v>
      </c>
      <c r="H322" t="str">
        <f t="shared" ref="H322:H385" si="81">bd_creativetype</f>
        <v>Tracking</v>
      </c>
      <c r="I322">
        <f t="shared" ref="I322:I385" si="82">bd_impression</f>
        <v>0</v>
      </c>
      <c r="J322">
        <f t="shared" ref="J322:J385" si="83">bd_clicks</f>
        <v>1</v>
      </c>
      <c r="K322" s="4">
        <f t="shared" si="72"/>
        <v>3.5000000000000001E-3</v>
      </c>
      <c r="L322">
        <f t="shared" si="73"/>
        <v>0.02</v>
      </c>
      <c r="M322" s="4">
        <f t="shared" si="70"/>
        <v>3.5000000000000001E-3</v>
      </c>
      <c r="N322" s="4">
        <f t="shared" si="71"/>
        <v>0.02</v>
      </c>
    </row>
    <row r="323" spans="1:14">
      <c r="A323" t="str">
        <f t="shared" si="74"/>
        <v>MK|BR_CN|CIDADESDOFUTURO_MN|NONE_YQ|19Q4_CP|5020004441_SP|N/A_AC|CMKT_OB|AWA</v>
      </c>
      <c r="B323" t="str">
        <f t="shared" si="75"/>
        <v>Facebook</v>
      </c>
      <c r="C323" t="str">
        <f t="shared" si="76"/>
        <v>MK|BR_CH|PSD_DT|CROSS_PB|FCBK_FM|GIF_RT|CPM_PD|CidadesdoFuturo_TG|NON_ST|NON_TS|NONE_SZ|1X1_AD|CM1_IT|SOC_U1|CONSELHEIROLAFAIETE_U2|AzulEscuro</v>
      </c>
      <c r="D323" t="str">
        <f t="shared" si="77"/>
        <v>255476620</v>
      </c>
      <c r="E323" t="str">
        <f t="shared" si="78"/>
        <v>Dynamic Click</v>
      </c>
      <c r="F323" t="str">
        <f t="shared" si="79"/>
        <v>MK|BR_CH|PSD_DT|CROSS_PB|FCBK_FM|GIF_RT|CPM_PD|CidadesdoFuturo_TG|NON_ST|NON_TS|NONE_SZ|1X1_AD|CM1_IT|SOC_U1|CONSELHEIROLAFAIETE_U2|AzulEscuro</v>
      </c>
      <c r="G323" t="str">
        <f t="shared" si="80"/>
        <v>451396575</v>
      </c>
      <c r="H323" t="str">
        <f t="shared" si="81"/>
        <v>Tracking</v>
      </c>
      <c r="I323">
        <f t="shared" si="82"/>
        <v>0</v>
      </c>
      <c r="J323">
        <f t="shared" si="83"/>
        <v>13</v>
      </c>
      <c r="K323" s="4">
        <f t="shared" si="72"/>
        <v>3.5000000000000001E-3</v>
      </c>
      <c r="L323">
        <f t="shared" si="73"/>
        <v>0.02</v>
      </c>
      <c r="M323" s="4">
        <f t="shared" si="70"/>
        <v>4.5499999999999999E-2</v>
      </c>
      <c r="N323" s="4">
        <f t="shared" si="71"/>
        <v>0.26</v>
      </c>
    </row>
    <row r="324" spans="1:14">
      <c r="A324" t="str">
        <f t="shared" si="74"/>
        <v>MK|BR_CN|CIDADESDOFUTURO_MN|NONE_YQ|19Q4_CP|5020004441_SP|N/A_AC|CMKT_OB|AWA</v>
      </c>
      <c r="B324" t="str">
        <f t="shared" si="75"/>
        <v>Facebook</v>
      </c>
      <c r="C324" t="str">
        <f t="shared" si="76"/>
        <v>MK|BR_CH|PSD_DT|CROSS_PB|FCBK_FM|GIF_RT|CPM_PD|CidadesdoFuturo_TG|NON_ST|NON_TS|NONE_SZ|1X1_AD|CM1_IT|SOC_U1|CORUMBA_U2|AzulEscuro</v>
      </c>
      <c r="D324" t="str">
        <f t="shared" si="77"/>
        <v>255476608</v>
      </c>
      <c r="E324" t="str">
        <f t="shared" si="78"/>
        <v>Dynamic Click</v>
      </c>
      <c r="F324" t="str">
        <f t="shared" si="79"/>
        <v>MK|BR_CH|PSD_DT|CROSS_PB|FCBK_FM|GIF_RT|CPM_PD|CidadesdoFuturo_TG|NON_ST|NON_TS|NONE_SZ|1X1_AD|CM1_IT|SOC_U1|CORUMBA_U2|AzulEscuro</v>
      </c>
      <c r="G324" t="str">
        <f t="shared" si="80"/>
        <v>451396599</v>
      </c>
      <c r="H324" t="str">
        <f t="shared" si="81"/>
        <v>Tracking</v>
      </c>
      <c r="I324">
        <f t="shared" si="82"/>
        <v>0</v>
      </c>
      <c r="J324">
        <f t="shared" si="83"/>
        <v>17</v>
      </c>
      <c r="K324" s="4">
        <f t="shared" si="72"/>
        <v>3.5000000000000001E-3</v>
      </c>
      <c r="L324">
        <f t="shared" si="73"/>
        <v>0.02</v>
      </c>
      <c r="M324" s="4">
        <f t="shared" si="70"/>
        <v>5.9500000000000004E-2</v>
      </c>
      <c r="N324" s="4">
        <f t="shared" si="71"/>
        <v>0.34</v>
      </c>
    </row>
    <row r="325" spans="1:14">
      <c r="A325" t="str">
        <f t="shared" si="74"/>
        <v>MK|BR_CN|CIDADESDOFUTURO_MN|NONE_YQ|19Q4_CP|5020004441_SP|N/A_AC|CMKT_OB|AWA</v>
      </c>
      <c r="B325" t="str">
        <f t="shared" si="75"/>
        <v>Facebook</v>
      </c>
      <c r="C325" t="str">
        <f t="shared" si="76"/>
        <v>MK|BR_CH|PSD_DT|CROSS_PB|FCBK_FM|GIF_RT|CPM_PD|CidadesdoFuturo_TG|NON_ST|NON_TS|NONE_SZ|1X1_AD|CM1_IT|SOC_U1|DIVINOPOLIS_U2|AzulEscuro</v>
      </c>
      <c r="D325" t="str">
        <f t="shared" si="77"/>
        <v>255476596</v>
      </c>
      <c r="E325" t="str">
        <f t="shared" si="78"/>
        <v>Dynamic Click</v>
      </c>
      <c r="F325" t="str">
        <f t="shared" si="79"/>
        <v>MK|BR_CH|PSD_DT|CROSS_PB|FCBK_FM|GIF_RT|CPM_PD|CidadesdoFuturo_TG|NON_ST|NON_TS|NONE_SZ|1X1_AD|CM1_IT|SOC_U1|DIVINOPOLIS_U2|AzulEscuro</v>
      </c>
      <c r="G325" t="str">
        <f t="shared" si="80"/>
        <v>451396626</v>
      </c>
      <c r="H325" t="str">
        <f t="shared" si="81"/>
        <v>Tracking</v>
      </c>
      <c r="I325">
        <f t="shared" si="82"/>
        <v>0</v>
      </c>
      <c r="J325">
        <f t="shared" si="83"/>
        <v>24</v>
      </c>
      <c r="K325" s="4">
        <f t="shared" si="72"/>
        <v>3.5000000000000001E-3</v>
      </c>
      <c r="L325">
        <f t="shared" si="73"/>
        <v>0.02</v>
      </c>
      <c r="M325" s="4">
        <f t="shared" si="70"/>
        <v>8.4000000000000005E-2</v>
      </c>
      <c r="N325" s="4">
        <f t="shared" si="71"/>
        <v>0.48</v>
      </c>
    </row>
    <row r="326" spans="1:14">
      <c r="A326" t="str">
        <f t="shared" si="74"/>
        <v>MK|BR_CN|CIDADESDOFUTURO_MN|NONE_YQ|19Q4_CP|5020004441_SP|N/A_AC|CMKT_OB|AWA</v>
      </c>
      <c r="B326" t="str">
        <f t="shared" si="75"/>
        <v>Facebook</v>
      </c>
      <c r="C326" t="str">
        <f t="shared" si="76"/>
        <v>MK|BR_CH|PSD_DT|CROSS_PB|FCBK_FM|GIF_RT|CPM_PD|CidadesdoFuturo_TG|NON_ST|NON_TS|NONE_SZ|1X1_AD|CM1_IT|SOC_U1|FEIRADESANTANA_U2|AzulEscuro</v>
      </c>
      <c r="D326" t="str">
        <f t="shared" si="77"/>
        <v>255471064</v>
      </c>
      <c r="E326" t="str">
        <f t="shared" si="78"/>
        <v>Dynamic Click</v>
      </c>
      <c r="F326" t="str">
        <f t="shared" si="79"/>
        <v>MK|BR_CH|PSD_DT|CROSS_PB|FCBK_FM|GIF_RT|CPM_PD|CidadesdoFuturo_TG|NON_ST|NON_TS|NONE_SZ|1X1_AD|CM1_IT|SOC_U1|FEIRADESANTANA_U2|AzulEscuro</v>
      </c>
      <c r="G326" t="str">
        <f t="shared" si="80"/>
        <v>451397544</v>
      </c>
      <c r="H326" t="str">
        <f t="shared" si="81"/>
        <v>Tracking</v>
      </c>
      <c r="I326">
        <f t="shared" si="82"/>
        <v>0</v>
      </c>
      <c r="J326">
        <f t="shared" si="83"/>
        <v>168</v>
      </c>
      <c r="K326" s="4">
        <f t="shared" si="72"/>
        <v>3.5000000000000001E-3</v>
      </c>
      <c r="L326">
        <f t="shared" si="73"/>
        <v>0.02</v>
      </c>
      <c r="M326" s="4">
        <f t="shared" si="70"/>
        <v>0.58799999999999997</v>
      </c>
      <c r="N326" s="4">
        <f t="shared" si="71"/>
        <v>3.36</v>
      </c>
    </row>
    <row r="327" spans="1:14">
      <c r="A327" t="str">
        <f t="shared" si="74"/>
        <v>MK|BR_CN|CIDADESDOFUTURO_MN|NONE_YQ|19Q4_CP|5020004441_SP|N/A_AC|CMKT_OB|AWA</v>
      </c>
      <c r="B327" t="str">
        <f t="shared" si="75"/>
        <v>Facebook</v>
      </c>
      <c r="C327" t="str">
        <f t="shared" si="76"/>
        <v>MK|BR_CH|PSD_DT|CROSS_PB|FCBK_FM|GIF_RT|CPM_PD|CidadesdoFuturo_TG|NON_ST|NON_TS|NONE_SZ|1X1_AD|CM1_IT|SOC_U1|FEIRADESANTANA_U2|AzulEscuro</v>
      </c>
      <c r="D327" t="str">
        <f t="shared" si="77"/>
        <v>256665399</v>
      </c>
      <c r="E327" t="str">
        <f t="shared" si="78"/>
        <v>Dynamic Click</v>
      </c>
      <c r="F327" t="str">
        <f t="shared" si="79"/>
        <v>MK|BR_CH|PSD_DT|CROSS_PB|FCBK_FM|GIF_RT|CPM_PD|CidadesdoFuturo_TG|NON_ST|NON_TS|NONE_SZ|1X1_AD|CM1_IT|SOC_U1|FEIRADESANTANA_U2|AzulEscuro</v>
      </c>
      <c r="G327" t="str">
        <f t="shared" si="80"/>
        <v>452475205</v>
      </c>
      <c r="H327" t="str">
        <f t="shared" si="81"/>
        <v>Tracking</v>
      </c>
      <c r="I327">
        <f t="shared" si="82"/>
        <v>0</v>
      </c>
      <c r="J327">
        <f t="shared" si="83"/>
        <v>1</v>
      </c>
      <c r="K327" s="4">
        <f t="shared" si="72"/>
        <v>3.5000000000000001E-3</v>
      </c>
      <c r="L327">
        <f t="shared" si="73"/>
        <v>0.02</v>
      </c>
      <c r="M327" s="4">
        <f t="shared" si="70"/>
        <v>3.5000000000000001E-3</v>
      </c>
      <c r="N327" s="4">
        <f t="shared" si="71"/>
        <v>0.02</v>
      </c>
    </row>
    <row r="328" spans="1:14">
      <c r="A328" t="str">
        <f t="shared" si="74"/>
        <v>MK|BR_CN|CIDADESDOFUTURO_MN|NONE_YQ|19Q4_CP|5020004441_SP|N/A_AC|CMKT_OB|AWA</v>
      </c>
      <c r="B328" t="str">
        <f t="shared" si="75"/>
        <v>Facebook</v>
      </c>
      <c r="C328" t="str">
        <f t="shared" si="76"/>
        <v>MK|BR_CH|PSD_DT|CROSS_PB|FCBK_FM|GIF_RT|CPM_PD|CidadesdoFuturo_TG|NON_ST|NON_TS|NONE_SZ|1X1_AD|CM1_IT|SOC_U1|GOVERNADORVALADARES_U2|AzulEscuro</v>
      </c>
      <c r="D328" t="str">
        <f t="shared" si="77"/>
        <v>255476581</v>
      </c>
      <c r="E328" t="str">
        <f t="shared" si="78"/>
        <v>Dynamic Click</v>
      </c>
      <c r="F328" t="str">
        <f t="shared" si="79"/>
        <v>MK|BR_CH|PSD_DT|CROSS_PB|FCBK_FM|GIF_RT|CPM_PD|CidadesdoFuturo_TG|NON_ST|NON_TS|NONE_SZ|1X1_AD|CM1_IT|SOC_U1|GOVERNADORVALADARES_U2|AzulEscuro</v>
      </c>
      <c r="G328" t="str">
        <f t="shared" si="80"/>
        <v>451396656</v>
      </c>
      <c r="H328" t="str">
        <f t="shared" si="81"/>
        <v>Tracking</v>
      </c>
      <c r="I328">
        <f t="shared" si="82"/>
        <v>0</v>
      </c>
      <c r="J328">
        <f t="shared" si="83"/>
        <v>13</v>
      </c>
      <c r="K328" s="4">
        <f t="shared" si="72"/>
        <v>3.5000000000000001E-3</v>
      </c>
      <c r="L328">
        <f t="shared" si="73"/>
        <v>0.02</v>
      </c>
      <c r="M328" s="4">
        <f t="shared" si="70"/>
        <v>4.5499999999999999E-2</v>
      </c>
      <c r="N328" s="4">
        <f t="shared" si="71"/>
        <v>0.26</v>
      </c>
    </row>
    <row r="329" spans="1:14">
      <c r="A329" t="str">
        <f t="shared" si="74"/>
        <v>MK|BR_CN|CIDADESDOFUTURO_MN|NONE_YQ|19Q4_CP|5020004441_SP|N/A_AC|CMKT_OB|AWA</v>
      </c>
      <c r="B329" t="str">
        <f t="shared" si="75"/>
        <v>Facebook</v>
      </c>
      <c r="C329" t="str">
        <f t="shared" si="76"/>
        <v>MK|BR_CH|PSD_DT|CROSS_PB|FCBK_FM|GIF_RT|CPM_PD|CidadesdoFuturo_TG|NON_ST|NON_TS|NONE_SZ|1X1_AD|CM1_IT|SOC_U1|GOVERNADORVALADARES_U2|AzulEscuro</v>
      </c>
      <c r="D329" t="str">
        <f t="shared" si="77"/>
        <v>255476584</v>
      </c>
      <c r="E329" t="str">
        <f t="shared" si="78"/>
        <v>Dynamic Click</v>
      </c>
      <c r="F329" t="str">
        <f t="shared" si="79"/>
        <v>MK|BR_CH|PSD_DT|CROSS_PB|FCBK_FM|GIF_RT|CPM_PD|CidadesdoFuturo_TG|NON_ST|NON_TS|NONE_SZ|1X1_AD|CM1_IT|SOC_U1|GOVERNADORVALADARES_U2|AzulEscuro</v>
      </c>
      <c r="G329" t="str">
        <f t="shared" si="80"/>
        <v>451396650</v>
      </c>
      <c r="H329" t="str">
        <f t="shared" si="81"/>
        <v>Tracking</v>
      </c>
      <c r="I329">
        <f t="shared" si="82"/>
        <v>0</v>
      </c>
      <c r="J329">
        <f t="shared" si="83"/>
        <v>103</v>
      </c>
      <c r="K329" s="4">
        <f t="shared" si="72"/>
        <v>3.5000000000000001E-3</v>
      </c>
      <c r="L329">
        <f t="shared" si="73"/>
        <v>0.02</v>
      </c>
      <c r="M329" s="4">
        <f t="shared" si="70"/>
        <v>0.36049999999999999</v>
      </c>
      <c r="N329" s="4">
        <f t="shared" si="71"/>
        <v>2.06</v>
      </c>
    </row>
    <row r="330" spans="1:14">
      <c r="A330" t="str">
        <f t="shared" si="74"/>
        <v>MK|BR_CN|CIDADESDOFUTURO_MN|NONE_YQ|19Q4_CP|5020004441_SP|N/A_AC|CMKT_OB|AWA</v>
      </c>
      <c r="B330" t="str">
        <f t="shared" si="75"/>
        <v>Facebook</v>
      </c>
      <c r="C330" t="str">
        <f t="shared" si="76"/>
        <v>MK|BR_CH|PSD_DT|CROSS_PB|FCBK_FM|GIF_RT|CPM_PD|CidadesdoFuturo_TG|NON_ST|NON_TS|NONE_SZ|1X1_AD|CM1_IT|SOC_U1|GUARAPUAVA_U2|AzulEscuro</v>
      </c>
      <c r="D330" t="str">
        <f t="shared" si="77"/>
        <v>255476572</v>
      </c>
      <c r="E330" t="str">
        <f t="shared" si="78"/>
        <v>Dynamic Click</v>
      </c>
      <c r="F330" t="str">
        <f t="shared" si="79"/>
        <v>MK|BR_CH|PSD_DT|CROSS_PB|FCBK_FM|GIF_RT|CPM_PD|CidadesdoFuturo_TG|NON_ST|NON_TS|NONE_SZ|1X1_AD|CM1_IT|SOC_U1|GUARAPUAVA_U2|AzulEscuro</v>
      </c>
      <c r="G330" t="str">
        <f t="shared" si="80"/>
        <v>451396677</v>
      </c>
      <c r="H330" t="str">
        <f t="shared" si="81"/>
        <v>Tracking</v>
      </c>
      <c r="I330">
        <f t="shared" si="82"/>
        <v>0</v>
      </c>
      <c r="J330">
        <f t="shared" si="83"/>
        <v>14</v>
      </c>
      <c r="K330" s="4">
        <f t="shared" si="72"/>
        <v>3.5000000000000001E-3</v>
      </c>
      <c r="L330">
        <f t="shared" si="73"/>
        <v>0.02</v>
      </c>
      <c r="M330" s="4">
        <f t="shared" si="70"/>
        <v>4.9000000000000002E-2</v>
      </c>
      <c r="N330" s="4">
        <f t="shared" si="71"/>
        <v>0.28000000000000003</v>
      </c>
    </row>
    <row r="331" spans="1:14">
      <c r="A331" t="str">
        <f t="shared" si="74"/>
        <v>MK|BR_CN|CIDADESDOFUTURO_MN|NONE_YQ|19Q4_CP|5020004441_SP|N/A_AC|CMKT_OB|AWA</v>
      </c>
      <c r="B331" t="str">
        <f t="shared" si="75"/>
        <v>Facebook</v>
      </c>
      <c r="C331" t="str">
        <f t="shared" si="76"/>
        <v>MK|BR_CH|PSD_DT|CROSS_PB|FCBK_FM|GIF_RT|CPM_PD|CidadesdoFuturo_TG|NON_ST|NON_TS|NONE_SZ|1X1_AD|CM1_IT|SOC_U1|IMPERATRIZ_U2|AzulEscuro</v>
      </c>
      <c r="D331" t="str">
        <f t="shared" si="77"/>
        <v>255476560</v>
      </c>
      <c r="E331" t="str">
        <f t="shared" si="78"/>
        <v>Dynamic Click</v>
      </c>
      <c r="F331" t="str">
        <f t="shared" si="79"/>
        <v>MK|BR_CH|PSD_DT|CROSS_PB|FCBK_FM|GIF_RT|CPM_PD|CidadesdoFuturo_TG|NON_ST|NON_TS|NONE_SZ|1X1_AD|CM1_IT|SOC_U1|IMPERATRIZ_U2|AzulEscuro</v>
      </c>
      <c r="G331" t="str">
        <f t="shared" si="80"/>
        <v>451396701</v>
      </c>
      <c r="H331" t="str">
        <f t="shared" si="81"/>
        <v>Tracking</v>
      </c>
      <c r="I331">
        <f t="shared" si="82"/>
        <v>0</v>
      </c>
      <c r="J331">
        <f t="shared" si="83"/>
        <v>103</v>
      </c>
      <c r="K331" s="4">
        <f t="shared" si="72"/>
        <v>3.5000000000000001E-3</v>
      </c>
      <c r="L331">
        <f t="shared" si="73"/>
        <v>0.02</v>
      </c>
      <c r="M331" s="4">
        <f t="shared" si="70"/>
        <v>0.36049999999999999</v>
      </c>
      <c r="N331" s="4">
        <f t="shared" si="71"/>
        <v>2.06</v>
      </c>
    </row>
    <row r="332" spans="1:14">
      <c r="A332" t="str">
        <f t="shared" si="74"/>
        <v>MK|BR_CN|CIDADESDOFUTURO_MN|NONE_YQ|19Q4_CP|5020004441_SP|N/A_AC|CMKT_OB|AWA</v>
      </c>
      <c r="B332" t="str">
        <f t="shared" si="75"/>
        <v>Facebook</v>
      </c>
      <c r="C332" t="str">
        <f t="shared" si="76"/>
        <v>MK|BR_CH|PSD_DT|CROSS_PB|FCBK_FM|GIF_RT|CPM_PD|CidadesdoFuturo_TG|NON_ST|NON_TS|NONE_SZ|1X1_AD|CM1_IT|SOC_U1|ITABIARA_U2|AzulEscuro</v>
      </c>
      <c r="D332" t="str">
        <f t="shared" si="77"/>
        <v>255476548</v>
      </c>
      <c r="E332" t="str">
        <f t="shared" si="78"/>
        <v>Dynamic Click</v>
      </c>
      <c r="F332" t="str">
        <f t="shared" si="79"/>
        <v>MK|BR_CH|PSD_DT|CROSS_PB|FCBK_FM|GIF_RT|CPM_PD|CidadesdoFuturo_TG|NON_ST|NON_TS|NONE_SZ|1X1_AD|CM1_IT|SOC_U1|ITABIARA_U2|AzulEscuro</v>
      </c>
      <c r="G332" t="str">
        <f t="shared" si="80"/>
        <v>451396728</v>
      </c>
      <c r="H332" t="str">
        <f t="shared" si="81"/>
        <v>Tracking</v>
      </c>
      <c r="I332">
        <f t="shared" si="82"/>
        <v>0</v>
      </c>
      <c r="J332">
        <f t="shared" si="83"/>
        <v>25</v>
      </c>
      <c r="K332" s="4">
        <f t="shared" si="72"/>
        <v>3.5000000000000001E-3</v>
      </c>
      <c r="L332">
        <f t="shared" si="73"/>
        <v>0.02</v>
      </c>
      <c r="M332" s="4">
        <f t="shared" si="70"/>
        <v>8.7500000000000008E-2</v>
      </c>
      <c r="N332" s="4">
        <f t="shared" si="71"/>
        <v>0.5</v>
      </c>
    </row>
    <row r="333" spans="1:14">
      <c r="A333" t="str">
        <f t="shared" si="74"/>
        <v>MK|BR_CN|CIDADESDOFUTURO_MN|NONE_YQ|19Q4_CP|5020004441_SP|N/A_AC|CMKT_OB|AWA</v>
      </c>
      <c r="B333" t="str">
        <f t="shared" si="75"/>
        <v>Facebook</v>
      </c>
      <c r="C333" t="str">
        <f t="shared" si="76"/>
        <v>MK|BR_CH|PSD_DT|CROSS_PB|FCBK_FM|GIF_RT|CPM_PD|CidadesdoFuturo_TG|NON_ST|NON_TS|NONE_SZ|1X1_AD|CM1_IT|SOC_U1|ITAPETINIGA_U2|AzulEscuro</v>
      </c>
      <c r="D333" t="str">
        <f t="shared" si="77"/>
        <v>255476536</v>
      </c>
      <c r="E333" t="str">
        <f t="shared" si="78"/>
        <v>Dynamic Click</v>
      </c>
      <c r="F333" t="str">
        <f t="shared" si="79"/>
        <v>MK|BR_CH|PSD_DT|CROSS_PB|FCBK_FM|GIF_RT|CPM_PD|CidadesdoFuturo_TG|NON_ST|NON_TS|NONE_SZ|1X1_AD|CM1_IT|SOC_U1|ITAPETINIGA_U2|AzulEscuro</v>
      </c>
      <c r="G333" t="str">
        <f t="shared" si="80"/>
        <v>451396752</v>
      </c>
      <c r="H333" t="str">
        <f t="shared" si="81"/>
        <v>Tracking</v>
      </c>
      <c r="I333">
        <f t="shared" si="82"/>
        <v>0</v>
      </c>
      <c r="J333">
        <f t="shared" si="83"/>
        <v>32</v>
      </c>
      <c r="K333" s="4">
        <f t="shared" si="72"/>
        <v>3.5000000000000001E-3</v>
      </c>
      <c r="L333">
        <f t="shared" si="73"/>
        <v>0.02</v>
      </c>
      <c r="M333" s="4">
        <f t="shared" si="70"/>
        <v>0.112</v>
      </c>
      <c r="N333" s="4">
        <f t="shared" si="71"/>
        <v>0.64</v>
      </c>
    </row>
    <row r="334" spans="1:14">
      <c r="A334" t="str">
        <f t="shared" si="74"/>
        <v>MK|BR_CN|CIDADESDOFUTURO_MN|NONE_YQ|19Q4_CP|5020004441_SP|N/A_AC|CMKT_OB|AWA</v>
      </c>
      <c r="B334" t="str">
        <f t="shared" si="75"/>
        <v>Facebook</v>
      </c>
      <c r="C334" t="str">
        <f t="shared" si="76"/>
        <v>MK|BR_CH|PSD_DT|CROSS_PB|FCBK_FM|GIF_RT|CPM_PD|CidadesdoFuturo_TG|NON_ST|NON_TS|NONE_SZ|1X1_AD|CM1_IT|SOC_U1|ITUMBIARA_U2|AzulEscuro</v>
      </c>
      <c r="D334" t="str">
        <f t="shared" si="77"/>
        <v>255476524</v>
      </c>
      <c r="E334" t="str">
        <f t="shared" si="78"/>
        <v>Dynamic Click</v>
      </c>
      <c r="F334" t="str">
        <f t="shared" si="79"/>
        <v>MK|BR_CH|PSD_DT|CROSS_PB|FCBK_FM|GIF_RT|CPM_PD|CidadesdoFuturo_TG|NON_ST|NON_TS|NONE_SZ|1X1_AD|CM1_IT|SOC_U1|ITUMBIARA_U2|AzulEscuro</v>
      </c>
      <c r="G334" t="str">
        <f t="shared" si="80"/>
        <v>451396779</v>
      </c>
      <c r="H334" t="str">
        <f t="shared" si="81"/>
        <v>Tracking</v>
      </c>
      <c r="I334">
        <f t="shared" si="82"/>
        <v>0</v>
      </c>
      <c r="J334">
        <f t="shared" si="83"/>
        <v>1</v>
      </c>
      <c r="K334" s="4">
        <f t="shared" si="72"/>
        <v>3.5000000000000001E-3</v>
      </c>
      <c r="L334">
        <f t="shared" si="73"/>
        <v>0.02</v>
      </c>
      <c r="M334" s="4">
        <f t="shared" si="70"/>
        <v>3.5000000000000001E-3</v>
      </c>
      <c r="N334" s="4">
        <f t="shared" si="71"/>
        <v>0.02</v>
      </c>
    </row>
    <row r="335" spans="1:14">
      <c r="A335" t="str">
        <f t="shared" si="74"/>
        <v>MK|BR_CN|CIDADESDOFUTURO_MN|NONE_YQ|19Q4_CP|5020004441_SP|N/A_AC|CMKT_OB|AWA</v>
      </c>
      <c r="B335" t="str">
        <f t="shared" si="75"/>
        <v>Facebook</v>
      </c>
      <c r="C335" t="str">
        <f t="shared" si="76"/>
        <v>MK|BR_CH|PSD_DT|CROSS_PB|FCBK_FM|GIF_RT|CPM_PD|CidadesdoFuturo_TG|NON_ST|NON_TS|NONE_SZ|1X1_AD|CM1_IT|SOC_U1|JAU_U2|AzulEscuro</v>
      </c>
      <c r="D335" t="str">
        <f t="shared" si="77"/>
        <v>255476512</v>
      </c>
      <c r="E335" t="str">
        <f t="shared" si="78"/>
        <v>Dynamic Click</v>
      </c>
      <c r="F335" t="str">
        <f t="shared" si="79"/>
        <v>MK|BR_CH|PSD_DT|CROSS_PB|FCBK_FM|GIF_RT|CPM_PD|CidadesdoFuturo_TG|NON_ST|NON_TS|NONE_SZ|1X1_AD|CM1_IT|SOC_U1|JAU_U2|AzulEscuro</v>
      </c>
      <c r="G335" t="str">
        <f t="shared" si="80"/>
        <v>451396806</v>
      </c>
      <c r="H335" t="str">
        <f t="shared" si="81"/>
        <v>Tracking</v>
      </c>
      <c r="I335">
        <f t="shared" si="82"/>
        <v>0</v>
      </c>
      <c r="J335">
        <f t="shared" si="83"/>
        <v>14</v>
      </c>
      <c r="K335" s="4">
        <f t="shared" si="72"/>
        <v>3.5000000000000001E-3</v>
      </c>
      <c r="L335">
        <f t="shared" si="73"/>
        <v>0.02</v>
      </c>
      <c r="M335" s="4">
        <f t="shared" si="70"/>
        <v>4.9000000000000002E-2</v>
      </c>
      <c r="N335" s="4">
        <f t="shared" si="71"/>
        <v>0.28000000000000003</v>
      </c>
    </row>
    <row r="336" spans="1:14">
      <c r="A336" t="str">
        <f t="shared" si="74"/>
        <v>MK|BR_CN|CIDADESDOFUTURO_MN|NONE_YQ|19Q4_CP|5020004441_SP|N/A_AC|CMKT_OB|AWA</v>
      </c>
      <c r="B336" t="str">
        <f t="shared" si="75"/>
        <v>Facebook</v>
      </c>
      <c r="C336" t="str">
        <f t="shared" si="76"/>
        <v>MK|BR_CH|PSD_DT|CROSS_PB|FCBK_FM|GIF_RT|CPM_PD|CidadesdoFuturo_TG|NON_ST|NON_TS|NONE_SZ|1X1_AD|CM1_IT|SOC_U1|JAU_U2|AzulEscuro</v>
      </c>
      <c r="D336" t="str">
        <f t="shared" si="77"/>
        <v>256224218</v>
      </c>
      <c r="E336" t="str">
        <f t="shared" si="78"/>
        <v>Dynamic Click</v>
      </c>
      <c r="F336" t="str">
        <f t="shared" si="79"/>
        <v>MK|BR_CH|PSD_DT|CROSS_PB|FCBK_FM|GIF_RT|CPM_PD|CidadesdoFuturo_TG|NON_ST|NON_TS|NONE_SZ|1X1_AD|CM1_IT|SOC_U1|JAU_U2|AzulEscuro</v>
      </c>
      <c r="G336" t="str">
        <f t="shared" si="80"/>
        <v>452369682</v>
      </c>
      <c r="H336" t="str">
        <f t="shared" si="81"/>
        <v>Tracking</v>
      </c>
      <c r="I336">
        <f t="shared" si="82"/>
        <v>0</v>
      </c>
      <c r="J336">
        <f t="shared" si="83"/>
        <v>1</v>
      </c>
      <c r="K336" s="4">
        <f t="shared" si="72"/>
        <v>3.5000000000000001E-3</v>
      </c>
      <c r="L336">
        <f t="shared" si="73"/>
        <v>0.02</v>
      </c>
      <c r="M336" s="4">
        <f t="shared" si="70"/>
        <v>3.5000000000000001E-3</v>
      </c>
      <c r="N336" s="4">
        <f t="shared" si="71"/>
        <v>0.02</v>
      </c>
    </row>
    <row r="337" spans="1:14">
      <c r="A337" t="str">
        <f t="shared" si="74"/>
        <v>MK|BR_CN|CIDADESDOFUTURO_MN|NONE_YQ|19Q4_CP|5020004441_SP|N/A_AC|CMKT_OB|AWA</v>
      </c>
      <c r="B337" t="str">
        <f t="shared" si="75"/>
        <v>Facebook</v>
      </c>
      <c r="C337" t="str">
        <f t="shared" si="76"/>
        <v>MK|BR_CH|PSD_DT|CROSS_PB|FCBK_FM|GIF_RT|CPM_PD|CidadesdoFuturo_TG|NON_ST|NON_TS|NONE_SZ|1X1_AD|CM1_IT|SOC_U1|JUAZEIRODONORTE_U2|AzulEscuro</v>
      </c>
      <c r="D337" t="str">
        <f t="shared" si="77"/>
        <v>255476500</v>
      </c>
      <c r="E337" t="str">
        <f t="shared" si="78"/>
        <v>Dynamic Click</v>
      </c>
      <c r="F337" t="str">
        <f t="shared" si="79"/>
        <v>MK|BR_CH|PSD_DT|CROSS_PB|FCBK_FM|GIF_RT|CPM_PD|CidadesdoFuturo_TG|NON_ST|NON_TS|NONE_SZ|1X1_AD|CM1_IT|SOC_U1|JUAZEIRODONORTE_U2|AzulEscuro</v>
      </c>
      <c r="G337" t="str">
        <f t="shared" si="80"/>
        <v>451493098</v>
      </c>
      <c r="H337" t="str">
        <f t="shared" si="81"/>
        <v>Tracking</v>
      </c>
      <c r="I337">
        <f t="shared" si="82"/>
        <v>0</v>
      </c>
      <c r="J337">
        <f t="shared" si="83"/>
        <v>79</v>
      </c>
      <c r="K337" s="4">
        <f t="shared" si="72"/>
        <v>3.5000000000000001E-3</v>
      </c>
      <c r="L337">
        <f t="shared" si="73"/>
        <v>0.02</v>
      </c>
      <c r="M337" s="4">
        <f t="shared" si="70"/>
        <v>0.27650000000000002</v>
      </c>
      <c r="N337" s="4">
        <f t="shared" si="71"/>
        <v>1.58</v>
      </c>
    </row>
    <row r="338" spans="1:14">
      <c r="A338" t="str">
        <f t="shared" si="74"/>
        <v>MK|BR_CN|CIDADESDOFUTURO_MN|NONE_YQ|19Q4_CP|5020004441_SP|N/A_AC|CMKT_OB|AWA</v>
      </c>
      <c r="B338" t="str">
        <f t="shared" si="75"/>
        <v>Facebook</v>
      </c>
      <c r="C338" t="str">
        <f t="shared" si="76"/>
        <v>MK|BR_CH|PSD_DT|CROSS_PB|FCBK_FM|GIF_RT|CPM_PD|CidadesdoFuturo_TG|NON_ST|NON_TS|NONE_SZ|1X1_AD|CM1_IT|SOC_U1|JUAZEIRODONORTE_U2|AzulEscuro</v>
      </c>
      <c r="D338" t="str">
        <f t="shared" si="77"/>
        <v>255476503</v>
      </c>
      <c r="E338" t="str">
        <f t="shared" si="78"/>
        <v>Dynamic Click</v>
      </c>
      <c r="F338" t="str">
        <f t="shared" si="79"/>
        <v>MK|BR_CH|PSD_DT|CROSS_PB|FCBK_FM|GIF_RT|CPM_PD|CidadesdoFuturo_TG|NON_ST|NON_TS|NONE_SZ|1X1_AD|CM1_IT|SOC_U1|JUAZEIRODONORTE_U2|AzulEscuro</v>
      </c>
      <c r="G338" t="str">
        <f t="shared" si="80"/>
        <v>451493092</v>
      </c>
      <c r="H338" t="str">
        <f t="shared" si="81"/>
        <v>Tracking</v>
      </c>
      <c r="I338">
        <f t="shared" si="82"/>
        <v>0</v>
      </c>
      <c r="J338">
        <f t="shared" si="83"/>
        <v>43</v>
      </c>
      <c r="K338" s="4">
        <f t="shared" si="72"/>
        <v>3.5000000000000001E-3</v>
      </c>
      <c r="L338">
        <f t="shared" si="73"/>
        <v>0.02</v>
      </c>
      <c r="M338" s="4">
        <f t="shared" si="70"/>
        <v>0.15049999999999999</v>
      </c>
      <c r="N338" s="4">
        <f t="shared" si="71"/>
        <v>0.86</v>
      </c>
    </row>
    <row r="339" spans="1:14">
      <c r="A339" t="str">
        <f t="shared" si="74"/>
        <v>MK|BR_CN|CIDADESDOFUTURO_MN|NONE_YQ|19Q4_CP|5020004441_SP|N/A_AC|CMKT_OB|AWA</v>
      </c>
      <c r="B339" t="str">
        <f t="shared" si="75"/>
        <v>Facebook</v>
      </c>
      <c r="C339" t="str">
        <f t="shared" si="76"/>
        <v>MK|BR_CH|PSD_DT|CROSS_PB|FCBK_FM|GIF_RT|CPM_PD|CidadesdoFuturo_TG|NON_ST|NON_TS|NONE_SZ|1X1_AD|CM1_IT|SOC_U1|JUIZDEFORA_U2|AzulEscuro</v>
      </c>
      <c r="D339" t="str">
        <f t="shared" si="77"/>
        <v>255471052</v>
      </c>
      <c r="E339" t="str">
        <f t="shared" si="78"/>
        <v>Dynamic Click</v>
      </c>
      <c r="F339" t="str">
        <f t="shared" si="79"/>
        <v>MK|BR_CH|PSD_DT|CROSS_PB|FCBK_FM|GIF_RT|CPM_PD|CidadesdoFuturo_TG|NON_ST|NON_TS|NONE_SZ|1X1_AD|CM1_IT|SOC_U1|JUIZDEFORA_U2|AzulEscuro</v>
      </c>
      <c r="G339" t="str">
        <f t="shared" si="80"/>
        <v>451397559</v>
      </c>
      <c r="H339" t="str">
        <f t="shared" si="81"/>
        <v>Tracking</v>
      </c>
      <c r="I339">
        <f t="shared" si="82"/>
        <v>0</v>
      </c>
      <c r="J339">
        <f t="shared" si="83"/>
        <v>41</v>
      </c>
      <c r="K339" s="4">
        <f t="shared" si="72"/>
        <v>3.5000000000000001E-3</v>
      </c>
      <c r="L339">
        <f t="shared" si="73"/>
        <v>0.02</v>
      </c>
      <c r="M339" s="4">
        <f t="shared" si="70"/>
        <v>0.14350000000000002</v>
      </c>
      <c r="N339" s="4">
        <f t="shared" si="71"/>
        <v>0.82000000000000006</v>
      </c>
    </row>
    <row r="340" spans="1:14">
      <c r="A340" t="str">
        <f t="shared" si="74"/>
        <v>MK|BR_CN|CIDADESDOFUTURO_MN|NONE_YQ|19Q4_CP|5020004441_SP|N/A_AC|CMKT_OB|AWA</v>
      </c>
      <c r="B340" t="str">
        <f t="shared" si="75"/>
        <v>Facebook</v>
      </c>
      <c r="C340" t="str">
        <f t="shared" si="76"/>
        <v>MK|BR_CH|PSD_DT|CROSS_PB|FCBK_FM|GIF_RT|CPM_PD|CidadesdoFuturo_TG|NON_ST|NON_TS|NONE_SZ|1X1_AD|CM1_IT|SOC_U1|LINHARES_U2|AzulEscuro</v>
      </c>
      <c r="D340" t="str">
        <f t="shared" si="77"/>
        <v>255476488</v>
      </c>
      <c r="E340" t="str">
        <f t="shared" si="78"/>
        <v>Dynamic Click</v>
      </c>
      <c r="F340" t="str">
        <f t="shared" si="79"/>
        <v>MK|BR_CH|PSD_DT|CROSS_PB|FCBK_FM|GIF_RT|CPM_PD|CidadesdoFuturo_TG|NON_ST|NON_TS|NONE_SZ|1X1_AD|CM1_IT|SOC_U1|LINHARES_U2|AzulEscuro</v>
      </c>
      <c r="G340" t="str">
        <f t="shared" si="80"/>
        <v>451493125</v>
      </c>
      <c r="H340" t="str">
        <f t="shared" si="81"/>
        <v>Tracking</v>
      </c>
      <c r="I340">
        <f t="shared" si="82"/>
        <v>0</v>
      </c>
      <c r="J340">
        <f t="shared" si="83"/>
        <v>21</v>
      </c>
      <c r="K340" s="4">
        <f t="shared" si="72"/>
        <v>3.5000000000000001E-3</v>
      </c>
      <c r="L340">
        <f t="shared" si="73"/>
        <v>0.02</v>
      </c>
      <c r="M340" s="4">
        <f t="shared" si="70"/>
        <v>7.3499999999999996E-2</v>
      </c>
      <c r="N340" s="4">
        <f t="shared" si="71"/>
        <v>0.42</v>
      </c>
    </row>
    <row r="341" spans="1:14">
      <c r="A341" t="str">
        <f t="shared" si="74"/>
        <v>MK|BR_CN|CIDADESDOFUTURO_MN|NONE_YQ|19Q4_CP|5020004441_SP|N/A_AC|CMKT_OB|AWA</v>
      </c>
      <c r="B341" t="str">
        <f t="shared" si="75"/>
        <v>Facebook</v>
      </c>
      <c r="C341" t="str">
        <f t="shared" si="76"/>
        <v>MK|BR_CH|PSD_DT|CROSS_PB|FCBK_FM|GIF_RT|CPM_PD|CidadesdoFuturo_TG|NON_ST|NON_TS|NONE_SZ|1X1_AD|CM1_IT|SOC_U1|LINHARES_U2|AzulEscuro</v>
      </c>
      <c r="D341" t="str">
        <f t="shared" si="77"/>
        <v>255476491</v>
      </c>
      <c r="E341" t="str">
        <f t="shared" si="78"/>
        <v>Dynamic Click</v>
      </c>
      <c r="F341" t="str">
        <f t="shared" si="79"/>
        <v>MK|BR_CH|PSD_DT|CROSS_PB|FCBK_FM|GIF_RT|CPM_PD|CidadesdoFuturo_TG|NON_ST|NON_TS|NONE_SZ|1X1_AD|CM1_IT|SOC_U1|LINHARES_U2|AzulEscuro</v>
      </c>
      <c r="G341" t="str">
        <f t="shared" si="80"/>
        <v>451493119</v>
      </c>
      <c r="H341" t="str">
        <f t="shared" si="81"/>
        <v>Tracking</v>
      </c>
      <c r="I341">
        <f t="shared" si="82"/>
        <v>0</v>
      </c>
      <c r="J341">
        <f t="shared" si="83"/>
        <v>40</v>
      </c>
      <c r="K341" s="4">
        <f t="shared" si="72"/>
        <v>3.5000000000000001E-3</v>
      </c>
      <c r="L341">
        <f t="shared" si="73"/>
        <v>0.02</v>
      </c>
      <c r="M341" s="4">
        <f t="shared" si="70"/>
        <v>0.14000000000000001</v>
      </c>
      <c r="N341" s="4">
        <f t="shared" si="71"/>
        <v>0.8</v>
      </c>
    </row>
    <row r="342" spans="1:14">
      <c r="A342" t="str">
        <f t="shared" si="74"/>
        <v>MK|BR_CN|CIDADESDOFUTURO_MN|NONE_YQ|19Q4_CP|5020004441_SP|N/A_AC|CMKT_OB|AWA</v>
      </c>
      <c r="B342" t="str">
        <f t="shared" si="75"/>
        <v>Facebook</v>
      </c>
      <c r="C342" t="str">
        <f t="shared" si="76"/>
        <v>MK|BR_CH|PSD_DT|CROSS_PB|FCBK_FM|GIF_RT|CPM_PD|CidadesdoFuturo_TG|NON_ST|NON_TS|NONE_SZ|1X1_AD|CM1_IT|SOC_U1|LINHARES_U2|AzulEscuro</v>
      </c>
      <c r="D342" t="str">
        <f t="shared" si="77"/>
        <v>256224230</v>
      </c>
      <c r="E342" t="str">
        <f t="shared" si="78"/>
        <v>Dynamic Click</v>
      </c>
      <c r="F342" t="str">
        <f t="shared" si="79"/>
        <v>MK|BR_CH|PSD_DT|CROSS_PB|FCBK_FM|GIF_RT|CPM_PD|CidadesdoFuturo_TG|NON_ST|NON_TS|NONE_SZ|1X1_AD|CM1_IT|SOC_U1|LINHARES_U2|AzulEscuro</v>
      </c>
      <c r="G342" t="str">
        <f t="shared" si="80"/>
        <v>452369670</v>
      </c>
      <c r="H342" t="str">
        <f t="shared" si="81"/>
        <v>Tracking</v>
      </c>
      <c r="I342">
        <f t="shared" si="82"/>
        <v>0</v>
      </c>
      <c r="J342">
        <f t="shared" si="83"/>
        <v>1</v>
      </c>
      <c r="K342" s="4">
        <f t="shared" si="72"/>
        <v>3.5000000000000001E-3</v>
      </c>
      <c r="L342">
        <f t="shared" si="73"/>
        <v>0.02</v>
      </c>
      <c r="M342" s="4">
        <f t="shared" si="70"/>
        <v>3.5000000000000001E-3</v>
      </c>
      <c r="N342" s="4">
        <f t="shared" si="71"/>
        <v>0.02</v>
      </c>
    </row>
    <row r="343" spans="1:14">
      <c r="A343" t="str">
        <f t="shared" si="74"/>
        <v>MK|BR_CN|CIDADESDOFUTURO_MN|NONE_YQ|19Q4_CP|5020004441_SP|N/A_AC|CMKT_OB|AWA</v>
      </c>
      <c r="B343" t="str">
        <f t="shared" si="75"/>
        <v>Facebook</v>
      </c>
      <c r="C343" t="str">
        <f t="shared" si="76"/>
        <v>MK|BR_CH|PSD_DT|CROSS_PB|FCBK_FM|GIF_RT|CPM_PD|CidadesdoFuturo_TG|NON_ST|NON_TS|NONE_SZ|1X1_AD|CM1_IT|SOC_U1|LUZIANIA_U2|AzulEscuro</v>
      </c>
      <c r="D343" t="str">
        <f t="shared" si="77"/>
        <v>255476476</v>
      </c>
      <c r="E343" t="str">
        <f t="shared" si="78"/>
        <v>Dynamic Click</v>
      </c>
      <c r="F343" t="str">
        <f t="shared" si="79"/>
        <v>MK|BR_CH|PSD_DT|CROSS_PB|FCBK_FM|GIF_RT|CPM_PD|CidadesdoFuturo_TG|NON_ST|NON_TS|NONE_SZ|1X1_AD|CM1_IT|SOC_U1|LUZIANIA_U2|AzulEscuro</v>
      </c>
      <c r="G343" t="str">
        <f t="shared" si="80"/>
        <v>451493149</v>
      </c>
      <c r="H343" t="str">
        <f t="shared" si="81"/>
        <v>Tracking</v>
      </c>
      <c r="I343">
        <f t="shared" si="82"/>
        <v>0</v>
      </c>
      <c r="J343">
        <f t="shared" si="83"/>
        <v>19</v>
      </c>
      <c r="K343" s="4">
        <f t="shared" si="72"/>
        <v>3.5000000000000001E-3</v>
      </c>
      <c r="L343">
        <f t="shared" si="73"/>
        <v>0.02</v>
      </c>
      <c r="M343" s="4">
        <f t="shared" si="70"/>
        <v>6.6500000000000004E-2</v>
      </c>
      <c r="N343" s="4">
        <f t="shared" si="71"/>
        <v>0.38</v>
      </c>
    </row>
    <row r="344" spans="1:14">
      <c r="A344" t="str">
        <f t="shared" si="74"/>
        <v>MK|BR_CN|CIDADESDOFUTURO_MN|NONE_YQ|19Q4_CP|5020004441_SP|N/A_AC|CMKT_OB|AWA</v>
      </c>
      <c r="B344" t="str">
        <f t="shared" si="75"/>
        <v>Facebook</v>
      </c>
      <c r="C344" t="str">
        <f t="shared" si="76"/>
        <v>MK|BR_CH|PSD_DT|CROSS_PB|FCBK_FM|GIF_RT|CPM_PD|CidadesdoFuturo_TG|NON_ST|NON_TS|NONE_SZ|1X1_AD|CM1_IT|SOC_U1|LUZIANIA_U2|AzulEscuro</v>
      </c>
      <c r="D344" t="str">
        <f t="shared" si="77"/>
        <v>255476479</v>
      </c>
      <c r="E344" t="str">
        <f t="shared" si="78"/>
        <v>Dynamic Click</v>
      </c>
      <c r="F344" t="str">
        <f t="shared" si="79"/>
        <v>MK|BR_CH|PSD_DT|CROSS_PB|FCBK_FM|GIF_RT|CPM_PD|CidadesdoFuturo_TG|NON_ST|NON_TS|NONE_SZ|1X1_AD|CM1_IT|SOC_U1|LUZIANIA_U2|AzulEscuro</v>
      </c>
      <c r="G344" t="str">
        <f t="shared" si="80"/>
        <v>451493143</v>
      </c>
      <c r="H344" t="str">
        <f t="shared" si="81"/>
        <v>Tracking</v>
      </c>
      <c r="I344">
        <f t="shared" si="82"/>
        <v>0</v>
      </c>
      <c r="J344">
        <f t="shared" si="83"/>
        <v>77</v>
      </c>
      <c r="K344" s="4">
        <f t="shared" si="72"/>
        <v>3.5000000000000001E-3</v>
      </c>
      <c r="L344">
        <f t="shared" si="73"/>
        <v>0.02</v>
      </c>
      <c r="M344" s="4">
        <f t="shared" si="70"/>
        <v>0.26950000000000002</v>
      </c>
      <c r="N344" s="4">
        <f t="shared" si="71"/>
        <v>1.54</v>
      </c>
    </row>
    <row r="345" spans="1:14">
      <c r="A345" t="str">
        <f t="shared" si="74"/>
        <v>MK|BR_CN|CIDADESDOFUTURO_MN|NONE_YQ|19Q4_CP|5020004441_SP|N/A_AC|CMKT_OB|AWA</v>
      </c>
      <c r="B345" t="str">
        <f t="shared" si="75"/>
        <v>Facebook</v>
      </c>
      <c r="C345" t="str">
        <f t="shared" si="76"/>
        <v>MK|BR_CH|PSD_DT|CROSS_PB|FCBK_FM|GIF_RT|CPM_PD|CidadesdoFuturo_TG|NON_ST|NON_TS|NONE_SZ|1X1_AD|CM1_IT|SOC_U1|MACAPA_U2|AzulEscuro</v>
      </c>
      <c r="D345" t="str">
        <f t="shared" si="77"/>
        <v>255476464</v>
      </c>
      <c r="E345" t="str">
        <f t="shared" si="78"/>
        <v>Dynamic Click</v>
      </c>
      <c r="F345" t="str">
        <f t="shared" si="79"/>
        <v>MK|BR_CH|PSD_DT|CROSS_PB|FCBK_FM|GIF_RT|CPM_PD|CidadesdoFuturo_TG|NON_ST|NON_TS|NONE_SZ|1X1_AD|CM1_IT|SOC_U1|MACAPA_U2|AzulEscuro</v>
      </c>
      <c r="G345" t="str">
        <f t="shared" si="80"/>
        <v>451493173</v>
      </c>
      <c r="H345" t="str">
        <f t="shared" si="81"/>
        <v>Tracking</v>
      </c>
      <c r="I345">
        <f t="shared" si="82"/>
        <v>0</v>
      </c>
      <c r="J345">
        <f t="shared" si="83"/>
        <v>74</v>
      </c>
      <c r="K345" s="4">
        <f t="shared" si="72"/>
        <v>3.5000000000000001E-3</v>
      </c>
      <c r="L345">
        <f t="shared" si="73"/>
        <v>0.02</v>
      </c>
      <c r="M345" s="4">
        <f t="shared" si="70"/>
        <v>0.25900000000000001</v>
      </c>
      <c r="N345" s="4">
        <f t="shared" si="71"/>
        <v>1.48</v>
      </c>
    </row>
    <row r="346" spans="1:14">
      <c r="A346" t="str">
        <f t="shared" si="74"/>
        <v>MK|BR_CN|CIDADESDOFUTURO_MN|NONE_YQ|19Q4_CP|5020004441_SP|N/A_AC|CMKT_OB|AWA</v>
      </c>
      <c r="B346" t="str">
        <f t="shared" si="75"/>
        <v>Facebook</v>
      </c>
      <c r="C346" t="str">
        <f t="shared" si="76"/>
        <v>MK|BR_CH|PSD_DT|CROSS_PB|FCBK_FM|GIF_RT|CPM_PD|CidadesdoFuturo_TG|NON_ST|NON_TS|NONE_SZ|1X1_AD|CM1_IT|SOC_U1|MACAPA_U2|AzulEscuro</v>
      </c>
      <c r="D346" t="str">
        <f t="shared" si="77"/>
        <v>255476467</v>
      </c>
      <c r="E346" t="str">
        <f t="shared" si="78"/>
        <v>Dynamic Click</v>
      </c>
      <c r="F346" t="str">
        <f t="shared" si="79"/>
        <v>MK|BR_CH|PSD_DT|CROSS_PB|FCBK_FM|GIF_RT|CPM_PD|CidadesdoFuturo_TG|NON_ST|NON_TS|NONE_SZ|1X1_AD|CM1_IT|SOC_U1|MACAPA_U2|AzulEscuro</v>
      </c>
      <c r="G346" t="str">
        <f t="shared" si="80"/>
        <v>451493167</v>
      </c>
      <c r="H346" t="str">
        <f t="shared" si="81"/>
        <v>Tracking</v>
      </c>
      <c r="I346">
        <f t="shared" si="82"/>
        <v>0</v>
      </c>
      <c r="J346">
        <f t="shared" si="83"/>
        <v>70</v>
      </c>
      <c r="K346" s="4">
        <f t="shared" si="72"/>
        <v>3.5000000000000001E-3</v>
      </c>
      <c r="L346">
        <f t="shared" si="73"/>
        <v>0.02</v>
      </c>
      <c r="M346" s="4">
        <f t="shared" si="70"/>
        <v>0.245</v>
      </c>
      <c r="N346" s="4">
        <f t="shared" si="71"/>
        <v>1.4000000000000001</v>
      </c>
    </row>
    <row r="347" spans="1:14">
      <c r="A347" t="str">
        <f t="shared" si="74"/>
        <v>MK|BR_CN|CIDADESDOFUTURO_MN|NONE_YQ|19Q4_CP|5020004441_SP|N/A_AC|CMKT_OB|AWA</v>
      </c>
      <c r="B347" t="str">
        <f t="shared" si="75"/>
        <v>Facebook</v>
      </c>
      <c r="C347" t="str">
        <f t="shared" si="76"/>
        <v>MK|BR_CH|PSD_DT|CROSS_PB|FCBK_FM|GIF_RT|CPM_PD|CidadesdoFuturo_TG|NON_ST|NON_TS|NONE_SZ|1X1_AD|CM1_IT|SOC_U1|MACEIO_U2|AzulEscuro</v>
      </c>
      <c r="D347" t="str">
        <f t="shared" si="77"/>
        <v>255471040</v>
      </c>
      <c r="E347" t="str">
        <f t="shared" si="78"/>
        <v>Dynamic Click</v>
      </c>
      <c r="F347" t="str">
        <f t="shared" si="79"/>
        <v>MK|BR_CH|PSD_DT|CROSS_PB|FCBK_FM|GIF_RT|CPM_PD|CidadesdoFuturo_TG|NON_ST|NON_TS|NONE_SZ|1X1_AD|CM1_IT|SOC_U1|MACEIO_U2|AzulEscuro</v>
      </c>
      <c r="G347" t="str">
        <f t="shared" si="80"/>
        <v>451397571</v>
      </c>
      <c r="H347" t="str">
        <f t="shared" si="81"/>
        <v>Tracking</v>
      </c>
      <c r="I347">
        <f t="shared" si="82"/>
        <v>0</v>
      </c>
      <c r="J347">
        <f t="shared" si="83"/>
        <v>341</v>
      </c>
      <c r="K347" s="4">
        <f t="shared" si="72"/>
        <v>3.5000000000000001E-3</v>
      </c>
      <c r="L347">
        <f t="shared" si="73"/>
        <v>0.02</v>
      </c>
      <c r="M347" s="4">
        <f t="shared" si="70"/>
        <v>1.1935</v>
      </c>
      <c r="N347" s="4">
        <f t="shared" si="71"/>
        <v>6.82</v>
      </c>
    </row>
    <row r="348" spans="1:14">
      <c r="A348" t="str">
        <f t="shared" si="74"/>
        <v>MK|BR_CN|CIDADESDOFUTURO_MN|NONE_YQ|19Q4_CP|5020004441_SP|N/A_AC|CMKT_OB|AWA</v>
      </c>
      <c r="B348" t="str">
        <f t="shared" si="75"/>
        <v>Facebook</v>
      </c>
      <c r="C348" t="str">
        <f t="shared" si="76"/>
        <v>MK|BR_CH|PSD_DT|CROSS_PB|FCBK_FM|GIF_RT|CPM_PD|CidadesdoFuturo_TG|NON_ST|NON_TS|NONE_SZ|1X1_AD|CM1_IT|SOC_U1|MANAUS_U2|AzulEscuro</v>
      </c>
      <c r="D348" t="str">
        <f t="shared" si="77"/>
        <v>255471028</v>
      </c>
      <c r="E348" t="str">
        <f t="shared" si="78"/>
        <v>Dynamic Click</v>
      </c>
      <c r="F348" t="str">
        <f t="shared" si="79"/>
        <v>MK|BR_CH|PSD_DT|CROSS_PB|FCBK_FM|GIF_RT|CPM_PD|CidadesdoFuturo_TG|NON_ST|NON_TS|NONE_SZ|1X1_AD|CM1_IT|SOC_U1|MANAUS_U2|AzulEscuro</v>
      </c>
      <c r="G348" t="str">
        <f t="shared" si="80"/>
        <v>451397583</v>
      </c>
      <c r="H348" t="str">
        <f t="shared" si="81"/>
        <v>Tracking</v>
      </c>
      <c r="I348">
        <f t="shared" si="82"/>
        <v>0</v>
      </c>
      <c r="J348">
        <f t="shared" si="83"/>
        <v>649</v>
      </c>
      <c r="K348" s="4">
        <f t="shared" si="72"/>
        <v>3.5000000000000001E-3</v>
      </c>
      <c r="L348">
        <f t="shared" si="73"/>
        <v>0.02</v>
      </c>
      <c r="M348" s="4">
        <f t="shared" si="70"/>
        <v>2.2715000000000001</v>
      </c>
      <c r="N348" s="4">
        <f t="shared" si="71"/>
        <v>12.98</v>
      </c>
    </row>
    <row r="349" spans="1:14">
      <c r="A349" t="str">
        <f t="shared" si="74"/>
        <v>MK|BR_CN|CIDADESDOFUTURO_MN|NONE_YQ|19Q4_CP|5020004441_SP|N/A_AC|CMKT_OB|AWA</v>
      </c>
      <c r="B349" t="str">
        <f t="shared" si="75"/>
        <v>Facebook</v>
      </c>
      <c r="C349" t="str">
        <f t="shared" si="76"/>
        <v>MK|BR_CH|PSD_DT|CROSS_PB|FCBK_FM|GIF_RT|CPM_PD|CidadesdoFuturo_TG|NON_ST|NON_TS|NONE_SZ|1X1_AD|CM1_IT|SOC_U1|MARABA_U2|AzulEscuro</v>
      </c>
      <c r="D349" t="str">
        <f t="shared" si="77"/>
        <v>255476452</v>
      </c>
      <c r="E349" t="str">
        <f t="shared" si="78"/>
        <v>Dynamic Click</v>
      </c>
      <c r="F349" t="str">
        <f t="shared" si="79"/>
        <v>MK|BR_CH|PSD_DT|CROSS_PB|FCBK_FM|GIF_RT|CPM_PD|CidadesdoFuturo_TG|NON_ST|NON_TS|NONE_SZ|1X1_AD|CM1_IT|SOC_U1|MARABA_U2|AzulEscuro</v>
      </c>
      <c r="G349" t="str">
        <f t="shared" si="80"/>
        <v>451493200</v>
      </c>
      <c r="H349" t="str">
        <f t="shared" si="81"/>
        <v>Tracking</v>
      </c>
      <c r="I349">
        <f t="shared" si="82"/>
        <v>0</v>
      </c>
      <c r="J349">
        <f t="shared" si="83"/>
        <v>17</v>
      </c>
      <c r="K349" s="4">
        <f t="shared" si="72"/>
        <v>3.5000000000000001E-3</v>
      </c>
      <c r="L349">
        <f t="shared" si="73"/>
        <v>0.02</v>
      </c>
      <c r="M349" s="4">
        <f t="shared" si="70"/>
        <v>5.9500000000000004E-2</v>
      </c>
      <c r="N349" s="4">
        <f t="shared" si="71"/>
        <v>0.34</v>
      </c>
    </row>
    <row r="350" spans="1:14">
      <c r="A350" t="str">
        <f t="shared" si="74"/>
        <v>MK|BR_CN|CIDADESDOFUTURO_MN|NONE_YQ|19Q4_CP|5020004441_SP|N/A_AC|CMKT_OB|AWA</v>
      </c>
      <c r="B350" t="str">
        <f t="shared" si="75"/>
        <v>Facebook</v>
      </c>
      <c r="C350" t="str">
        <f t="shared" si="76"/>
        <v>MK|BR_CH|PSD_DT|CROSS_PB|FCBK_FM|GIF_RT|CPM_PD|CidadesdoFuturo_TG|NON_ST|NON_TS|NONE_SZ|1X1_AD|CM1_IT|SOC_U1|MARABA_U2|AzulEscuro</v>
      </c>
      <c r="D350" t="str">
        <f t="shared" si="77"/>
        <v>255476455</v>
      </c>
      <c r="E350" t="str">
        <f t="shared" si="78"/>
        <v>Dynamic Click</v>
      </c>
      <c r="F350" t="str">
        <f t="shared" si="79"/>
        <v>MK|BR_CH|PSD_DT|CROSS_PB|FCBK_FM|GIF_RT|CPM_PD|CidadesdoFuturo_TG|NON_ST|NON_TS|NONE_SZ|1X1_AD|CM1_IT|SOC_U1|MARABA_U2|AzulEscuro</v>
      </c>
      <c r="G350" t="str">
        <f t="shared" si="80"/>
        <v>451493191</v>
      </c>
      <c r="H350" t="str">
        <f t="shared" si="81"/>
        <v>Tracking</v>
      </c>
      <c r="I350">
        <f t="shared" si="82"/>
        <v>0</v>
      </c>
      <c r="J350">
        <f t="shared" si="83"/>
        <v>138</v>
      </c>
      <c r="K350" s="4">
        <f t="shared" si="72"/>
        <v>3.5000000000000001E-3</v>
      </c>
      <c r="L350">
        <f t="shared" si="73"/>
        <v>0.02</v>
      </c>
      <c r="M350" s="4">
        <f t="shared" si="70"/>
        <v>0.48299999999999998</v>
      </c>
      <c r="N350" s="4">
        <f t="shared" si="71"/>
        <v>2.7600000000000002</v>
      </c>
    </row>
    <row r="351" spans="1:14">
      <c r="A351" t="str">
        <f t="shared" si="74"/>
        <v>MK|BR_CN|CIDADESDOFUTURO_MN|NONE_YQ|19Q4_CP|5020004441_SP|N/A_AC|CMKT_OB|AWA</v>
      </c>
      <c r="B351" t="str">
        <f t="shared" si="75"/>
        <v>Facebook</v>
      </c>
      <c r="C351" t="str">
        <f t="shared" si="76"/>
        <v>MK|BR_CH|PSD_DT|CROSS_PB|FCBK_FM|GIF_RT|CPM_PD|CidadesdoFuturo_TG|NON_ST|NON_TS|NONE_SZ|1X1_AD|CM1_IT|SOC_U1|MARABA_U2|AzulEscuro</v>
      </c>
      <c r="D351" t="str">
        <f t="shared" si="77"/>
        <v>256224248</v>
      </c>
      <c r="E351" t="str">
        <f t="shared" si="78"/>
        <v>Dynamic Click</v>
      </c>
      <c r="F351" t="str">
        <f t="shared" si="79"/>
        <v>MK|BR_CH|PSD_DT|CROSS_PB|FCBK_FM|GIF_RT|CPM_PD|CidadesdoFuturo_TG|NON_ST|NON_TS|NONE_SZ|1X1_AD|CM1_IT|SOC_U1|MARABA_U2|AzulEscuro</v>
      </c>
      <c r="G351" t="str">
        <f t="shared" si="80"/>
        <v>452369652</v>
      </c>
      <c r="H351" t="str">
        <f t="shared" si="81"/>
        <v>Tracking</v>
      </c>
      <c r="I351">
        <f t="shared" si="82"/>
        <v>0</v>
      </c>
      <c r="J351">
        <f t="shared" si="83"/>
        <v>1</v>
      </c>
      <c r="K351" s="4">
        <f t="shared" si="72"/>
        <v>3.5000000000000001E-3</v>
      </c>
      <c r="L351">
        <f t="shared" si="73"/>
        <v>0.02</v>
      </c>
      <c r="M351" s="4">
        <f t="shared" si="70"/>
        <v>3.5000000000000001E-3</v>
      </c>
      <c r="N351" s="4">
        <f t="shared" si="71"/>
        <v>0.02</v>
      </c>
    </row>
    <row r="352" spans="1:14">
      <c r="A352" t="str">
        <f t="shared" si="74"/>
        <v>MK|BR_CN|CIDADESDOFUTURO_MN|NONE_YQ|19Q4_CP|5020004441_SP|N/A_AC|CMKT_OB|AWA</v>
      </c>
      <c r="B352" t="str">
        <f t="shared" si="75"/>
        <v>Facebook</v>
      </c>
      <c r="C352" t="str">
        <f t="shared" si="76"/>
        <v>MK|BR_CH|PSD_DT|CROSS_PB|FCBK_FM|GIF_RT|CPM_PD|CidadesdoFuturo_TG|NON_ST|NON_TS|NONE_SZ|1X1_AD|CM1_IT|SOC_U1|MARINGA_U2|AzulEscuro</v>
      </c>
      <c r="D352" t="str">
        <f t="shared" si="77"/>
        <v>255476440</v>
      </c>
      <c r="E352" t="str">
        <f t="shared" si="78"/>
        <v>Dynamic Click</v>
      </c>
      <c r="F352" t="str">
        <f t="shared" si="79"/>
        <v>MK|BR_CH|PSD_DT|CROSS_PB|FCBK_FM|GIF_RT|CPM_PD|CidadesdoFuturo_TG|NON_ST|NON_TS|NONE_SZ|1X1_AD|CM1_IT|SOC_U1|MARINGA_U2|AzulEscuro</v>
      </c>
      <c r="G352" t="str">
        <f t="shared" si="80"/>
        <v>451493224</v>
      </c>
      <c r="H352" t="str">
        <f t="shared" si="81"/>
        <v>Tracking</v>
      </c>
      <c r="I352">
        <f t="shared" si="82"/>
        <v>0</v>
      </c>
      <c r="J352">
        <f t="shared" si="83"/>
        <v>55</v>
      </c>
      <c r="K352" s="4">
        <f t="shared" si="72"/>
        <v>3.5000000000000001E-3</v>
      </c>
      <c r="L352">
        <f t="shared" si="73"/>
        <v>0.02</v>
      </c>
      <c r="M352" s="4">
        <f t="shared" si="70"/>
        <v>0.1925</v>
      </c>
      <c r="N352" s="4">
        <f t="shared" si="71"/>
        <v>1.1000000000000001</v>
      </c>
    </row>
    <row r="353" spans="1:14">
      <c r="A353" t="str">
        <f t="shared" si="74"/>
        <v>MK|BR_CN|CIDADESDOFUTURO_MN|NONE_YQ|19Q4_CP|5020004441_SP|N/A_AC|CMKT_OB|AWA</v>
      </c>
      <c r="B353" t="str">
        <f t="shared" si="75"/>
        <v>Facebook</v>
      </c>
      <c r="C353" t="str">
        <f t="shared" si="76"/>
        <v>MK|BR_CH|PSD_DT|CROSS_PB|FCBK_FM|GIF_RT|CPM_PD|CidadesdoFuturo_TG|NON_ST|NON_TS|NONE_SZ|1X1_AD|CM1_IT|SOC_U1|MOGIGUAÇU_U2|AzulEscuro</v>
      </c>
      <c r="D353" t="str">
        <f t="shared" si="77"/>
        <v>255476428</v>
      </c>
      <c r="E353" t="str">
        <f t="shared" si="78"/>
        <v>Dynamic Click</v>
      </c>
      <c r="F353" t="str">
        <f t="shared" si="79"/>
        <v>MK|BR_CH|PSD_DT|CROSS_PB|FCBK_FM|GIF_RT|CPM_PD|CidadesdoFuturo_TG|NON_ST|NON_TS|NONE_SZ|1X1_AD|CM1_IT|SOC_U1|MOGIGUAÇU_U2|AzulEscuro</v>
      </c>
      <c r="G353" t="str">
        <f t="shared" si="80"/>
        <v>451493248</v>
      </c>
      <c r="H353" t="str">
        <f t="shared" si="81"/>
        <v>Tracking</v>
      </c>
      <c r="I353">
        <f t="shared" si="82"/>
        <v>0</v>
      </c>
      <c r="J353">
        <f t="shared" si="83"/>
        <v>33</v>
      </c>
      <c r="K353" s="4">
        <f t="shared" si="72"/>
        <v>3.5000000000000001E-3</v>
      </c>
      <c r="L353">
        <f t="shared" si="73"/>
        <v>0.02</v>
      </c>
      <c r="M353" s="4">
        <f t="shared" si="70"/>
        <v>0.11550000000000001</v>
      </c>
      <c r="N353" s="4">
        <f t="shared" si="71"/>
        <v>0.66</v>
      </c>
    </row>
    <row r="354" spans="1:14">
      <c r="A354" t="str">
        <f t="shared" si="74"/>
        <v>MK|BR_CN|CIDADESDOFUTURO_MN|NONE_YQ|19Q4_CP|5020004441_SP|N/A_AC|CMKT_OB|AWA</v>
      </c>
      <c r="B354" t="str">
        <f t="shared" si="75"/>
        <v>Facebook</v>
      </c>
      <c r="C354" t="str">
        <f t="shared" si="76"/>
        <v>MK|BR_CH|PSD_DT|CROSS_PB|FCBK_FM|GIF_RT|CPM_PD|CidadesdoFuturo_TG|NON_ST|NON_TS|NONE_SZ|1X1_AD|CM1_IT|SOC_U1|MONTESCLAROS_U2|AzulEscuro</v>
      </c>
      <c r="D354" t="str">
        <f t="shared" si="77"/>
        <v>255476416</v>
      </c>
      <c r="E354" t="str">
        <f t="shared" si="78"/>
        <v>Dynamic Click</v>
      </c>
      <c r="F354" t="str">
        <f t="shared" si="79"/>
        <v>MK|BR_CH|PSD_DT|CROSS_PB|FCBK_FM|GIF_RT|CPM_PD|CidadesdoFuturo_TG|NON_ST|NON_TS|NONE_SZ|1X1_AD|CM1_IT|SOC_U1|MONTESCLAROS_U2|AzulEscuro</v>
      </c>
      <c r="G354" t="str">
        <f t="shared" si="80"/>
        <v>451493275</v>
      </c>
      <c r="H354" t="str">
        <f t="shared" si="81"/>
        <v>Tracking</v>
      </c>
      <c r="I354">
        <f t="shared" si="82"/>
        <v>0</v>
      </c>
      <c r="J354">
        <f t="shared" si="83"/>
        <v>47</v>
      </c>
      <c r="K354" s="4">
        <f t="shared" si="72"/>
        <v>3.5000000000000001E-3</v>
      </c>
      <c r="L354">
        <f t="shared" si="73"/>
        <v>0.02</v>
      </c>
      <c r="M354" s="4">
        <f t="shared" si="70"/>
        <v>0.16450000000000001</v>
      </c>
      <c r="N354" s="4">
        <f t="shared" si="71"/>
        <v>0.94000000000000006</v>
      </c>
    </row>
    <row r="355" spans="1:14">
      <c r="A355" t="str">
        <f t="shared" si="74"/>
        <v>MK|BR_CN|CIDADESDOFUTURO_MN|NONE_YQ|19Q4_CP|5020004441_SP|N/A_AC|CMKT_OB|AWA</v>
      </c>
      <c r="B355" t="str">
        <f t="shared" si="75"/>
        <v>Facebook</v>
      </c>
      <c r="C355" t="str">
        <f t="shared" si="76"/>
        <v>MK|BR_CH|PSD_DT|CROSS_PB|FCBK_FM|GIF_RT|CPM_PD|CidadesdoFuturo_TG|NON_ST|NON_TS|NONE_SZ|1X1_AD|CM1_IT|SOC_U1|MOSSORO_U2|AzulEscuro</v>
      </c>
      <c r="D355" t="str">
        <f t="shared" si="77"/>
        <v>255476404</v>
      </c>
      <c r="E355" t="str">
        <f t="shared" si="78"/>
        <v>Dynamic Click</v>
      </c>
      <c r="F355" t="str">
        <f t="shared" si="79"/>
        <v>MK|BR_CH|PSD_DT|CROSS_PB|FCBK_FM|GIF_RT|CPM_PD|CidadesdoFuturo_TG|NON_ST|NON_TS|NONE_SZ|1X1_AD|CM1_IT|SOC_U1|MOSSORO_U2|AzulEscuro</v>
      </c>
      <c r="G355" t="str">
        <f t="shared" si="80"/>
        <v>451493302</v>
      </c>
      <c r="H355" t="str">
        <f t="shared" si="81"/>
        <v>Tracking</v>
      </c>
      <c r="I355">
        <f t="shared" si="82"/>
        <v>0</v>
      </c>
      <c r="J355">
        <f t="shared" si="83"/>
        <v>30</v>
      </c>
      <c r="K355" s="4">
        <f t="shared" si="72"/>
        <v>3.5000000000000001E-3</v>
      </c>
      <c r="L355">
        <f t="shared" si="73"/>
        <v>0.02</v>
      </c>
      <c r="M355" s="4">
        <f t="shared" ref="M355:M417" si="84">IF(E355="Dynamic Click",J355*K355,K355*$I355/1000)</f>
        <v>0.105</v>
      </c>
      <c r="N355" s="4">
        <f t="shared" ref="N355:N417" si="85">IF(E355="Dynamic Click",J355*L355,L355*$I355/1000)</f>
        <v>0.6</v>
      </c>
    </row>
    <row r="356" spans="1:14">
      <c r="A356" t="str">
        <f t="shared" si="74"/>
        <v>MK|BR_CN|CIDADESDOFUTURO_MN|NONE_YQ|19Q4_CP|5020004441_SP|N/A_AC|CMKT_OB|AWA</v>
      </c>
      <c r="B356" t="str">
        <f t="shared" si="75"/>
        <v>Facebook</v>
      </c>
      <c r="C356" t="str">
        <f t="shared" si="76"/>
        <v>MK|BR_CH|PSD_DT|CROSS_PB|FCBK_FM|GIF_RT|CPM_PD|CidadesdoFuturo_TG|NON_ST|NON_TS|NONE_SZ|1X1_AD|CM1_IT|SOC_U1|NOVAFRIBURGO_U2|AzulEscuro</v>
      </c>
      <c r="D356" t="str">
        <f t="shared" si="77"/>
        <v>255476392</v>
      </c>
      <c r="E356" t="str">
        <f t="shared" si="78"/>
        <v>Dynamic Click</v>
      </c>
      <c r="F356" t="str">
        <f t="shared" si="79"/>
        <v>MK|BR_CH|PSD_DT|CROSS_PB|FCBK_FM|GIF_RT|CPM_PD|CidadesdoFuturo_TG|NON_ST|NON_TS|NONE_SZ|1X1_AD|CM1_IT|SOC_U1|NOVAFRIBURGO_U2|AzulEscuro</v>
      </c>
      <c r="G356" t="str">
        <f t="shared" si="80"/>
        <v>451493326</v>
      </c>
      <c r="H356" t="str">
        <f t="shared" si="81"/>
        <v>Tracking</v>
      </c>
      <c r="I356">
        <f t="shared" si="82"/>
        <v>0</v>
      </c>
      <c r="J356">
        <f t="shared" si="83"/>
        <v>32</v>
      </c>
      <c r="K356" s="4">
        <f t="shared" si="72"/>
        <v>3.5000000000000001E-3</v>
      </c>
      <c r="L356">
        <f t="shared" si="73"/>
        <v>0.02</v>
      </c>
      <c r="M356" s="4">
        <f t="shared" si="84"/>
        <v>0.112</v>
      </c>
      <c r="N356" s="4">
        <f t="shared" si="85"/>
        <v>0.64</v>
      </c>
    </row>
    <row r="357" spans="1:14">
      <c r="A357" t="str">
        <f t="shared" si="74"/>
        <v>MK|BR_CN|CIDADESDOFUTURO_MN|NONE_YQ|19Q4_CP|5020004441_SP|N/A_AC|CMKT_OB|AWA</v>
      </c>
      <c r="B357" t="str">
        <f t="shared" si="75"/>
        <v>Facebook</v>
      </c>
      <c r="C357" t="str">
        <f t="shared" si="76"/>
        <v>MK|BR_CH|PSD_DT|CROSS_PB|FCBK_FM|GIF_RT|CPM_PD|CidadesdoFuturo_TG|NON_ST|NON_TS|NONE_SZ|1X1_AD|CM1_IT|SOC_U1|NOVAFRIBURGO_U2|AzulEscuro</v>
      </c>
      <c r="D357" t="str">
        <f t="shared" si="77"/>
        <v>256224284</v>
      </c>
      <c r="E357" t="str">
        <f t="shared" si="78"/>
        <v>Dynamic Click</v>
      </c>
      <c r="F357" t="str">
        <f t="shared" si="79"/>
        <v>MK|BR_CH|PSD_DT|CROSS_PB|FCBK_FM|GIF_RT|CPM_PD|CidadesdoFuturo_TG|NON_ST|NON_TS|NONE_SZ|1X1_AD|CM1_IT|SOC_U1|NOVAFRIBURGO_U2|AzulEscuro</v>
      </c>
      <c r="G357" t="str">
        <f t="shared" si="80"/>
        <v>452369622</v>
      </c>
      <c r="H357" t="str">
        <f t="shared" si="81"/>
        <v>Tracking</v>
      </c>
      <c r="I357">
        <f t="shared" si="82"/>
        <v>0</v>
      </c>
      <c r="J357">
        <f t="shared" si="83"/>
        <v>1</v>
      </c>
      <c r="K357" s="4">
        <f t="shared" si="72"/>
        <v>3.5000000000000001E-3</v>
      </c>
      <c r="L357">
        <f t="shared" si="73"/>
        <v>0.02</v>
      </c>
      <c r="M357" s="4">
        <f t="shared" si="84"/>
        <v>3.5000000000000001E-3</v>
      </c>
      <c r="N357" s="4">
        <f t="shared" si="85"/>
        <v>0.02</v>
      </c>
    </row>
    <row r="358" spans="1:14">
      <c r="A358" t="str">
        <f t="shared" si="74"/>
        <v>MK|BR_CN|CIDADESDOFUTURO_MN|NONE_YQ|19Q4_CP|5020004441_SP|N/A_AC|CMKT_OB|AWA</v>
      </c>
      <c r="B358" t="str">
        <f t="shared" si="75"/>
        <v>Facebook</v>
      </c>
      <c r="C358" t="str">
        <f t="shared" si="76"/>
        <v>MK|BR_CH|PSD_DT|CROSS_PB|FCBK_FM|GIF_RT|CPM_PD|CidadesdoFuturo_TG|NON_ST|NON_TS|NONE_SZ|1X1_AD|CM1_IT|SOC_U1|PARANAGUA_U2|AzulEscuro</v>
      </c>
      <c r="D358" t="str">
        <f t="shared" si="77"/>
        <v>255476380</v>
      </c>
      <c r="E358" t="str">
        <f t="shared" si="78"/>
        <v>Dynamic Click</v>
      </c>
      <c r="F358" t="str">
        <f t="shared" si="79"/>
        <v>MK|BR_CH|PSD_DT|CROSS_PB|FCBK_FM|GIF_RT|CPM_PD|CidadesdoFuturo_TG|NON_ST|NON_TS|NONE_SZ|1X1_AD|CM1_IT|SOC_U1|PARANAGUA_U2|AzulEscuro</v>
      </c>
      <c r="G358" t="str">
        <f t="shared" si="80"/>
        <v>451493353</v>
      </c>
      <c r="H358" t="str">
        <f t="shared" si="81"/>
        <v>Tracking</v>
      </c>
      <c r="I358">
        <f t="shared" si="82"/>
        <v>0</v>
      </c>
      <c r="J358">
        <f t="shared" si="83"/>
        <v>33</v>
      </c>
      <c r="K358" s="4">
        <f t="shared" si="72"/>
        <v>3.5000000000000001E-3</v>
      </c>
      <c r="L358">
        <f t="shared" si="73"/>
        <v>0.02</v>
      </c>
      <c r="M358" s="4">
        <f t="shared" si="84"/>
        <v>0.11550000000000001</v>
      </c>
      <c r="N358" s="4">
        <f t="shared" si="85"/>
        <v>0.66</v>
      </c>
    </row>
    <row r="359" spans="1:14">
      <c r="A359" t="str">
        <f t="shared" si="74"/>
        <v>MK|BR_CN|CIDADESDOFUTURO_MN|NONE_YQ|19Q4_CP|5020004441_SP|N/A_AC|CMKT_OB|AWA</v>
      </c>
      <c r="B359" t="str">
        <f t="shared" si="75"/>
        <v>Facebook</v>
      </c>
      <c r="C359" t="str">
        <f t="shared" si="76"/>
        <v>MK|BR_CH|PSD_DT|CROSS_PB|FCBK_FM|GIF_RT|CPM_PD|CidadesdoFuturo_TG|NON_ST|NON_TS|NONE_SZ|1X1_AD|CM1_IT|SOC_U1|PARAUAPEBAS_U2|AzulEscuro</v>
      </c>
      <c r="D359" t="str">
        <f t="shared" si="77"/>
        <v>255476368</v>
      </c>
      <c r="E359" t="str">
        <f t="shared" si="78"/>
        <v>Dynamic Click</v>
      </c>
      <c r="F359" t="str">
        <f t="shared" si="79"/>
        <v>MK|BR_CH|PSD_DT|CROSS_PB|FCBK_FM|GIF_RT|CPM_PD|CidadesdoFuturo_TG|NON_ST|NON_TS|NONE_SZ|1X1_AD|CM1_IT|SOC_U1|PARAUAPEBAS_U2|AzulEscuro</v>
      </c>
      <c r="G359" t="str">
        <f t="shared" si="80"/>
        <v>451397109</v>
      </c>
      <c r="H359" t="str">
        <f t="shared" si="81"/>
        <v>Tracking</v>
      </c>
      <c r="I359">
        <f t="shared" si="82"/>
        <v>0</v>
      </c>
      <c r="J359">
        <f t="shared" si="83"/>
        <v>81</v>
      </c>
      <c r="K359" s="4">
        <f t="shared" si="72"/>
        <v>3.5000000000000001E-3</v>
      </c>
      <c r="L359">
        <f t="shared" si="73"/>
        <v>0.02</v>
      </c>
      <c r="M359" s="4">
        <f t="shared" si="84"/>
        <v>0.28350000000000003</v>
      </c>
      <c r="N359" s="4">
        <f t="shared" si="85"/>
        <v>1.62</v>
      </c>
    </row>
    <row r="360" spans="1:14">
      <c r="A360" t="str">
        <f t="shared" si="74"/>
        <v>MK|BR_CN|CIDADESDOFUTURO_MN|NONE_YQ|19Q4_CP|5020004441_SP|N/A_AC|CMKT_OB|AWA</v>
      </c>
      <c r="B360" t="str">
        <f t="shared" si="75"/>
        <v>Facebook</v>
      </c>
      <c r="C360" t="str">
        <f t="shared" si="76"/>
        <v>MK|BR_CH|PSD_DT|CROSS_PB|FCBK_FM|GIF_RT|CPM_PD|CidadesdoFuturo_TG|NON_ST|NON_TS|NONE_SZ|1X1_AD|CM1_IT|SOC_U1|PATOSDEMINAS_U2|AzulEscuro</v>
      </c>
      <c r="D360" t="str">
        <f t="shared" si="77"/>
        <v>255476356</v>
      </c>
      <c r="E360" t="str">
        <f t="shared" si="78"/>
        <v>Dynamic Click</v>
      </c>
      <c r="F360" t="str">
        <f t="shared" si="79"/>
        <v>MK|BR_CH|PSD_DT|CROSS_PB|FCBK_FM|GIF_RT|CPM_PD|CidadesdoFuturo_TG|NON_ST|NON_TS|NONE_SZ|1X1_AD|CM1_IT|SOC_U1|PATOSDEMINAS_U2|AzulEscuro</v>
      </c>
      <c r="G360" t="str">
        <f t="shared" si="80"/>
        <v>451397136</v>
      </c>
      <c r="H360" t="str">
        <f t="shared" si="81"/>
        <v>Tracking</v>
      </c>
      <c r="I360">
        <f t="shared" si="82"/>
        <v>0</v>
      </c>
      <c r="J360">
        <f t="shared" si="83"/>
        <v>33</v>
      </c>
      <c r="K360" s="4">
        <f t="shared" si="72"/>
        <v>3.5000000000000001E-3</v>
      </c>
      <c r="L360">
        <f t="shared" si="73"/>
        <v>0.02</v>
      </c>
      <c r="M360" s="4">
        <f t="shared" si="84"/>
        <v>0.11550000000000001</v>
      </c>
      <c r="N360" s="4">
        <f t="shared" si="85"/>
        <v>0.66</v>
      </c>
    </row>
    <row r="361" spans="1:14">
      <c r="A361" t="str">
        <f t="shared" si="74"/>
        <v>MK|BR_CN|CIDADESDOFUTURO_MN|NONE_YQ|19Q4_CP|5020004441_SP|N/A_AC|CMKT_OB|AWA</v>
      </c>
      <c r="B361" t="str">
        <f t="shared" si="75"/>
        <v>Facebook</v>
      </c>
      <c r="C361" t="str">
        <f t="shared" si="76"/>
        <v>MK|BR_CH|PSD_DT|CROSS_PB|FCBK_FM|GIF_RT|CPM_PD|CidadesdoFuturo_TG|NON_ST|NON_TS|NONE_SZ|1X1_AD|CM1_IT|SOC_U1|PATOSDEMINAS_U2|AzulEscuro</v>
      </c>
      <c r="D361" t="str">
        <f t="shared" si="77"/>
        <v>255476359</v>
      </c>
      <c r="E361" t="str">
        <f t="shared" si="78"/>
        <v>Dynamic Click</v>
      </c>
      <c r="F361" t="str">
        <f t="shared" si="79"/>
        <v>MK|BR_CH|PSD_DT|CROSS_PB|FCBK_FM|GIF_RT|CPM_PD|CidadesdoFuturo_TG|NON_ST|NON_TS|NONE_SZ|1X1_AD|CM1_IT|SOC_U1|PATOSDEMINAS_U2|AzulEscuro</v>
      </c>
      <c r="G361" t="str">
        <f t="shared" si="80"/>
        <v>451397130</v>
      </c>
      <c r="H361" t="str">
        <f t="shared" si="81"/>
        <v>Tracking</v>
      </c>
      <c r="I361">
        <f t="shared" si="82"/>
        <v>0</v>
      </c>
      <c r="J361">
        <f t="shared" si="83"/>
        <v>127</v>
      </c>
      <c r="K361" s="4">
        <f t="shared" si="72"/>
        <v>3.5000000000000001E-3</v>
      </c>
      <c r="L361">
        <f t="shared" si="73"/>
        <v>0.02</v>
      </c>
      <c r="M361" s="4">
        <f t="shared" si="84"/>
        <v>0.44450000000000001</v>
      </c>
      <c r="N361" s="4">
        <f t="shared" si="85"/>
        <v>2.54</v>
      </c>
    </row>
    <row r="362" spans="1:14">
      <c r="A362" t="str">
        <f t="shared" si="74"/>
        <v>MK|BR_CN|CIDADESDOFUTURO_MN|NONE_YQ|19Q4_CP|5020004441_SP|N/A_AC|CMKT_OB|AWA</v>
      </c>
      <c r="B362" t="str">
        <f t="shared" si="75"/>
        <v>Facebook</v>
      </c>
      <c r="C362" t="str">
        <f t="shared" si="76"/>
        <v>MK|BR_CH|PSD_DT|CROSS_PB|FCBK_FM|GIF_RT|CPM_PD|CidadesdoFuturo_TG|NON_ST|NON_TS|NONE_SZ|1X1_AD|CM1_IT|SOC_U1|PELOTAS_U2|AzulEscuro</v>
      </c>
      <c r="D362" t="str">
        <f t="shared" si="77"/>
        <v>255476347</v>
      </c>
      <c r="E362" t="str">
        <f t="shared" si="78"/>
        <v>Dynamic Click</v>
      </c>
      <c r="F362" t="str">
        <f t="shared" si="79"/>
        <v>MK|BR_CH|PSD_DT|CROSS_PB|FCBK_FM|GIF_RT|CPM_PD|CidadesdoFuturo_TG|NON_ST|NON_TS|NONE_SZ|1X1_AD|CM1_IT|SOC_U1|PELOTAS_U2|AzulEscuro</v>
      </c>
      <c r="G362" t="str">
        <f t="shared" si="80"/>
        <v>451397154</v>
      </c>
      <c r="H362" t="str">
        <f t="shared" si="81"/>
        <v>Tracking</v>
      </c>
      <c r="I362">
        <f t="shared" si="82"/>
        <v>0</v>
      </c>
      <c r="J362">
        <f t="shared" si="83"/>
        <v>78</v>
      </c>
      <c r="K362" s="4">
        <f t="shared" si="72"/>
        <v>3.5000000000000001E-3</v>
      </c>
      <c r="L362">
        <f t="shared" si="73"/>
        <v>0.02</v>
      </c>
      <c r="M362" s="4">
        <f t="shared" si="84"/>
        <v>0.27300000000000002</v>
      </c>
      <c r="N362" s="4">
        <f t="shared" si="85"/>
        <v>1.56</v>
      </c>
    </row>
    <row r="363" spans="1:14">
      <c r="A363" t="str">
        <f t="shared" si="74"/>
        <v>MK|BR_CN|CIDADESDOFUTURO_MN|NONE_YQ|19Q4_CP|5020004441_SP|N/A_AC|CMKT_OB|AWA</v>
      </c>
      <c r="B363" t="str">
        <f t="shared" si="75"/>
        <v>Facebook</v>
      </c>
      <c r="C363" t="str">
        <f t="shared" si="76"/>
        <v>MK|BR_CH|PSD_DT|CROSS_PB|FCBK_FM|GIF_RT|CPM_PD|CidadesdoFuturo_TG|NON_ST|NON_TS|NONE_SZ|1X1_AD|CM1_IT|SOC_U1|PETROLINA_U2|AzulEscuro</v>
      </c>
      <c r="D363" t="str">
        <f t="shared" si="77"/>
        <v>255476332</v>
      </c>
      <c r="E363" t="str">
        <f t="shared" si="78"/>
        <v>Dynamic Click</v>
      </c>
      <c r="F363" t="str">
        <f t="shared" si="79"/>
        <v>MK|BR_CH|PSD_DT|CROSS_PB|FCBK_FM|GIF_RT|CPM_PD|CidadesdoFuturo_TG|NON_ST|NON_TS|NONE_SZ|1X1_AD|CM1_IT|SOC_U1|PETROLINA_U2|AzulEscuro</v>
      </c>
      <c r="G363" t="str">
        <f t="shared" si="80"/>
        <v>451397187</v>
      </c>
      <c r="H363" t="str">
        <f t="shared" si="81"/>
        <v>Tracking</v>
      </c>
      <c r="I363">
        <f t="shared" si="82"/>
        <v>0</v>
      </c>
      <c r="J363">
        <f t="shared" si="83"/>
        <v>39</v>
      </c>
      <c r="K363" s="4">
        <f t="shared" si="72"/>
        <v>3.5000000000000001E-3</v>
      </c>
      <c r="L363">
        <f t="shared" si="73"/>
        <v>0.02</v>
      </c>
      <c r="M363" s="4">
        <f t="shared" si="84"/>
        <v>0.13650000000000001</v>
      </c>
      <c r="N363" s="4">
        <f t="shared" si="85"/>
        <v>0.78</v>
      </c>
    </row>
    <row r="364" spans="1:14">
      <c r="A364" t="str">
        <f t="shared" si="74"/>
        <v>MK|BR_CN|CIDADESDOFUTURO_MN|NONE_YQ|19Q4_CP|5020004441_SP|N/A_AC|CMKT_OB|AWA</v>
      </c>
      <c r="B364" t="str">
        <f t="shared" si="75"/>
        <v>Facebook</v>
      </c>
      <c r="C364" t="str">
        <f t="shared" si="76"/>
        <v>MK|BR_CH|PSD_DT|CROSS_PB|FCBK_FM|GIF_RT|CPM_PD|CidadesdoFuturo_TG|NON_ST|NON_TS|NONE_SZ|1X1_AD|CM1_IT|SOC_U1|PETROLINA_U2|AzulEscuro</v>
      </c>
      <c r="D364" t="str">
        <f t="shared" si="77"/>
        <v>256665276</v>
      </c>
      <c r="E364" t="str">
        <f t="shared" si="78"/>
        <v>Dynamic Click</v>
      </c>
      <c r="F364" t="str">
        <f t="shared" si="79"/>
        <v>MK|BR_CH|PSD_DT|CROSS_PB|FCBK_FM|GIF_RT|CPM_PD|CidadesdoFuturo_TG|NON_ST|NON_TS|NONE_SZ|1X1_AD|CM1_IT|SOC_U1|PETROLINA_U2|AzulEscuro</v>
      </c>
      <c r="G364" t="str">
        <f t="shared" si="80"/>
        <v>452475289</v>
      </c>
      <c r="H364" t="str">
        <f t="shared" si="81"/>
        <v>Tracking</v>
      </c>
      <c r="I364">
        <f t="shared" si="82"/>
        <v>0</v>
      </c>
      <c r="J364">
        <f t="shared" si="83"/>
        <v>2</v>
      </c>
      <c r="K364" s="4">
        <f t="shared" ref="K364:K427" si="86">IF(LEFT(B364,3)="DBM",0,VLOOKUP(E364,tabela,2,FALSE))</f>
        <v>3.5000000000000001E-3</v>
      </c>
      <c r="L364">
        <f t="shared" ref="L364:L427" si="87">VLOOKUP(E364,tabela,3,FALSE)</f>
        <v>0.02</v>
      </c>
      <c r="M364" s="4">
        <f t="shared" si="84"/>
        <v>7.0000000000000001E-3</v>
      </c>
      <c r="N364" s="4">
        <f t="shared" si="85"/>
        <v>0.04</v>
      </c>
    </row>
    <row r="365" spans="1:14">
      <c r="A365" t="str">
        <f t="shared" si="74"/>
        <v>MK|BR_CN|CIDADESDOFUTURO_MN|NONE_YQ|19Q4_CP|5020004441_SP|N/A_AC|CMKT_OB|AWA</v>
      </c>
      <c r="B365" t="str">
        <f t="shared" si="75"/>
        <v>Facebook</v>
      </c>
      <c r="C365" t="str">
        <f t="shared" si="76"/>
        <v>MK|BR_CH|PSD_DT|CROSS_PB|FCBK_FM|GIF_RT|CPM_PD|CidadesdoFuturo_TG|NON_ST|NON_TS|NONE_SZ|1X1_AD|CM1_IT|SOC_U1|PETROPOLIS_U2|AzulEscuro</v>
      </c>
      <c r="D365" t="str">
        <f t="shared" si="77"/>
        <v>255471220</v>
      </c>
      <c r="E365" t="str">
        <f t="shared" si="78"/>
        <v>Dynamic Click</v>
      </c>
      <c r="F365" t="str">
        <f t="shared" si="79"/>
        <v>MK|BR_CH|PSD_DT|CROSS_PB|FCBK_FM|GIF_RT|CPM_PD|CidadesdoFuturo_TG|NON_ST|NON_TS|NONE_SZ|1X1_AD|CM1_IT|SOC_U1|PETROPOLIS_U2|AzulEscuro</v>
      </c>
      <c r="G365" t="str">
        <f t="shared" si="80"/>
        <v>451397211</v>
      </c>
      <c r="H365" t="str">
        <f t="shared" si="81"/>
        <v>Tracking</v>
      </c>
      <c r="I365">
        <f t="shared" si="82"/>
        <v>0</v>
      </c>
      <c r="J365">
        <f t="shared" si="83"/>
        <v>42</v>
      </c>
      <c r="K365" s="4">
        <f t="shared" si="86"/>
        <v>3.5000000000000001E-3</v>
      </c>
      <c r="L365">
        <f t="shared" si="87"/>
        <v>0.02</v>
      </c>
      <c r="M365" s="4">
        <f t="shared" si="84"/>
        <v>0.14699999999999999</v>
      </c>
      <c r="N365" s="4">
        <f t="shared" si="85"/>
        <v>0.84</v>
      </c>
    </row>
    <row r="366" spans="1:14">
      <c r="A366" t="str">
        <f t="shared" si="74"/>
        <v>MK|BR_CN|CIDADESDOFUTURO_MN|NONE_YQ|19Q4_CP|5020004441_SP|N/A_AC|CMKT_OB|AWA</v>
      </c>
      <c r="B366" t="str">
        <f t="shared" si="75"/>
        <v>Facebook</v>
      </c>
      <c r="C366" t="str">
        <f t="shared" si="76"/>
        <v>MK|BR_CH|PSD_DT|CROSS_PB|FCBK_FM|GIF_RT|CPM_PD|CidadesdoFuturo_TG|NON_ST|NON_TS|NONE_SZ|1X1_AD|CM1_IT|SOC_U1|PETROPOLIS_U2|AzulEscuro</v>
      </c>
      <c r="D366" t="str">
        <f t="shared" si="77"/>
        <v>255476323</v>
      </c>
      <c r="E366" t="str">
        <f t="shared" si="78"/>
        <v>Dynamic Click</v>
      </c>
      <c r="F366" t="str">
        <f t="shared" si="79"/>
        <v>MK|BR_CH|PSD_DT|CROSS_PB|FCBK_FM|GIF_RT|CPM_PD|CidadesdoFuturo_TG|NON_ST|NON_TS|NONE_SZ|1X1_AD|CM1_IT|SOC_U1|PETROPOLIS_U2|AzulEscuro</v>
      </c>
      <c r="G366" t="str">
        <f t="shared" si="80"/>
        <v>451397205</v>
      </c>
      <c r="H366" t="str">
        <f t="shared" si="81"/>
        <v>Tracking</v>
      </c>
      <c r="I366">
        <f t="shared" si="82"/>
        <v>0</v>
      </c>
      <c r="J366">
        <f t="shared" si="83"/>
        <v>76</v>
      </c>
      <c r="K366" s="4">
        <f t="shared" si="86"/>
        <v>3.5000000000000001E-3</v>
      </c>
      <c r="L366">
        <f t="shared" si="87"/>
        <v>0.02</v>
      </c>
      <c r="M366" s="4">
        <f t="shared" si="84"/>
        <v>0.26600000000000001</v>
      </c>
      <c r="N366" s="4">
        <f t="shared" si="85"/>
        <v>1.52</v>
      </c>
    </row>
    <row r="367" spans="1:14">
      <c r="A367" t="str">
        <f t="shared" si="74"/>
        <v>MK|BR_CN|CIDADESDOFUTURO_MN|NONE_YQ|19Q4_CP|5020004441_SP|N/A_AC|CMKT_OB|AWA</v>
      </c>
      <c r="B367" t="str">
        <f t="shared" si="75"/>
        <v>Facebook</v>
      </c>
      <c r="C367" t="str">
        <f t="shared" si="76"/>
        <v>MK|BR_CH|PSD_DT|CROSS_PB|FCBK_FM|GIF_RT|CPM_PD|CidadesdoFuturo_TG|NON_ST|NON_TS|NONE_SZ|1X1_AD|CM1_IT|SOC_U1|POCOSDECALDAS_U2|AzulEscuro</v>
      </c>
      <c r="D367" t="str">
        <f t="shared" si="77"/>
        <v>256665294</v>
      </c>
      <c r="E367" t="str">
        <f t="shared" si="78"/>
        <v>Dynamic Click</v>
      </c>
      <c r="F367" t="str">
        <f t="shared" si="79"/>
        <v>MK|BR_CH|PSD_DT|CROSS_PB|FCBK_FM|GIF_RT|CPM_PD|CidadesdoFuturo_TG|NON_ST|NON_TS|NONE_SZ|1X1_AD|CM1_IT|SOC_U1|POCOSDECALDAS_U2|AzulEscuro</v>
      </c>
      <c r="G367" t="str">
        <f t="shared" si="80"/>
        <v>452475277</v>
      </c>
      <c r="H367" t="str">
        <f t="shared" si="81"/>
        <v>Tracking</v>
      </c>
      <c r="I367">
        <f t="shared" si="82"/>
        <v>0</v>
      </c>
      <c r="J367">
        <f t="shared" si="83"/>
        <v>1</v>
      </c>
      <c r="K367" s="4">
        <f t="shared" si="86"/>
        <v>3.5000000000000001E-3</v>
      </c>
      <c r="L367">
        <f t="shared" si="87"/>
        <v>0.02</v>
      </c>
      <c r="M367" s="4">
        <f t="shared" si="84"/>
        <v>3.5000000000000001E-3</v>
      </c>
      <c r="N367" s="4">
        <f t="shared" si="85"/>
        <v>0.02</v>
      </c>
    </row>
    <row r="368" spans="1:14">
      <c r="A368" t="str">
        <f t="shared" si="74"/>
        <v>MK|BR_CN|CIDADESDOFUTURO_MN|NONE_YQ|19Q4_CP|5020004441_SP|N/A_AC|CMKT_OB|AWA</v>
      </c>
      <c r="B368" t="str">
        <f t="shared" si="75"/>
        <v>Facebook</v>
      </c>
      <c r="C368" t="str">
        <f t="shared" si="76"/>
        <v>MK|BR_CH|PSD_DT|CROSS_PB|FCBK_FM|GIF_RT|CPM_PD|CidadesdoFuturo_TG|NON_ST|NON_TS|NONE_SZ|1X1_AD|CM1_IT|SOC_U1|POÇOSDECALDAS_U2|AzulEscuro</v>
      </c>
      <c r="D368" t="str">
        <f t="shared" si="77"/>
        <v>255471208</v>
      </c>
      <c r="E368" t="str">
        <f t="shared" si="78"/>
        <v>Dynamic Click</v>
      </c>
      <c r="F368" t="str">
        <f t="shared" si="79"/>
        <v>MK|BR_CH|PSD_DT|CROSS_PB|FCBK_FM|GIF_RT|CPM_PD|CidadesdoFuturo_TG|NON_ST|NON_TS|NONE_SZ|1X1_AD|CM1_IT|SOC_U1|POCOSDECALDAS_U2|AzulEscuro</v>
      </c>
      <c r="G368" t="str">
        <f t="shared" si="80"/>
        <v>451397238</v>
      </c>
      <c r="H368" t="str">
        <f t="shared" si="81"/>
        <v>Tracking</v>
      </c>
      <c r="I368">
        <f t="shared" si="82"/>
        <v>0</v>
      </c>
      <c r="J368">
        <f t="shared" si="83"/>
        <v>28</v>
      </c>
      <c r="K368" s="4">
        <f t="shared" si="86"/>
        <v>3.5000000000000001E-3</v>
      </c>
      <c r="L368">
        <f t="shared" si="87"/>
        <v>0.02</v>
      </c>
      <c r="M368" s="4">
        <f t="shared" si="84"/>
        <v>9.8000000000000004E-2</v>
      </c>
      <c r="N368" s="4">
        <f t="shared" si="85"/>
        <v>0.56000000000000005</v>
      </c>
    </row>
    <row r="369" spans="1:14">
      <c r="A369" t="str">
        <f t="shared" si="74"/>
        <v>MK|BR_CN|CIDADESDOFUTURO_MN|NONE_YQ|19Q4_CP|5020004441_SP|N/A_AC|CMKT_OB|AWA</v>
      </c>
      <c r="B369" t="str">
        <f t="shared" si="75"/>
        <v>Facebook</v>
      </c>
      <c r="C369" t="str">
        <f t="shared" si="76"/>
        <v>MK|BR_CH|PSD_DT|CROSS_PB|FCBK_FM|GIF_RT|CPM_PD|CidadesdoFuturo_TG|NON_ST|NON_TS|NONE_SZ|1X1_AD|CM1_IT|SOC_U1|POÇOSDECALDAS_U2|AzulEscuro</v>
      </c>
      <c r="D369" t="str">
        <f t="shared" si="77"/>
        <v>255471211</v>
      </c>
      <c r="E369" t="str">
        <f t="shared" si="78"/>
        <v>Dynamic Click</v>
      </c>
      <c r="F369" t="str">
        <f t="shared" si="79"/>
        <v>MK|BR_CH|PSD_DT|CROSS_PB|FCBK_FM|GIF_RT|CPM_PD|CidadesdoFuturo_TG|NON_ST|NON_TS|NONE_SZ|1X1_AD|CM1_IT|SOC_U1|POÇOSDECALDAS_U2|AzulEscuro</v>
      </c>
      <c r="G369" t="str">
        <f t="shared" si="80"/>
        <v>451397232</v>
      </c>
      <c r="H369" t="str">
        <f t="shared" si="81"/>
        <v>Tracking</v>
      </c>
      <c r="I369">
        <f t="shared" si="82"/>
        <v>0</v>
      </c>
      <c r="J369">
        <f t="shared" si="83"/>
        <v>54</v>
      </c>
      <c r="K369" s="4">
        <f t="shared" si="86"/>
        <v>3.5000000000000001E-3</v>
      </c>
      <c r="L369">
        <f t="shared" si="87"/>
        <v>0.02</v>
      </c>
      <c r="M369" s="4">
        <f t="shared" si="84"/>
        <v>0.189</v>
      </c>
      <c r="N369" s="4">
        <f t="shared" si="85"/>
        <v>1.08</v>
      </c>
    </row>
    <row r="370" spans="1:14">
      <c r="A370" t="str">
        <f t="shared" si="74"/>
        <v>MK|BR_CN|CIDADESDOFUTURO_MN|NONE_YQ|19Q4_CP|5020004441_SP|N/A_AC|CMKT_OB|AWA</v>
      </c>
      <c r="B370" t="str">
        <f t="shared" si="75"/>
        <v>Facebook</v>
      </c>
      <c r="C370" t="str">
        <f t="shared" si="76"/>
        <v>MK|BR_CH|PSD_DT|CROSS_PB|FCBK_FM|GIF_RT|CPM_PD|CidadesdoFuturo_TG|NON_ST|NON_TS|NONE_SZ|1X1_AD|CM1_IT|SOC_U1|RIOCLARO_U2|AzulEscuro</v>
      </c>
      <c r="D370" t="str">
        <f t="shared" si="77"/>
        <v>255471193</v>
      </c>
      <c r="E370" t="str">
        <f t="shared" si="78"/>
        <v>Dynamic Click</v>
      </c>
      <c r="F370" t="str">
        <f t="shared" si="79"/>
        <v>MK|BR_CH|PSD_DT|CROSS_PB|FCBK_FM|LNK_RT|CPM_PD|CidadesdoFuturo_TG|NON_ST|NON_TS|NONE_SZ|1X1_AD|CM1_IT|SOC_U1|RIOCLARO_U2|AzulEscuro</v>
      </c>
      <c r="G370" t="str">
        <f t="shared" si="80"/>
        <v>451397268</v>
      </c>
      <c r="H370" t="str">
        <f t="shared" si="81"/>
        <v>Tracking</v>
      </c>
      <c r="I370">
        <f t="shared" si="82"/>
        <v>0</v>
      </c>
      <c r="J370">
        <f t="shared" si="83"/>
        <v>174</v>
      </c>
      <c r="K370" s="4">
        <f t="shared" si="86"/>
        <v>3.5000000000000001E-3</v>
      </c>
      <c r="L370">
        <f t="shared" si="87"/>
        <v>0.02</v>
      </c>
      <c r="M370" s="4">
        <f t="shared" si="84"/>
        <v>0.60899999999999999</v>
      </c>
      <c r="N370" s="4">
        <f t="shared" si="85"/>
        <v>3.48</v>
      </c>
    </row>
    <row r="371" spans="1:14">
      <c r="A371" t="str">
        <f t="shared" si="74"/>
        <v>MK|BR_CN|CIDADESDOFUTURO_MN|NONE_YQ|19Q4_CP|5020004441_SP|N/A_AC|CMKT_OB|AWA</v>
      </c>
      <c r="B371" t="str">
        <f t="shared" si="75"/>
        <v>Facebook</v>
      </c>
      <c r="C371" t="str">
        <f t="shared" si="76"/>
        <v>MK|BR_CH|PSD_DT|CROSS_PB|FCBK_FM|GIF_RT|CPM_PD|CidadesdoFuturo_TG|NON_ST|NON_TS|NONE_SZ|1X1_AD|CM1_IT|SOC_U1|RIOCLARO_U2|AzulEscuro</v>
      </c>
      <c r="D371" t="str">
        <f t="shared" si="77"/>
        <v>255471196</v>
      </c>
      <c r="E371" t="str">
        <f t="shared" si="78"/>
        <v>Dynamic Click</v>
      </c>
      <c r="F371" t="str">
        <f t="shared" si="79"/>
        <v>MK|BR_CH|PSD_DT|CROSS_PB|FCBK_FM|GIF_RT|CPM_PD|CidadesdoFuturo_TG|NON_ST|NON_TS|NONE_SZ|1X1_AD|CM1_IT|SOC_U1|RIOCLARO_U2|AzulEscuro</v>
      </c>
      <c r="G371" t="str">
        <f t="shared" si="80"/>
        <v>451397262</v>
      </c>
      <c r="H371" t="str">
        <f t="shared" si="81"/>
        <v>Tracking</v>
      </c>
      <c r="I371">
        <f t="shared" si="82"/>
        <v>0</v>
      </c>
      <c r="J371">
        <f t="shared" si="83"/>
        <v>242</v>
      </c>
      <c r="K371" s="4">
        <f t="shared" si="86"/>
        <v>3.5000000000000001E-3</v>
      </c>
      <c r="L371">
        <f t="shared" si="87"/>
        <v>0.02</v>
      </c>
      <c r="M371" s="4">
        <f t="shared" si="84"/>
        <v>0.84699999999999998</v>
      </c>
      <c r="N371" s="4">
        <f t="shared" si="85"/>
        <v>4.84</v>
      </c>
    </row>
    <row r="372" spans="1:14">
      <c r="A372" t="str">
        <f t="shared" si="74"/>
        <v>MK|BR_CN|CIDADESDOFUTURO_MN|NONE_YQ|19Q4_CP|5020004441_SP|N/A_AC|CMKT_OB|AWA</v>
      </c>
      <c r="B372" t="str">
        <f t="shared" si="75"/>
        <v>Facebook</v>
      </c>
      <c r="C372" t="str">
        <f t="shared" si="76"/>
        <v>MK|BR_CH|PSD_DT|CROSS_PB|FCBK_FM|GIF_RT|CPM_PD|CidadesdoFuturo_TG|NON_ST|NON_TS|NONE_SZ|1X1_AD|CM1_IT|SOC_U1|RIOCLARO_U2|AzulEscuro</v>
      </c>
      <c r="D372" t="str">
        <f t="shared" si="77"/>
        <v>255471199</v>
      </c>
      <c r="E372" t="str">
        <f t="shared" si="78"/>
        <v>Dynamic Click</v>
      </c>
      <c r="F372" t="str">
        <f t="shared" si="79"/>
        <v>MK|BR_CH|PSD_DT|CROSS_PB|FCBK_FM|GIF_RT|CPM_PD|CidadesdoFuturo_TG|NON_ST|NON_TS|NONE_SZ|1X1_AD|CM1_IT|SOC_U1|RIOCLARO_U2|AzulEscuro</v>
      </c>
      <c r="G372" t="str">
        <f t="shared" si="80"/>
        <v>451397256</v>
      </c>
      <c r="H372" t="str">
        <f t="shared" si="81"/>
        <v>Tracking</v>
      </c>
      <c r="I372">
        <f t="shared" si="82"/>
        <v>0</v>
      </c>
      <c r="J372">
        <f t="shared" si="83"/>
        <v>521</v>
      </c>
      <c r="K372" s="4">
        <f t="shared" si="86"/>
        <v>3.5000000000000001E-3</v>
      </c>
      <c r="L372">
        <f t="shared" si="87"/>
        <v>0.02</v>
      </c>
      <c r="M372" s="4">
        <f t="shared" si="84"/>
        <v>1.8235000000000001</v>
      </c>
      <c r="N372" s="4">
        <f t="shared" si="85"/>
        <v>10.42</v>
      </c>
    </row>
    <row r="373" spans="1:14">
      <c r="A373" t="str">
        <f t="shared" si="74"/>
        <v>MK|BR_CN|CIDADESDOFUTURO_MN|NONE_YQ|19Q4_CP|5020004441_SP|N/A_AC|CMKT_OB|AWA</v>
      </c>
      <c r="B373" t="str">
        <f t="shared" si="75"/>
        <v>Facebook</v>
      </c>
      <c r="C373" t="str">
        <f t="shared" si="76"/>
        <v>MK|BR_CH|PSD_DT|CROSS_PB|FCBK_FM|GIF_RT|CPM_PD|CidadesdoFuturo_TG|NON_ST|NON_TS|NONE_SZ|1X1_AD|CM1_IT|SOC_U1|RIOVERDE_U2|AzulEscuro</v>
      </c>
      <c r="D373" t="str">
        <f t="shared" si="77"/>
        <v>255471184</v>
      </c>
      <c r="E373" t="str">
        <f t="shared" si="78"/>
        <v>Dynamic Click</v>
      </c>
      <c r="F373" t="str">
        <f t="shared" si="79"/>
        <v>MK|BR_CH|PSD_DT|CROSS_PB|FCBK_FM|GIF_RT|CPM_PD|CidadesdoFuturo_TG|NON_ST|NON_TS|NONE_SZ|1X1_AD|CM1_IT|SOC_U1|RIOVERDE_U2|AzulEscuro</v>
      </c>
      <c r="G373" t="str">
        <f t="shared" si="80"/>
        <v>451397289</v>
      </c>
      <c r="H373" t="str">
        <f t="shared" si="81"/>
        <v>Tracking</v>
      </c>
      <c r="I373">
        <f t="shared" si="82"/>
        <v>0</v>
      </c>
      <c r="J373">
        <f t="shared" si="83"/>
        <v>28</v>
      </c>
      <c r="K373" s="4">
        <f t="shared" si="86"/>
        <v>3.5000000000000001E-3</v>
      </c>
      <c r="L373">
        <f t="shared" si="87"/>
        <v>0.02</v>
      </c>
      <c r="M373" s="4">
        <f t="shared" si="84"/>
        <v>9.8000000000000004E-2</v>
      </c>
      <c r="N373" s="4">
        <f t="shared" si="85"/>
        <v>0.56000000000000005</v>
      </c>
    </row>
    <row r="374" spans="1:14">
      <c r="A374" t="str">
        <f t="shared" si="74"/>
        <v>MK|BR_CN|CIDADESDOFUTURO_MN|NONE_YQ|19Q4_CP|5020004441_SP|N/A_AC|CMKT_OB|AWA</v>
      </c>
      <c r="B374" t="str">
        <f t="shared" si="75"/>
        <v>Facebook</v>
      </c>
      <c r="C374" t="str">
        <f t="shared" si="76"/>
        <v>MK|BR_CH|PSD_DT|CROSS_PB|FCBK_FM|GIF_RT|CPM_PD|CidadesdoFuturo_TG|NON_ST|NON_TS|NONE_SZ|1X1_AD|CM1_IT|SOC_U1|RIOVERDE_U2|AzulEscuro</v>
      </c>
      <c r="D374" t="str">
        <f t="shared" si="77"/>
        <v>255471187</v>
      </c>
      <c r="E374" t="str">
        <f t="shared" si="78"/>
        <v>Dynamic Click</v>
      </c>
      <c r="F374" t="str">
        <f t="shared" si="79"/>
        <v>MK|BR_CH|PSD_DT|CROSS_PB|FCBK_FM|GIF_RT|CPM_PD|CidadesdoFuturo_TG|NON_ST|NON_TS|NONE_SZ|1X1_AD|CM1_IT|SOC_U1|RIOVERDE_U2|AzulEscuro</v>
      </c>
      <c r="G374" t="str">
        <f t="shared" si="80"/>
        <v>451397283</v>
      </c>
      <c r="H374" t="str">
        <f t="shared" si="81"/>
        <v>Tracking</v>
      </c>
      <c r="I374">
        <f t="shared" si="82"/>
        <v>0</v>
      </c>
      <c r="J374">
        <f t="shared" si="83"/>
        <v>55</v>
      </c>
      <c r="K374" s="4">
        <f t="shared" si="86"/>
        <v>3.5000000000000001E-3</v>
      </c>
      <c r="L374">
        <f t="shared" si="87"/>
        <v>0.02</v>
      </c>
      <c r="M374" s="4">
        <f t="shared" si="84"/>
        <v>0.1925</v>
      </c>
      <c r="N374" s="4">
        <f t="shared" si="85"/>
        <v>1.1000000000000001</v>
      </c>
    </row>
    <row r="375" spans="1:14">
      <c r="A375" t="str">
        <f t="shared" si="74"/>
        <v>MK|BR_CN|CIDADESDOFUTURO_MN|NONE_YQ|19Q4_CP|5020004441_SP|N/A_AC|CMKT_OB|AWA</v>
      </c>
      <c r="B375" t="str">
        <f t="shared" si="75"/>
        <v>Facebook</v>
      </c>
      <c r="C375" t="str">
        <f t="shared" si="76"/>
        <v>MK|BR_CH|PSD_DT|CROSS_PB|FCBK_FM|GIF_RT|CPM_PD|CidadesdoFuturo_TG|NON_ST|NON_TS|NONE_SZ|1X1_AD|CM1_IT|SOC_U1|RIOVERDE_U2|AzulEscuro</v>
      </c>
      <c r="D375" t="str">
        <f t="shared" si="77"/>
        <v>256665312</v>
      </c>
      <c r="E375" t="str">
        <f t="shared" si="78"/>
        <v>Dynamic Click</v>
      </c>
      <c r="F375" t="str">
        <f t="shared" si="79"/>
        <v>MK|BR_CH|PSD_DT|CROSS_PB|FCBK_FM|GIF_RT|CPM_PD|CidadesdoFuturo_TG|NON_ST|NON_TS|NONE_SZ|1X1_AD|CM1_IT|SOC_U1|RIOVERDE_U2|AzulEscuro</v>
      </c>
      <c r="G375" t="str">
        <f t="shared" si="80"/>
        <v>452475265</v>
      </c>
      <c r="H375" t="str">
        <f t="shared" si="81"/>
        <v>Tracking</v>
      </c>
      <c r="I375">
        <f t="shared" si="82"/>
        <v>0</v>
      </c>
      <c r="J375">
        <f t="shared" si="83"/>
        <v>2</v>
      </c>
      <c r="K375" s="4">
        <f t="shared" si="86"/>
        <v>3.5000000000000001E-3</v>
      </c>
      <c r="L375">
        <f t="shared" si="87"/>
        <v>0.02</v>
      </c>
      <c r="M375" s="4">
        <f t="shared" si="84"/>
        <v>7.0000000000000001E-3</v>
      </c>
      <c r="N375" s="4">
        <f t="shared" si="85"/>
        <v>0.04</v>
      </c>
    </row>
    <row r="376" spans="1:14">
      <c r="A376" t="str">
        <f t="shared" si="74"/>
        <v>MK|BR_CN|CIDADESDOFUTURO_MN|NONE_YQ|19Q4_CP|5020004441_SP|N/A_AC|CMKT_OB|AWA</v>
      </c>
      <c r="B376" t="str">
        <f t="shared" si="75"/>
        <v>Facebook</v>
      </c>
      <c r="C376" t="str">
        <f t="shared" si="76"/>
        <v>MK|BR_CH|PSD_DT|CROSS_PB|FCBK_FM|GIF_RT|CPM_PD|CidadesdoFuturo_TG|NON_ST|NON_TS|NONE_SZ|1X1_AD|CM1_IT|SOC_U1|SANTACRUZDOSUL_U2|AzulEscuro</v>
      </c>
      <c r="D376" t="str">
        <f t="shared" si="77"/>
        <v>255471172</v>
      </c>
      <c r="E376" t="str">
        <f t="shared" si="78"/>
        <v>Dynamic Click</v>
      </c>
      <c r="F376" t="str">
        <f t="shared" si="79"/>
        <v>MK|BR_CH|PSD_DT|CROSS_PB|FCBK_FM|GIF_RT|CPM_PD|CidadesdoFuturo_TG|NON_ST|NON_TS|NONE_SZ|1X1_AD|CM1_IT|SOC_U1|SANTACRUZDOSUL_U2|AzulEscuro</v>
      </c>
      <c r="G376" t="str">
        <f t="shared" si="80"/>
        <v>451397313</v>
      </c>
      <c r="H376" t="str">
        <f t="shared" si="81"/>
        <v>Tracking</v>
      </c>
      <c r="I376">
        <f t="shared" si="82"/>
        <v>0</v>
      </c>
      <c r="J376">
        <f t="shared" si="83"/>
        <v>22</v>
      </c>
      <c r="K376" s="4">
        <f t="shared" si="86"/>
        <v>3.5000000000000001E-3</v>
      </c>
      <c r="L376">
        <f t="shared" si="87"/>
        <v>0.02</v>
      </c>
      <c r="M376" s="4">
        <f t="shared" si="84"/>
        <v>7.6999999999999999E-2</v>
      </c>
      <c r="N376" s="4">
        <f t="shared" si="85"/>
        <v>0.44</v>
      </c>
    </row>
    <row r="377" spans="1:14">
      <c r="A377" t="str">
        <f t="shared" si="74"/>
        <v>MK|BR_CN|CIDADESDOFUTURO_MN|NONE_YQ|19Q4_CP|5020004441_SP|N/A_AC|CMKT_OB|AWA</v>
      </c>
      <c r="B377" t="str">
        <f t="shared" si="75"/>
        <v>Facebook</v>
      </c>
      <c r="C377" t="str">
        <f t="shared" si="76"/>
        <v>MK|BR_CH|PSD_DT|CROSS_PB|FCBK_FM|GIF_RT|CPM_PD|CidadesdoFuturo_TG|NON_ST|NON_TS|NONE_SZ|1X1_AD|CM1_IT|SOC_U1|SANTACRUZDOSUL_U2|AzulEscuro</v>
      </c>
      <c r="D377" t="str">
        <f t="shared" si="77"/>
        <v>255471175</v>
      </c>
      <c r="E377" t="str">
        <f t="shared" si="78"/>
        <v>Dynamic Click</v>
      </c>
      <c r="F377" t="str">
        <f t="shared" si="79"/>
        <v>MK|BR_CH|PSD_DT|CROSS_PB|FCBK_FM|GIF_RT|CPM_PD|CidadesdoFuturo_TG|NON_ST|NON_TS|NONE_SZ|1X1_AD|CM1_IT|SOC_U1|SANTACRUZDOSUL_U2|AzulEscuro</v>
      </c>
      <c r="G377" t="str">
        <f t="shared" si="80"/>
        <v>451397307</v>
      </c>
      <c r="H377" t="str">
        <f t="shared" si="81"/>
        <v>Tracking</v>
      </c>
      <c r="I377">
        <f t="shared" si="82"/>
        <v>0</v>
      </c>
      <c r="J377">
        <f t="shared" si="83"/>
        <v>45</v>
      </c>
      <c r="K377" s="4">
        <f t="shared" si="86"/>
        <v>3.5000000000000001E-3</v>
      </c>
      <c r="L377">
        <f t="shared" si="87"/>
        <v>0.02</v>
      </c>
      <c r="M377" s="4">
        <f t="shared" si="84"/>
        <v>0.1575</v>
      </c>
      <c r="N377" s="4">
        <f t="shared" si="85"/>
        <v>0.9</v>
      </c>
    </row>
    <row r="378" spans="1:14">
      <c r="A378" t="str">
        <f t="shared" si="74"/>
        <v>MK|BR_CN|CIDADESDOFUTURO_MN|NONE_YQ|19Q4_CP|5020004441_SP|N/A_AC|CMKT_OB|AWA</v>
      </c>
      <c r="B378" t="str">
        <f t="shared" si="75"/>
        <v>Facebook</v>
      </c>
      <c r="C378" t="str">
        <f t="shared" si="76"/>
        <v>MK|BR_CH|PSD_DT|CROSS_PB|FCBK_FM|GIF_RT|CPM_PD|CidadesdoFuturo_TG|NON_ST|NON_TS|NONE_SZ|1X1_AD|CM1_IT|SOC_U1|SANTACRUZDOSUL_U2|AzulEscuro</v>
      </c>
      <c r="D378" t="str">
        <f t="shared" si="77"/>
        <v>256665321</v>
      </c>
      <c r="E378" t="str">
        <f t="shared" si="78"/>
        <v>Dynamic Click</v>
      </c>
      <c r="F378" t="str">
        <f t="shared" si="79"/>
        <v>MK|BR_CH|PSD_DT|CROSS_PB|FCBK_FM|GIF_RT|CPM_PD|CidadesdoFuturo_TG|NON_ST|NON_TS|NONE_SZ|1X1_AD|CM1_IT|SOC_U1|SANTACRUZDOSUL_U2|AzulEscuro</v>
      </c>
      <c r="G378" t="str">
        <f t="shared" si="80"/>
        <v>452475259</v>
      </c>
      <c r="H378" t="str">
        <f t="shared" si="81"/>
        <v>Tracking</v>
      </c>
      <c r="I378">
        <f t="shared" si="82"/>
        <v>0</v>
      </c>
      <c r="J378">
        <f t="shared" si="83"/>
        <v>1</v>
      </c>
      <c r="K378" s="4">
        <f t="shared" si="86"/>
        <v>3.5000000000000001E-3</v>
      </c>
      <c r="L378">
        <f t="shared" si="87"/>
        <v>0.02</v>
      </c>
      <c r="M378" s="4">
        <f t="shared" si="84"/>
        <v>3.5000000000000001E-3</v>
      </c>
      <c r="N378" s="4">
        <f t="shared" si="85"/>
        <v>0.02</v>
      </c>
    </row>
    <row r="379" spans="1:14">
      <c r="A379" t="str">
        <f t="shared" si="74"/>
        <v>MK|BR_CN|CIDADESDOFUTURO_MN|NONE_YQ|19Q4_CP|5020004441_SP|N/A_AC|CMKT_OB|AWA</v>
      </c>
      <c r="B379" t="str">
        <f t="shared" si="75"/>
        <v>Facebook</v>
      </c>
      <c r="C379" t="str">
        <f t="shared" si="76"/>
        <v>MK|BR_CH|PSD_DT|CROSS_PB|FCBK_FM|GIF_RT|CPM_PD|CidadesdoFuturo_TG|NON_ST|NON_TS|NONE_SZ|1X1_AD|CM1_IT|SOC_U1|SAOLUIS_U2|AzulEscuro</v>
      </c>
      <c r="D379" t="str">
        <f t="shared" si="77"/>
        <v>255471016</v>
      </c>
      <c r="E379" t="str">
        <f t="shared" si="78"/>
        <v>Dynamic Click</v>
      </c>
      <c r="F379" t="str">
        <f t="shared" si="79"/>
        <v>MK|BR_CH|PSD_DT|CROSS_PB|FCBK_FM|GIF_RT|CPM_PD|CidadesdoFuturo_TG|NON_ST|NON_TS|NONE_SZ|1X1_AD|CM1_IT|SOC_U1|SAOLUIS_U2|AzulEscuro</v>
      </c>
      <c r="G379" t="str">
        <f t="shared" si="80"/>
        <v>451397595</v>
      </c>
      <c r="H379" t="str">
        <f t="shared" si="81"/>
        <v>Tracking</v>
      </c>
      <c r="I379">
        <f t="shared" si="82"/>
        <v>0</v>
      </c>
      <c r="J379">
        <f t="shared" si="83"/>
        <v>132</v>
      </c>
      <c r="K379" s="4">
        <f t="shared" si="86"/>
        <v>3.5000000000000001E-3</v>
      </c>
      <c r="L379">
        <f t="shared" si="87"/>
        <v>0.02</v>
      </c>
      <c r="M379" s="4">
        <f t="shared" si="84"/>
        <v>0.46200000000000002</v>
      </c>
      <c r="N379" s="4">
        <f t="shared" si="85"/>
        <v>2.64</v>
      </c>
    </row>
    <row r="380" spans="1:14">
      <c r="A380" t="str">
        <f t="shared" si="74"/>
        <v>MK|BR_CN|CIDADESDOFUTURO_MN|NONE_YQ|19Q4_CP|5020004441_SP|N/A_AC|CMKT_OB|AWA</v>
      </c>
      <c r="B380" t="str">
        <f t="shared" si="75"/>
        <v>Facebook</v>
      </c>
      <c r="C380" t="str">
        <f t="shared" si="76"/>
        <v>MK|BR_CH|PSD_DT|CROSS_PB|FCBK_FM|GIF_RT|CPM_PD|CidadesdoFuturo_TG|NON_ST|NON_TS|NONE_SZ|1X1_AD|CM1_IT|SOC_U1|SAOMATEUS_U2|AzulEscuro</v>
      </c>
      <c r="D380" t="str">
        <f t="shared" si="77"/>
        <v>255471160</v>
      </c>
      <c r="E380" t="str">
        <f t="shared" si="78"/>
        <v>Dynamic Click</v>
      </c>
      <c r="F380" t="str">
        <f t="shared" si="79"/>
        <v>MK|BR_CH|PSD_DT|CROSS_PB|FCBK_FM|GIF_RT|CPM_PD|CidadesdoFuturo_TG|NON_ST|NON_TS|NONE_SZ|1X1_AD|CM1_IT|SOC_U1|SAOMATEUS_U2|AzulEscuro</v>
      </c>
      <c r="G380" t="str">
        <f t="shared" si="80"/>
        <v>451397340</v>
      </c>
      <c r="H380" t="str">
        <f t="shared" si="81"/>
        <v>Tracking</v>
      </c>
      <c r="I380">
        <f t="shared" si="82"/>
        <v>0</v>
      </c>
      <c r="J380">
        <f t="shared" si="83"/>
        <v>32</v>
      </c>
      <c r="K380" s="4">
        <f t="shared" si="86"/>
        <v>3.5000000000000001E-3</v>
      </c>
      <c r="L380">
        <f t="shared" si="87"/>
        <v>0.02</v>
      </c>
      <c r="M380" s="4">
        <f t="shared" si="84"/>
        <v>0.112</v>
      </c>
      <c r="N380" s="4">
        <f t="shared" si="85"/>
        <v>0.64</v>
      </c>
    </row>
    <row r="381" spans="1:14">
      <c r="A381" t="str">
        <f t="shared" si="74"/>
        <v>MK|BR_CN|CIDADESDOFUTURO_MN|NONE_YQ|19Q4_CP|5020004441_SP|N/A_AC|CMKT_OB|AWA</v>
      </c>
      <c r="B381" t="str">
        <f t="shared" si="75"/>
        <v>Facebook</v>
      </c>
      <c r="C381" t="str">
        <f t="shared" si="76"/>
        <v>MK|BR_CH|PSD_DT|CROSS_PB|FCBK_FM|GIF_RT|CPM_PD|CidadesdoFuturo_TG|NON_ST|NON_TS|NONE_SZ|1X1_AD|CM1_IT|SOC_U1|SAOMATEUS_U2|AzulEscuro</v>
      </c>
      <c r="D381" t="str">
        <f t="shared" si="77"/>
        <v>255471163</v>
      </c>
      <c r="E381" t="str">
        <f t="shared" si="78"/>
        <v>Dynamic Click</v>
      </c>
      <c r="F381" t="str">
        <f t="shared" si="79"/>
        <v>MK|BR_CH|PSD_DT|CROSS_PB|FCBK_FM|GIF_RT|CPM_PD|CidadesdoFuturo_TG|NON_ST|NON_TS|NONE_SZ|1X1_AD|CM1_IT|SOC_U1|SAOMATEUS_U2|AzulEscuro</v>
      </c>
      <c r="G381" t="str">
        <f t="shared" si="80"/>
        <v>451397334</v>
      </c>
      <c r="H381" t="str">
        <f t="shared" si="81"/>
        <v>Tracking</v>
      </c>
      <c r="I381">
        <f t="shared" si="82"/>
        <v>0</v>
      </c>
      <c r="J381">
        <f t="shared" si="83"/>
        <v>64</v>
      </c>
      <c r="K381" s="4">
        <f t="shared" si="86"/>
        <v>3.5000000000000001E-3</v>
      </c>
      <c r="L381">
        <f t="shared" si="87"/>
        <v>0.02</v>
      </c>
      <c r="M381" s="4">
        <f t="shared" si="84"/>
        <v>0.224</v>
      </c>
      <c r="N381" s="4">
        <f t="shared" si="85"/>
        <v>1.28</v>
      </c>
    </row>
    <row r="382" spans="1:14">
      <c r="A382" t="str">
        <f t="shared" si="74"/>
        <v>MK|BR_CN|CIDADESDOFUTURO_MN|NONE_YQ|19Q4_CP|5020004441_SP|N/A_AC|CMKT_OB|AWA</v>
      </c>
      <c r="B382" t="str">
        <f t="shared" si="75"/>
        <v>Facebook</v>
      </c>
      <c r="C382" t="str">
        <f t="shared" si="76"/>
        <v>MK|BR_CH|PSD_DT|CROSS_PB|FCBK_FM|GIF_RT|CPM_PD|CidadesdoFuturo_TG|NON_ST|NON_TS|NONE_SZ|1X1_AD|CM1_IT|SOC_U1|SETELAGOAS_U2|AzulEscuro</v>
      </c>
      <c r="D382" t="str">
        <f t="shared" si="77"/>
        <v>255471148</v>
      </c>
      <c r="E382" t="str">
        <f t="shared" si="78"/>
        <v>Dynamic Click</v>
      </c>
      <c r="F382" t="str">
        <f t="shared" si="79"/>
        <v>MK|BR_CH|PSD_DT|CROSS_PB|FCBK_FM|GIF_RT|CPM_PD|CidadesdoFuturo_TG|NON_ST|NON_TS|NONE_SZ|1X1_AD|CM1_IT|SOC_U1|SETELAGOAS_U2|AzulEscuro</v>
      </c>
      <c r="G382" t="str">
        <f t="shared" si="80"/>
        <v>451397364</v>
      </c>
      <c r="H382" t="str">
        <f t="shared" si="81"/>
        <v>Tracking</v>
      </c>
      <c r="I382">
        <f t="shared" si="82"/>
        <v>0</v>
      </c>
      <c r="J382">
        <f t="shared" si="83"/>
        <v>34</v>
      </c>
      <c r="K382" s="4">
        <f t="shared" si="86"/>
        <v>3.5000000000000001E-3</v>
      </c>
      <c r="L382">
        <f t="shared" si="87"/>
        <v>0.02</v>
      </c>
      <c r="M382" s="4">
        <f t="shared" si="84"/>
        <v>0.11900000000000001</v>
      </c>
      <c r="N382" s="4">
        <f t="shared" si="85"/>
        <v>0.68</v>
      </c>
    </row>
    <row r="383" spans="1:14">
      <c r="A383" t="str">
        <f t="shared" si="74"/>
        <v>MK|BR_CN|CIDADESDOFUTURO_MN|NONE_YQ|19Q4_CP|5020004441_SP|N/A_AC|CMKT_OB|AWA</v>
      </c>
      <c r="B383" t="str">
        <f t="shared" si="75"/>
        <v>Facebook</v>
      </c>
      <c r="C383" t="str">
        <f t="shared" si="76"/>
        <v>MK|BR_CH|PSD_DT|CROSS_PB|FCBK_FM|GIF_RT|CPM_PD|CidadesdoFuturo_TG|NON_ST|NON_TS|NONE_SZ|1X1_AD|CM1_IT|SOC_U1|SETELAGOAS_U2|AzulEscuro</v>
      </c>
      <c r="D383" t="str">
        <f t="shared" si="77"/>
        <v>256665339</v>
      </c>
      <c r="E383" t="str">
        <f t="shared" si="78"/>
        <v>Dynamic Click</v>
      </c>
      <c r="F383" t="str">
        <f t="shared" si="79"/>
        <v>MK|BR_CH|PSD_DT|CROSS_PB|FCBK_FM|GIF_RT|CPM_PD|CidadesdoFuturo_TG|NON_ST|NON_TS|NONE_SZ|1X1_AD|CM1_IT|SOC_U1|SETELAGOAS_U2|AzulEscuro</v>
      </c>
      <c r="G383" t="str">
        <f t="shared" si="80"/>
        <v>452475247</v>
      </c>
      <c r="H383" t="str">
        <f t="shared" si="81"/>
        <v>Tracking</v>
      </c>
      <c r="I383">
        <f t="shared" si="82"/>
        <v>0</v>
      </c>
      <c r="J383">
        <f t="shared" si="83"/>
        <v>2</v>
      </c>
      <c r="K383" s="4">
        <f t="shared" si="86"/>
        <v>3.5000000000000001E-3</v>
      </c>
      <c r="L383">
        <f t="shared" si="87"/>
        <v>0.02</v>
      </c>
      <c r="M383" s="4">
        <f t="shared" si="84"/>
        <v>7.0000000000000001E-3</v>
      </c>
      <c r="N383" s="4">
        <f t="shared" si="85"/>
        <v>0.04</v>
      </c>
    </row>
    <row r="384" spans="1:14">
      <c r="A384" t="str">
        <f t="shared" si="74"/>
        <v>MK|BR_CN|CIDADESDOFUTURO_MN|NONE_YQ|19Q4_CP|5020004441_SP|N/A_AC|CMKT_OB|AWA</v>
      </c>
      <c r="B384" t="str">
        <f t="shared" si="75"/>
        <v>Facebook</v>
      </c>
      <c r="C384" t="str">
        <f t="shared" si="76"/>
        <v>MK|BR_CH|PSD_DT|CROSS_PB|FCBK_FM|GIF_RT|CPM_PD|CidadesdoFuturo_TG|NON_ST|NON_TS|NONE_SZ|1X1_AD|CM1_IT|SOC_U1|TEOFILOOTONI_U2|AzulEscuro</v>
      </c>
      <c r="D384" t="str">
        <f t="shared" si="77"/>
        <v>255471136</v>
      </c>
      <c r="E384" t="str">
        <f t="shared" si="78"/>
        <v>Dynamic Click</v>
      </c>
      <c r="F384" t="str">
        <f t="shared" si="79"/>
        <v>MK|BR_CH|PSD_DT|CROSS_PB|FCBK_FM|GIF_RT|CPM_PD|CidadesdoFuturo_TG|NON_ST|NON_TS|NONE_SZ|1X1_AD|CM1_IT|SOC_U1|TEOFILOOTONI_U2|AzulEscuro</v>
      </c>
      <c r="G384" t="str">
        <f t="shared" si="80"/>
        <v>451397391</v>
      </c>
      <c r="H384" t="str">
        <f t="shared" si="81"/>
        <v>Tracking</v>
      </c>
      <c r="I384">
        <f t="shared" si="82"/>
        <v>0</v>
      </c>
      <c r="J384">
        <f t="shared" si="83"/>
        <v>21</v>
      </c>
      <c r="K384" s="4">
        <f t="shared" si="86"/>
        <v>3.5000000000000001E-3</v>
      </c>
      <c r="L384">
        <f t="shared" si="87"/>
        <v>0.02</v>
      </c>
      <c r="M384" s="4">
        <f t="shared" si="84"/>
        <v>7.3499999999999996E-2</v>
      </c>
      <c r="N384" s="4">
        <f t="shared" si="85"/>
        <v>0.42</v>
      </c>
    </row>
    <row r="385" spans="1:14">
      <c r="A385" t="str">
        <f t="shared" si="74"/>
        <v>MK|BR_CN|CIDADESDOFUTURO_MN|NONE_YQ|19Q4_CP|5020004441_SP|N/A_AC|CMKT_OB|AWA</v>
      </c>
      <c r="B385" t="str">
        <f t="shared" si="75"/>
        <v>Facebook</v>
      </c>
      <c r="C385" t="str">
        <f t="shared" si="76"/>
        <v>MK|BR_CH|PSD_DT|CROSS_PB|FCBK_FM|GIF_RT|CPM_PD|CidadesdoFuturo_TG|NON_ST|NON_TS|NONE_SZ|1X1_AD|CM1_IT|SOC_U1|TEOFILOOTONI_U2|AzulEscuro</v>
      </c>
      <c r="D385" t="str">
        <f t="shared" si="77"/>
        <v>256665348</v>
      </c>
      <c r="E385" t="str">
        <f t="shared" si="78"/>
        <v>Dynamic Click</v>
      </c>
      <c r="F385" t="str">
        <f t="shared" si="79"/>
        <v>MK|BR_CH|PSD_DT|CROSS_PB|FCBK_FM|GIF_RT|CPM_PD|CidadesdoFuturo_TG|NON_ST|NON_TS|NONE_SZ|1X1_AD|CM1_IT|SOC_U1|TEOFILOOTONI_U2|AzulEscuro</v>
      </c>
      <c r="G385" t="str">
        <f t="shared" si="80"/>
        <v>452475241</v>
      </c>
      <c r="H385" t="str">
        <f t="shared" si="81"/>
        <v>Tracking</v>
      </c>
      <c r="I385">
        <f t="shared" si="82"/>
        <v>0</v>
      </c>
      <c r="J385">
        <f t="shared" si="83"/>
        <v>1</v>
      </c>
      <c r="K385" s="4">
        <f t="shared" si="86"/>
        <v>3.5000000000000001E-3</v>
      </c>
      <c r="L385">
        <f t="shared" si="87"/>
        <v>0.02</v>
      </c>
      <c r="M385" s="4">
        <f t="shared" si="84"/>
        <v>3.5000000000000001E-3</v>
      </c>
      <c r="N385" s="4">
        <f t="shared" si="85"/>
        <v>0.02</v>
      </c>
    </row>
    <row r="386" spans="1:14">
      <c r="A386" t="str">
        <f t="shared" ref="A386:A449" si="88">bd_campaign</f>
        <v>MK|BR_CN|CIDADESDOFUTURO_MN|NONE_YQ|19Q4_CP|5020004441_SP|N/A_AC|CMKT_OB|AWA</v>
      </c>
      <c r="B386" t="str">
        <f t="shared" ref="B386:B449" si="89">bd_site</f>
        <v>Facebook</v>
      </c>
      <c r="C386" t="str">
        <f t="shared" ref="C386:C449" si="90">bd_placement</f>
        <v>MK|BR_CH|PSD_DT|CROSS_PB|FCBK_FM|GIF_RT|CPM_PD|CidadesdoFuturo_TG|NON_ST|NON_TS|NONE_SZ|1X1_AD|CM1_IT|SOC_U1|TERESINA_U2|AzulEscuro</v>
      </c>
      <c r="D386" t="str">
        <f t="shared" ref="D386:D449" si="91">bd_placementID</f>
        <v>255471004</v>
      </c>
      <c r="E386" t="str">
        <f t="shared" ref="E386:E449" si="92">VLOOKUP(CONCATENATE(bd_adtype,"_",bd_creativetype),tabela,2,FALSE)</f>
        <v>Dynamic Click</v>
      </c>
      <c r="F386" t="str">
        <f t="shared" ref="F386:F449" si="93">bd_ad</f>
        <v>MK|BR_CH|PSD_DT|CROSS_PB|FCBK_FM|GIF_RT|CPM_PD|CidadesdoFuturo_TG|NON_ST|NON_TS|NONE_SZ|1X1_AD|CM1_IT|SOC_U1|TERESINA_U2|AzulEscuro</v>
      </c>
      <c r="G386" t="str">
        <f t="shared" ref="G386:G449" si="94">bd_adid</f>
        <v>451397607</v>
      </c>
      <c r="H386" t="str">
        <f t="shared" ref="H386:H449" si="95">bd_creativetype</f>
        <v>Tracking</v>
      </c>
      <c r="I386">
        <f t="shared" ref="I386:I449" si="96">bd_impression</f>
        <v>0</v>
      </c>
      <c r="J386">
        <f t="shared" ref="J386:J449" si="97">bd_clicks</f>
        <v>80</v>
      </c>
      <c r="K386" s="4">
        <f t="shared" si="86"/>
        <v>3.5000000000000001E-3</v>
      </c>
      <c r="L386">
        <f t="shared" si="87"/>
        <v>0.02</v>
      </c>
      <c r="M386" s="4">
        <f t="shared" si="84"/>
        <v>0.28000000000000003</v>
      </c>
      <c r="N386" s="4">
        <f t="shared" si="85"/>
        <v>1.6</v>
      </c>
    </row>
    <row r="387" spans="1:14">
      <c r="A387" t="str">
        <f t="shared" si="88"/>
        <v>MK|BR_CN|CIDADESDOFUTURO_MN|NONE_YQ|19Q4_CP|5020004441_SP|N/A_AC|CMKT_OB|AWA</v>
      </c>
      <c r="B387" t="str">
        <f t="shared" si="89"/>
        <v>Facebook</v>
      </c>
      <c r="C387" t="str">
        <f t="shared" si="90"/>
        <v>MK|BR_CH|PSD_DT|CROSS_PB|FCBK_FM|GIF_RT|CPM_PD|CidadesdoFuturo_TG|NON_ST|NON_TS|NONE_SZ|1X1_AD|CM1_IT|SOC_U1|TOLEDO_U2|AzulEscuro</v>
      </c>
      <c r="D387" t="str">
        <f t="shared" si="91"/>
        <v>255471112</v>
      </c>
      <c r="E387" t="str">
        <f t="shared" si="92"/>
        <v>Dynamic Click</v>
      </c>
      <c r="F387" t="str">
        <f t="shared" si="93"/>
        <v>MK|BR_CH|PSD_DT|CROSS_PB|FCBK_FM|GIF_RT|CPM_PD|CidadesdoFuturo_TG|NON_ST|NON_TS|NONE_SZ|1X1_AD|CM1_IT|SOC_U1|TOLEDO_U2|AzulEscuro</v>
      </c>
      <c r="G387" t="str">
        <f t="shared" si="94"/>
        <v>451397442</v>
      </c>
      <c r="H387" t="str">
        <f t="shared" si="95"/>
        <v>Tracking</v>
      </c>
      <c r="I387">
        <f t="shared" si="96"/>
        <v>0</v>
      </c>
      <c r="J387">
        <f t="shared" si="97"/>
        <v>102</v>
      </c>
      <c r="K387" s="4">
        <f t="shared" si="86"/>
        <v>3.5000000000000001E-3</v>
      </c>
      <c r="L387">
        <f t="shared" si="87"/>
        <v>0.02</v>
      </c>
      <c r="M387" s="4">
        <f t="shared" si="84"/>
        <v>0.35699999999999998</v>
      </c>
      <c r="N387" s="4">
        <f t="shared" si="85"/>
        <v>2.04</v>
      </c>
    </row>
    <row r="388" spans="1:14">
      <c r="A388" t="str">
        <f t="shared" si="88"/>
        <v>MK|BR_CN|CIDADESDOFUTURO_MN|NONE_YQ|19Q4_CP|5020004441_SP|N/A_AC|CMKT_OB|AWA</v>
      </c>
      <c r="B388" t="str">
        <f t="shared" si="89"/>
        <v>Facebook</v>
      </c>
      <c r="C388" t="str">
        <f t="shared" si="90"/>
        <v>MK|BR_CH|PSD_DT|CROSS_PB|FCBK_FM|GIF_RT|CPM_PD|CidadesdoFuturo_TG|NON_ST|NON_TS|NONE_SZ|1X1_AD|CM1_IT|SOC_U1|URUGUAIANA_U2|AzulEscuro</v>
      </c>
      <c r="D388" t="str">
        <f t="shared" si="91"/>
        <v>255471100</v>
      </c>
      <c r="E388" t="str">
        <f t="shared" si="92"/>
        <v>Dynamic Click</v>
      </c>
      <c r="F388" t="str">
        <f t="shared" si="93"/>
        <v>MK|BR_CH|PSD_DT|CROSS_PB|FCBK_FM|GIF_RT|CPM_PD|CidadesdoFuturo_TG|NON_ST|NON_TS|NONE_SZ|1X1_AD|CM1_IT|SOC_U1|URUGUAIANA_U2|AzulEscuro</v>
      </c>
      <c r="G388" t="str">
        <f t="shared" si="94"/>
        <v>451397466</v>
      </c>
      <c r="H388" t="str">
        <f t="shared" si="95"/>
        <v>Tracking</v>
      </c>
      <c r="I388">
        <f t="shared" si="96"/>
        <v>0</v>
      </c>
      <c r="J388">
        <f t="shared" si="97"/>
        <v>30</v>
      </c>
      <c r="K388" s="4">
        <f t="shared" si="86"/>
        <v>3.5000000000000001E-3</v>
      </c>
      <c r="L388">
        <f t="shared" si="87"/>
        <v>0.02</v>
      </c>
      <c r="M388" s="4">
        <f t="shared" si="84"/>
        <v>0.105</v>
      </c>
      <c r="N388" s="4">
        <f t="shared" si="85"/>
        <v>0.6</v>
      </c>
    </row>
    <row r="389" spans="1:14">
      <c r="A389" t="str">
        <f t="shared" si="88"/>
        <v>MK|BR_CN|CIDADESDOFUTURO_MN|NONE_YQ|19Q4_CP|5020004441_SP|N/A_AC|CMKT_OB|AWA</v>
      </c>
      <c r="B389" t="str">
        <f t="shared" si="89"/>
        <v>Facebook</v>
      </c>
      <c r="C389" t="str">
        <f t="shared" si="90"/>
        <v>MK|BR_CH|PSD_DT|CROSS_PB|FCBK_FM|GIF_RT|CPM_PD|CidadesdoFuturo_TG|NON_ST|NON_TS|NONE_SZ|1X1_AD|CM1_IT|SOC_U1|VITORIADACONQUISTA_U2|AzulEscuro</v>
      </c>
      <c r="D389" t="str">
        <f t="shared" si="91"/>
        <v>255471088</v>
      </c>
      <c r="E389" t="str">
        <f t="shared" si="92"/>
        <v>Dynamic Click</v>
      </c>
      <c r="F389" t="str">
        <f t="shared" si="93"/>
        <v>MK|BR_CH|PSD_DT|CROSS_PB|FCBK_FM|GIF_RT|CPM_PD|CidadesdoFuturo_TG|NON_ST|NON_TS|NONE_SZ|1X1_AD|CM1_IT|SOC_U1|VITORIADACONQUISTA_U2|AzulEscuro</v>
      </c>
      <c r="G389" t="str">
        <f t="shared" si="94"/>
        <v>451397493</v>
      </c>
      <c r="H389" t="str">
        <f t="shared" si="95"/>
        <v>Tracking</v>
      </c>
      <c r="I389">
        <f t="shared" si="96"/>
        <v>0</v>
      </c>
      <c r="J389">
        <f t="shared" si="97"/>
        <v>45</v>
      </c>
      <c r="K389" s="4">
        <f t="shared" si="86"/>
        <v>3.5000000000000001E-3</v>
      </c>
      <c r="L389">
        <f t="shared" si="87"/>
        <v>0.02</v>
      </c>
      <c r="M389" s="4">
        <f t="shared" si="84"/>
        <v>0.1575</v>
      </c>
      <c r="N389" s="4">
        <f t="shared" si="85"/>
        <v>0.9</v>
      </c>
    </row>
    <row r="390" spans="1:14">
      <c r="A390" t="str">
        <f t="shared" si="88"/>
        <v>MK|BR_CN|CIDADESDOFUTURO_MN|NONE_YQ|19Q4_CP|5020004441_SP|N/A_AC|CMKT_OB|AWA</v>
      </c>
      <c r="B390" t="str">
        <f t="shared" si="89"/>
        <v>Facebook</v>
      </c>
      <c r="C390" t="str">
        <f t="shared" si="90"/>
        <v>MK|BR_CH|PSD_DT|CROSS_PB|FCBK_FM|GIF_RT|CPM_PD|CompraFora_TG|NON_ST|NON_TS|NONE_SZ|1X1_AD|CM1_IT|SOC_U1|PRATICIDADE_U2|GAMERS</v>
      </c>
      <c r="D390" t="str">
        <f t="shared" si="91"/>
        <v>253587705</v>
      </c>
      <c r="E390" t="str">
        <f t="shared" si="92"/>
        <v>Dynamic Click</v>
      </c>
      <c r="F390" t="str">
        <f t="shared" si="93"/>
        <v>MK|BR_CH|PSD_DT|CROSS_PB|FCBK_FM|GIF_RT|CPM_PD|CompraFora_TG|NON_ST|NON_TS|NONE_SZ|1X1_AD|CM1_IT|SOC_U1|PRATICIDADE_U2|GAMERS</v>
      </c>
      <c r="G390" t="str">
        <f t="shared" si="94"/>
        <v>449495034</v>
      </c>
      <c r="H390" t="str">
        <f t="shared" si="95"/>
        <v>Tracking</v>
      </c>
      <c r="I390">
        <f t="shared" si="96"/>
        <v>0</v>
      </c>
      <c r="J390">
        <f t="shared" si="97"/>
        <v>5</v>
      </c>
      <c r="K390" s="4">
        <f t="shared" si="86"/>
        <v>3.5000000000000001E-3</v>
      </c>
      <c r="L390">
        <f t="shared" si="87"/>
        <v>0.02</v>
      </c>
      <c r="M390" s="4">
        <f t="shared" si="84"/>
        <v>1.7500000000000002E-2</v>
      </c>
      <c r="N390" s="4">
        <f t="shared" si="85"/>
        <v>0.1</v>
      </c>
    </row>
    <row r="391" spans="1:14">
      <c r="A391" t="str">
        <f t="shared" si="88"/>
        <v>MK|BR_CN|CIDADESDOFUTURO_MN|NONE_YQ|19Q4_CP|5020004441_SP|N/A_AC|CMKT_OB|AWA</v>
      </c>
      <c r="B391" t="str">
        <f t="shared" si="89"/>
        <v>Facebook</v>
      </c>
      <c r="C391" t="str">
        <f t="shared" si="90"/>
        <v>MK|BR_CH|PSD_DT|CROSS_PB|FCBK_FM|LNK_RT|CPM_PD|CidadesdoFuturo_TG|NON_ST|NON_TS|NONE_SZ|1X1_AD|CM1_IT|SOC_U1|ANAPOLIS_U2|AzulEscuro</v>
      </c>
      <c r="D391" t="str">
        <f t="shared" si="91"/>
        <v>255146069</v>
      </c>
      <c r="E391" t="str">
        <f t="shared" si="92"/>
        <v>Dynamic Click</v>
      </c>
      <c r="F391" t="str">
        <f t="shared" si="93"/>
        <v>MK|BR_CH|PSD_DT|CROSS_PB|FCBK_FM|LNK_RT|CPM_PD|CidadesdoFuturo_TG|NON_ST|NON_TS|NONE_SZ|1X1_AD|CM1_IT|SOC_U1|ANAPOLIS_U2|AzulEscuro</v>
      </c>
      <c r="G391" t="str">
        <f t="shared" si="94"/>
        <v>451451579</v>
      </c>
      <c r="H391" t="str">
        <f t="shared" si="95"/>
        <v>Tracking</v>
      </c>
      <c r="I391">
        <f t="shared" si="96"/>
        <v>0</v>
      </c>
      <c r="J391">
        <f t="shared" si="97"/>
        <v>195</v>
      </c>
      <c r="K391" s="4">
        <f t="shared" si="86"/>
        <v>3.5000000000000001E-3</v>
      </c>
      <c r="L391">
        <f t="shared" si="87"/>
        <v>0.02</v>
      </c>
      <c r="M391" s="4">
        <f t="shared" si="84"/>
        <v>0.6825</v>
      </c>
      <c r="N391" s="4">
        <f t="shared" si="85"/>
        <v>3.9</v>
      </c>
    </row>
    <row r="392" spans="1:14">
      <c r="A392" t="str">
        <f t="shared" si="88"/>
        <v>MK|BR_CN|CIDADESDOFUTURO_MN|NONE_YQ|19Q4_CP|5020004441_SP|N/A_AC|CMKT_OB|AWA</v>
      </c>
      <c r="B392" t="str">
        <f t="shared" si="89"/>
        <v>Facebook</v>
      </c>
      <c r="C392" t="str">
        <f t="shared" si="90"/>
        <v>MK|BR_CH|PSD_DT|CROSS_PB|FCBK_FM|LNK_RT|CPM_PD|CidadesdoFuturo_TG|NON_ST|NON_TS|NONE_SZ|1X1_AD|CM1_IT|SOC_U1|ANGRADOSREIS_U2|AzulEscuro</v>
      </c>
      <c r="D392" t="str">
        <f t="shared" si="91"/>
        <v>255146057</v>
      </c>
      <c r="E392" t="str">
        <f t="shared" si="92"/>
        <v>Dynamic Click</v>
      </c>
      <c r="F392" t="str">
        <f t="shared" si="93"/>
        <v>MK|BR_CH|PSD_DT|CROSS_PB|FCBK_FM|LNK_RT|CPM_PD|CidadesdoFuturo_TG|NON_ST|NON_TS|NONE_SZ|1X1_AD|CM1_IT|SOC_U1|ANGRADOSREIS_U2|AzulEscuro</v>
      </c>
      <c r="G392" t="str">
        <f t="shared" si="94"/>
        <v>451451603</v>
      </c>
      <c r="H392" t="str">
        <f t="shared" si="95"/>
        <v>Tracking</v>
      </c>
      <c r="I392">
        <f t="shared" si="96"/>
        <v>0</v>
      </c>
      <c r="J392">
        <f t="shared" si="97"/>
        <v>2</v>
      </c>
      <c r="K392" s="4">
        <f t="shared" si="86"/>
        <v>3.5000000000000001E-3</v>
      </c>
      <c r="L392">
        <f t="shared" si="87"/>
        <v>0.02</v>
      </c>
      <c r="M392" s="4">
        <f t="shared" si="84"/>
        <v>7.0000000000000001E-3</v>
      </c>
      <c r="N392" s="4">
        <f t="shared" si="85"/>
        <v>0.04</v>
      </c>
    </row>
    <row r="393" spans="1:14">
      <c r="A393" t="str">
        <f t="shared" si="88"/>
        <v>MK|BR_CN|CIDADESDOFUTURO_MN|NONE_YQ|19Q4_CP|5020004441_SP|N/A_AC|CMKT_OB|AWA</v>
      </c>
      <c r="B393" t="str">
        <f t="shared" si="89"/>
        <v>Facebook</v>
      </c>
      <c r="C393" t="str">
        <f t="shared" si="90"/>
        <v>MK|BR_CH|PSD_DT|CROSS_PB|FCBK_FM|LNK_RT|CPM_PD|CidadesdoFuturo_TG|NON_ST|NON_TS|NONE_SZ|1X1_AD|CM1_IT|SOC_U1|APUCARANA_U2|AzulEscuro</v>
      </c>
      <c r="D393" t="str">
        <f t="shared" si="91"/>
        <v>255146045</v>
      </c>
      <c r="E393" t="str">
        <f t="shared" si="92"/>
        <v>Dynamic Click</v>
      </c>
      <c r="F393" t="str">
        <f t="shared" si="93"/>
        <v>MK|BR_CH|PSD_DT|CROSS_PB|FCBK_FM|LNK_RT|CPM_PD|CidadesdoFuturo_TG|NON_ST|NON_TS|NONE_SZ|1X1_AD|CM1_IT|SOC_U1|APUCARANA_U2|AzulEscuro</v>
      </c>
      <c r="G393" t="str">
        <f t="shared" si="94"/>
        <v>451491292</v>
      </c>
      <c r="H393" t="str">
        <f t="shared" si="95"/>
        <v>Tracking</v>
      </c>
      <c r="I393">
        <f t="shared" si="96"/>
        <v>0</v>
      </c>
      <c r="J393">
        <f t="shared" si="97"/>
        <v>18</v>
      </c>
      <c r="K393" s="4">
        <f t="shared" si="86"/>
        <v>3.5000000000000001E-3</v>
      </c>
      <c r="L393">
        <f t="shared" si="87"/>
        <v>0.02</v>
      </c>
      <c r="M393" s="4">
        <f t="shared" si="84"/>
        <v>6.3E-2</v>
      </c>
      <c r="N393" s="4">
        <f t="shared" si="85"/>
        <v>0.36</v>
      </c>
    </row>
    <row r="394" spans="1:14">
      <c r="A394" t="str">
        <f t="shared" si="88"/>
        <v>MK|BR_CN|CIDADESDOFUTURO_MN|NONE_YQ|19Q4_CP|5020004441_SP|N/A_AC|CMKT_OB|AWA</v>
      </c>
      <c r="B394" t="str">
        <f t="shared" si="89"/>
        <v>Facebook</v>
      </c>
      <c r="C394" t="str">
        <f t="shared" si="90"/>
        <v>MK|BR_CH|PSD_DT|CROSS_PB|FCBK_FM|LNK_RT|CPM_PD|CidadesdoFuturo_TG|NON_ST|NON_TS|NONE_SZ|1X1_AD|CM1_IT|SOC_U1|ARAGUAINA_U2|AzulEscuro</v>
      </c>
      <c r="D394" t="str">
        <f t="shared" si="91"/>
        <v>255146033</v>
      </c>
      <c r="E394" t="str">
        <f t="shared" si="92"/>
        <v>Dynamic Click</v>
      </c>
      <c r="F394" t="str">
        <f t="shared" si="93"/>
        <v>MK|BR_CH|PSD_DT|CROSS_PB|FCBK_FM|LNK_RT|CPM_PD|CidadesdoFuturo_TG|NON_ST|NON_TS|NONE_SZ|1X1_AD|CM1_IT|SOC_U1|ARAGUAINA_U2|AzulEscuro</v>
      </c>
      <c r="G394" t="str">
        <f t="shared" si="94"/>
        <v>451491316</v>
      </c>
      <c r="H394" t="str">
        <f t="shared" si="95"/>
        <v>Tracking</v>
      </c>
      <c r="I394">
        <f t="shared" si="96"/>
        <v>0</v>
      </c>
      <c r="J394">
        <f t="shared" si="97"/>
        <v>14</v>
      </c>
      <c r="K394" s="4">
        <f t="shared" si="86"/>
        <v>3.5000000000000001E-3</v>
      </c>
      <c r="L394">
        <f t="shared" si="87"/>
        <v>0.02</v>
      </c>
      <c r="M394" s="4">
        <f t="shared" si="84"/>
        <v>4.9000000000000002E-2</v>
      </c>
      <c r="N394" s="4">
        <f t="shared" si="85"/>
        <v>0.28000000000000003</v>
      </c>
    </row>
    <row r="395" spans="1:14">
      <c r="A395" t="str">
        <f t="shared" si="88"/>
        <v>MK|BR_CN|CIDADESDOFUTURO_MN|NONE_YQ|19Q4_CP|5020004441_SP|N/A_AC|CMKT_OB|AWA</v>
      </c>
      <c r="B395" t="str">
        <f t="shared" si="89"/>
        <v>Facebook</v>
      </c>
      <c r="C395" t="str">
        <f t="shared" si="90"/>
        <v>MK|BR_CH|PSD_DT|CROSS_PB|FCBK_FM|LNK_RT|CPM_PD|CidadesdoFuturo_TG|NON_ST|NON_TS|NONE_SZ|1X1_AD|CM1_IT|SOC_U1|ARARAS_U2|AzulEscuro</v>
      </c>
      <c r="D395" t="str">
        <f t="shared" si="91"/>
        <v>255146021</v>
      </c>
      <c r="E395" t="str">
        <f t="shared" si="92"/>
        <v>Dynamic Click</v>
      </c>
      <c r="F395" t="str">
        <f t="shared" si="93"/>
        <v>MK|BR_CH|PSD_DT|CROSS_PB|FCBK_FM|LNK_RT|CPM_PD|CidadesdoFuturo_TG|NON_ST|NON_TS|NONE_SZ|1X1_AD|CM1_IT|SOC_U1|ARARAS_U2|AzulEscuro</v>
      </c>
      <c r="G395" t="str">
        <f t="shared" si="94"/>
        <v>451491343</v>
      </c>
      <c r="H395" t="str">
        <f t="shared" si="95"/>
        <v>Tracking</v>
      </c>
      <c r="I395">
        <f t="shared" si="96"/>
        <v>0</v>
      </c>
      <c r="J395">
        <f t="shared" si="97"/>
        <v>14</v>
      </c>
      <c r="K395" s="4">
        <f t="shared" si="86"/>
        <v>3.5000000000000001E-3</v>
      </c>
      <c r="L395">
        <f t="shared" si="87"/>
        <v>0.02</v>
      </c>
      <c r="M395" s="4">
        <f t="shared" si="84"/>
        <v>4.9000000000000002E-2</v>
      </c>
      <c r="N395" s="4">
        <f t="shared" si="85"/>
        <v>0.28000000000000003</v>
      </c>
    </row>
    <row r="396" spans="1:14">
      <c r="A396" t="str">
        <f t="shared" si="88"/>
        <v>MK|BR_CN|CIDADESDOFUTURO_MN|NONE_YQ|19Q4_CP|5020004441_SP|N/A_AC|CMKT_OB|AWA</v>
      </c>
      <c r="B396" t="str">
        <f t="shared" si="89"/>
        <v>Facebook</v>
      </c>
      <c r="C396" t="str">
        <f t="shared" si="90"/>
        <v>MK|BR_CH|PSD_DT|CROSS_PB|FCBK_FM|LNK_RT|CPM_PD|CidadesdoFuturo_TG|NON_ST|NON_TS|NONE_SZ|1X1_AD|CM1_IT|SOC_U1|BARRETOS_U2|AzulEscuro</v>
      </c>
      <c r="D396" t="str">
        <f t="shared" si="91"/>
        <v>255146009</v>
      </c>
      <c r="E396" t="str">
        <f t="shared" si="92"/>
        <v>Dynamic Click</v>
      </c>
      <c r="F396" t="str">
        <f t="shared" si="93"/>
        <v>MK|BR_CH|PSD_DT|CROSS_PB|FCBK_FM|LNK_RT|CPM_PD|CidadesdoFuturo_TG|NON_ST|NON_TS|NONE_SZ|1X1_AD|CM1_IT|SOC_U1|BARRETOS_U2|AzulEscuro</v>
      </c>
      <c r="G396" t="str">
        <f t="shared" si="94"/>
        <v>451491367</v>
      </c>
      <c r="H396" t="str">
        <f t="shared" si="95"/>
        <v>Tracking</v>
      </c>
      <c r="I396">
        <f t="shared" si="96"/>
        <v>0</v>
      </c>
      <c r="J396">
        <f t="shared" si="97"/>
        <v>26</v>
      </c>
      <c r="K396" s="4">
        <f t="shared" si="86"/>
        <v>3.5000000000000001E-3</v>
      </c>
      <c r="L396">
        <f t="shared" si="87"/>
        <v>0.02</v>
      </c>
      <c r="M396" s="4">
        <f t="shared" si="84"/>
        <v>9.0999999999999998E-2</v>
      </c>
      <c r="N396" s="4">
        <f t="shared" si="85"/>
        <v>0.52</v>
      </c>
    </row>
    <row r="397" spans="1:14">
      <c r="A397" t="str">
        <f t="shared" si="88"/>
        <v>MK|BR_CN|CIDADESDOFUTURO_MN|NONE_YQ|19Q4_CP|5020004441_SP|N/A_AC|CMKT_OB|AWA</v>
      </c>
      <c r="B397" t="str">
        <f t="shared" si="89"/>
        <v>Facebook</v>
      </c>
      <c r="C397" t="str">
        <f t="shared" si="90"/>
        <v>MK|BR_CH|PSD_DT|CROSS_PB|FCBK_FM|LNK_RT|CPM_PD|CidadesdoFuturo_TG|NON_ST|NON_TS|NONE_SZ|1X1_AD|CM1_IT|SOC_U1|BELEM_U2|AzulEscuro</v>
      </c>
      <c r="D397" t="str">
        <f t="shared" si="91"/>
        <v>255471073</v>
      </c>
      <c r="E397" t="str">
        <f t="shared" si="92"/>
        <v>Dynamic Click</v>
      </c>
      <c r="F397" t="str">
        <f t="shared" si="93"/>
        <v>MK|BR_CH|PSD_DT|CROSS_PB|FCBK_FM|LNK_RT|CPM_PD|CidadesdoFuturo_TG|NON_ST|NON_TS|NONE_SZ|1X1_AD|CM1_IT|SOC_U1|BELEM_U2|AzulEscuro</v>
      </c>
      <c r="G397" t="str">
        <f t="shared" si="94"/>
        <v>451397523</v>
      </c>
      <c r="H397" t="str">
        <f t="shared" si="95"/>
        <v>Tracking</v>
      </c>
      <c r="I397">
        <f t="shared" si="96"/>
        <v>0</v>
      </c>
      <c r="J397">
        <f t="shared" si="97"/>
        <v>73</v>
      </c>
      <c r="K397" s="4">
        <f t="shared" si="86"/>
        <v>3.5000000000000001E-3</v>
      </c>
      <c r="L397">
        <f t="shared" si="87"/>
        <v>0.02</v>
      </c>
      <c r="M397" s="4">
        <f t="shared" si="84"/>
        <v>0.2555</v>
      </c>
      <c r="N397" s="4">
        <f t="shared" si="85"/>
        <v>1.46</v>
      </c>
    </row>
    <row r="398" spans="1:14">
      <c r="A398" t="str">
        <f t="shared" si="88"/>
        <v>MK|BR_CN|CIDADESDOFUTURO_MN|NONE_YQ|19Q4_CP|5020004441_SP|N/A_AC|CMKT_OB|AWA</v>
      </c>
      <c r="B398" t="str">
        <f t="shared" si="89"/>
        <v>Facebook</v>
      </c>
      <c r="C398" t="str">
        <f t="shared" si="90"/>
        <v>MK|BR_CH|PSD_DT|CROSS_PB|FCBK_FM|LNK_RT|CPM_PD|CidadesdoFuturo_TG|NON_ST|NON_TS|NONE_SZ|1X1_AD|CM1_IT|SOC_U1|BELEM_U2|AzulEscuro</v>
      </c>
      <c r="D398" t="str">
        <f t="shared" si="91"/>
        <v>256665396</v>
      </c>
      <c r="E398" t="str">
        <f t="shared" si="92"/>
        <v>Dynamic Click</v>
      </c>
      <c r="F398" t="str">
        <f t="shared" si="93"/>
        <v>MK|BR_CH|PSD_DT|CROSS_PB|FCBK_FM|LNK_RT|CPM_PD|CidadesdoFuturo_TG|NON_ST|NON_TS|NONE_SZ|1X1_AD|CM1_IT|SOC_U1|BELEM_U2|AzulEscuro</v>
      </c>
      <c r="G398" t="str">
        <f t="shared" si="94"/>
        <v>452475208</v>
      </c>
      <c r="H398" t="str">
        <f t="shared" si="95"/>
        <v>Tracking</v>
      </c>
      <c r="I398">
        <f t="shared" si="96"/>
        <v>0</v>
      </c>
      <c r="J398">
        <f t="shared" si="97"/>
        <v>3</v>
      </c>
      <c r="K398" s="4">
        <f t="shared" si="86"/>
        <v>3.5000000000000001E-3</v>
      </c>
      <c r="L398">
        <f t="shared" si="87"/>
        <v>0.02</v>
      </c>
      <c r="M398" s="4">
        <f t="shared" si="84"/>
        <v>1.0500000000000001E-2</v>
      </c>
      <c r="N398" s="4">
        <f t="shared" si="85"/>
        <v>0.06</v>
      </c>
    </row>
    <row r="399" spans="1:14">
      <c r="A399" t="str">
        <f t="shared" si="88"/>
        <v>MK|BR_CN|CIDADESDOFUTURO_MN|NONE_YQ|19Q4_CP|5020004441_SP|N/A_AC|CMKT_OB|AWA</v>
      </c>
      <c r="B399" t="str">
        <f t="shared" si="89"/>
        <v>Facebook</v>
      </c>
      <c r="C399" t="str">
        <f t="shared" si="90"/>
        <v>MK|BR_CH|PSD_DT|CROSS_PB|FCBK_FM|LNK_RT|CPM_PD|CidadesdoFuturo_TG|NON_ST|NON_TS|NONE_SZ|1X1_AD|CM1_IT|SOC_U1|BOAVISTA_U2|AzulEscuro</v>
      </c>
      <c r="D399" t="str">
        <f t="shared" si="91"/>
        <v>255145997</v>
      </c>
      <c r="E399" t="str">
        <f t="shared" si="92"/>
        <v>Dynamic Click</v>
      </c>
      <c r="F399" t="str">
        <f t="shared" si="93"/>
        <v>MK|BR_CH|PSD_DT|CROSS_PB|FCBK_FM|LNK_RT|CPM_PD|CidadesdoFuturo_TG|NON_ST|NON_TS|NONE_SZ|1X1_AD|CM1_IT|SOC_U1|BOAVISTA_U2|AzulEscuro</v>
      </c>
      <c r="G399" t="str">
        <f t="shared" si="94"/>
        <v>451491394</v>
      </c>
      <c r="H399" t="str">
        <f t="shared" si="95"/>
        <v>Tracking</v>
      </c>
      <c r="I399">
        <f t="shared" si="96"/>
        <v>0</v>
      </c>
      <c r="J399">
        <f t="shared" si="97"/>
        <v>40</v>
      </c>
      <c r="K399" s="4">
        <f t="shared" si="86"/>
        <v>3.5000000000000001E-3</v>
      </c>
      <c r="L399">
        <f t="shared" si="87"/>
        <v>0.02</v>
      </c>
      <c r="M399" s="4">
        <f t="shared" si="84"/>
        <v>0.14000000000000001</v>
      </c>
      <c r="N399" s="4">
        <f t="shared" si="85"/>
        <v>0.8</v>
      </c>
    </row>
    <row r="400" spans="1:14">
      <c r="A400" t="str">
        <f t="shared" si="88"/>
        <v>MK|BR_CN|CIDADESDOFUTURO_MN|NONE_YQ|19Q4_CP|5020004441_SP|N/A_AC|CMKT_OB|AWA</v>
      </c>
      <c r="B400" t="str">
        <f t="shared" si="89"/>
        <v>Facebook</v>
      </c>
      <c r="C400" t="str">
        <f t="shared" si="90"/>
        <v>MK|BR_CH|PSD_DT|CROSS_PB|FCBK_FM|LNK_RT|CPM_PD|CidadesdoFuturo_TG|NON_ST|NON_TS|NONE_SZ|1X1_AD|CM1_IT|SOC_U1|BOAVISTA_U2|AzulEscuro</v>
      </c>
      <c r="D400" t="str">
        <f t="shared" si="91"/>
        <v>256224104</v>
      </c>
      <c r="E400" t="str">
        <f t="shared" si="92"/>
        <v>Dynamic Click</v>
      </c>
      <c r="F400" t="str">
        <f t="shared" si="93"/>
        <v>MK|BR_CH|PSD_DT|CROSS_PB|FCBK_FM|LNK_RT|CPM_PD|CidadesdoFuturo_TG|NON_ST|NON_TS|NONE_SZ|1X1_AD|CM1_IT|SOC_U1|BOAVISTA_U2|AzulEscuro</v>
      </c>
      <c r="G400" t="str">
        <f t="shared" si="94"/>
        <v>452369796</v>
      </c>
      <c r="H400" t="str">
        <f t="shared" si="95"/>
        <v>Tracking</v>
      </c>
      <c r="I400">
        <f t="shared" si="96"/>
        <v>0</v>
      </c>
      <c r="J400">
        <f t="shared" si="97"/>
        <v>1</v>
      </c>
      <c r="K400" s="4">
        <f t="shared" si="86"/>
        <v>3.5000000000000001E-3</v>
      </c>
      <c r="L400">
        <f t="shared" si="87"/>
        <v>0.02</v>
      </c>
      <c r="M400" s="4">
        <f t="shared" si="84"/>
        <v>3.5000000000000001E-3</v>
      </c>
      <c r="N400" s="4">
        <f t="shared" si="85"/>
        <v>0.02</v>
      </c>
    </row>
    <row r="401" spans="1:14">
      <c r="A401" t="str">
        <f t="shared" si="88"/>
        <v>MK|BR_CN|CIDADESDOFUTURO_MN|NONE_YQ|19Q4_CP|5020004441_SP|N/A_AC|CMKT_OB|AWA</v>
      </c>
      <c r="B401" t="str">
        <f t="shared" si="89"/>
        <v>Facebook</v>
      </c>
      <c r="C401" t="str">
        <f t="shared" si="90"/>
        <v>MK|BR_CH|PSD_DT|CROSS_PB|FCBK_FM|LNK_RT|CPM_PD|CidadesdoFuturo_TG|NON_ST|NON_TS|NONE_SZ|1X1_AD|CM1_IT|SOC_U1|BRUSQUE_U2|AzulEscuro</v>
      </c>
      <c r="D401" t="str">
        <f t="shared" si="91"/>
        <v>255145973</v>
      </c>
      <c r="E401" t="str">
        <f t="shared" si="92"/>
        <v>Dynamic Click</v>
      </c>
      <c r="F401" t="str">
        <f t="shared" si="93"/>
        <v>MK|BR_CH|PSD_DT|CROSS_PB|FCBK_FM|LNK_RT|CPM_PD|CidadesdoFuturo_TG|NON_ST|NON_TS|NONE_SZ|1X1_AD|CM1_IT|SOC_U1|CABOFRIO_U2|AzulEscuro</v>
      </c>
      <c r="G401" t="str">
        <f t="shared" si="94"/>
        <v>451491445</v>
      </c>
      <c r="H401" t="str">
        <f t="shared" si="95"/>
        <v>Tracking</v>
      </c>
      <c r="I401">
        <f t="shared" si="96"/>
        <v>0</v>
      </c>
      <c r="J401">
        <f t="shared" si="97"/>
        <v>29</v>
      </c>
      <c r="K401" s="4">
        <f t="shared" si="86"/>
        <v>3.5000000000000001E-3</v>
      </c>
      <c r="L401">
        <f t="shared" si="87"/>
        <v>0.02</v>
      </c>
      <c r="M401" s="4">
        <f t="shared" si="84"/>
        <v>0.10150000000000001</v>
      </c>
      <c r="N401" s="4">
        <f t="shared" si="85"/>
        <v>0.57999999999999996</v>
      </c>
    </row>
    <row r="402" spans="1:14">
      <c r="A402" t="str">
        <f t="shared" si="88"/>
        <v>MK|BR_CN|CIDADESDOFUTURO_MN|NONE_YQ|19Q4_CP|5020004441_SP|N/A_AC|CMKT_OB|AWA</v>
      </c>
      <c r="B402" t="str">
        <f t="shared" si="89"/>
        <v>Facebook</v>
      </c>
      <c r="C402" t="str">
        <f t="shared" si="90"/>
        <v>MK|BR_CH|PSD_DT|CROSS_PB|FCBK_FM|LNK_RT|CPM_PD|CidadesdoFuturo_TG|NON_ST|NON_TS|NONE_SZ|1X1_AD|CM1_IT|SOC_U1|BRUSQUE_U2|AzulEscuro</v>
      </c>
      <c r="D402" t="str">
        <f t="shared" si="91"/>
        <v>255145979</v>
      </c>
      <c r="E402" t="str">
        <f t="shared" si="92"/>
        <v>Dynamic Click</v>
      </c>
      <c r="F402" t="str">
        <f t="shared" si="93"/>
        <v>MK|BR_CH|PSD_DT|CROSS_PB|FCBK_FM|LNK_RT|CPM_PD|CidadesdoFuturo_TG|NON_ST|NON_TS|NONE_SZ|1X1_AD|CM1_IT|SOC_U1|BRUSQUE_U2|AzulEscuro</v>
      </c>
      <c r="G402" t="str">
        <f t="shared" si="94"/>
        <v>451491433</v>
      </c>
      <c r="H402" t="str">
        <f t="shared" si="95"/>
        <v>Tracking</v>
      </c>
      <c r="I402">
        <f t="shared" si="96"/>
        <v>0</v>
      </c>
      <c r="J402">
        <f t="shared" si="97"/>
        <v>63</v>
      </c>
      <c r="K402" s="4">
        <f t="shared" si="86"/>
        <v>3.5000000000000001E-3</v>
      </c>
      <c r="L402">
        <f t="shared" si="87"/>
        <v>0.02</v>
      </c>
      <c r="M402" s="4">
        <f t="shared" si="84"/>
        <v>0.2205</v>
      </c>
      <c r="N402" s="4">
        <f t="shared" si="85"/>
        <v>1.26</v>
      </c>
    </row>
    <row r="403" spans="1:14">
      <c r="A403" t="str">
        <f t="shared" si="88"/>
        <v>MK|BR_CN|CIDADESDOFUTURO_MN|NONE_YQ|19Q4_CP|5020004441_SP|N/A_AC|CMKT_OB|AWA</v>
      </c>
      <c r="B403" t="str">
        <f t="shared" si="89"/>
        <v>Facebook</v>
      </c>
      <c r="C403" t="str">
        <f t="shared" si="90"/>
        <v>MK|BR_CH|PSD_DT|CROSS_PB|FCBK_FM|LNK_RT|CPM_PD|CidadesdoFuturo_TG|NON_ST|NON_TS|NONE_SZ|1X1_AD|CM1_IT|SOC_U1|BRUSQUE_U2|AzulEscuro</v>
      </c>
      <c r="D403" t="str">
        <f t="shared" si="91"/>
        <v>255145985</v>
      </c>
      <c r="E403" t="str">
        <f t="shared" si="92"/>
        <v>Dynamic Click</v>
      </c>
      <c r="F403" t="str">
        <f t="shared" si="93"/>
        <v>MK|BR_CH|PSD_DT|CROSS_PB|FCBK_FM|LNK_RT|CPM_PD|CidadesdoFuturo_TG|NON_ST|NON_TS|NONE_SZ|1X1_AD|CM1_IT|SOC_U1|BRUSQUE_U2|AzulEscuro</v>
      </c>
      <c r="G403" t="str">
        <f t="shared" si="94"/>
        <v>451491418</v>
      </c>
      <c r="H403" t="str">
        <f t="shared" si="95"/>
        <v>Tracking</v>
      </c>
      <c r="I403">
        <f t="shared" si="96"/>
        <v>0</v>
      </c>
      <c r="J403">
        <f t="shared" si="97"/>
        <v>15</v>
      </c>
      <c r="K403" s="4">
        <f t="shared" si="86"/>
        <v>3.5000000000000001E-3</v>
      </c>
      <c r="L403">
        <f t="shared" si="87"/>
        <v>0.02</v>
      </c>
      <c r="M403" s="4">
        <f t="shared" si="84"/>
        <v>5.2499999999999998E-2</v>
      </c>
      <c r="N403" s="4">
        <f t="shared" si="85"/>
        <v>0.3</v>
      </c>
    </row>
    <row r="404" spans="1:14">
      <c r="A404" t="str">
        <f t="shared" si="88"/>
        <v>MK|BR_CN|CIDADESDOFUTURO_MN|NONE_YQ|19Q4_CP|5020004441_SP|N/A_AC|CMKT_OB|AWA</v>
      </c>
      <c r="B404" t="str">
        <f t="shared" si="89"/>
        <v>Facebook</v>
      </c>
      <c r="C404" t="str">
        <f t="shared" si="90"/>
        <v>MK|BR_CH|PSD_DT|CROSS_PB|FCBK_FM|LNK_RT|CPM_PD|CidadesdoFuturo_TG|NON_ST|NON_TS|NONE_SZ|1X1_AD|CM1_IT|SOC_U1|CABOFRIO_U2|AzulEscuro</v>
      </c>
      <c r="D404" t="str">
        <f t="shared" si="91"/>
        <v>256224116</v>
      </c>
      <c r="E404" t="str">
        <f t="shared" si="92"/>
        <v>Dynamic Click</v>
      </c>
      <c r="F404" t="str">
        <f t="shared" si="93"/>
        <v>MK|BR_CH|PSD_DT|CROSS_PB|FCBK_FM|LNK_RT|CPM_PD|CidadesdoFuturo_TG|NON_ST|NON_TS|NONE_SZ|1X1_AD|CM1_IT|SOC_U1|CABOFRIO_U2|AzulEscuro</v>
      </c>
      <c r="G404" t="str">
        <f t="shared" si="94"/>
        <v>452369784</v>
      </c>
      <c r="H404" t="str">
        <f t="shared" si="95"/>
        <v>Tracking</v>
      </c>
      <c r="I404">
        <f t="shared" si="96"/>
        <v>0</v>
      </c>
      <c r="J404">
        <f t="shared" si="97"/>
        <v>1</v>
      </c>
      <c r="K404" s="4">
        <f t="shared" si="86"/>
        <v>3.5000000000000001E-3</v>
      </c>
      <c r="L404">
        <f t="shared" si="87"/>
        <v>0.02</v>
      </c>
      <c r="M404" s="4">
        <f t="shared" si="84"/>
        <v>3.5000000000000001E-3</v>
      </c>
      <c r="N404" s="4">
        <f t="shared" si="85"/>
        <v>0.02</v>
      </c>
    </row>
    <row r="405" spans="1:14">
      <c r="A405" t="str">
        <f t="shared" si="88"/>
        <v>MK|BR_CN|CIDADESDOFUTURO_MN|NONE_YQ|19Q4_CP|5020004441_SP|N/A_AC|CMKT_OB|AWA</v>
      </c>
      <c r="B405" t="str">
        <f t="shared" si="89"/>
        <v>Facebook</v>
      </c>
      <c r="C405" t="str">
        <f t="shared" si="90"/>
        <v>MK|BR_CH|PSD_DT|CROSS_PB|FCBK_FM|LNK_RT|CPM_PD|CidadesdoFuturo_TG|NON_ST|NON_TS|NONE_SZ|1X1_AD|CM1_IT|SOC_U1|CACHOEIRODEITAPEMIRIM_U2|AzulEscuro</v>
      </c>
      <c r="D405" t="str">
        <f t="shared" si="91"/>
        <v>255145961</v>
      </c>
      <c r="E405" t="str">
        <f t="shared" si="92"/>
        <v>Dynamic Click</v>
      </c>
      <c r="F405" t="str">
        <f t="shared" si="93"/>
        <v>MK|BR_CH|PSD_DT|CROSS_PB|FCBK_FM|LNK_RT|CPM_PD|CidadesdoFuturo_TG|NON_ST|NON_TS|NONE_SZ|1X1_AD|CM1_IT|SOC_U1|CACHOEIRODEITAPEMIRIM_U2|AzulEscuro</v>
      </c>
      <c r="G405" t="str">
        <f t="shared" si="94"/>
        <v>451491469</v>
      </c>
      <c r="H405" t="str">
        <f t="shared" si="95"/>
        <v>Tracking</v>
      </c>
      <c r="I405">
        <f t="shared" si="96"/>
        <v>0</v>
      </c>
      <c r="J405">
        <f t="shared" si="97"/>
        <v>21</v>
      </c>
      <c r="K405" s="4">
        <f t="shared" si="86"/>
        <v>3.5000000000000001E-3</v>
      </c>
      <c r="L405">
        <f t="shared" si="87"/>
        <v>0.02</v>
      </c>
      <c r="M405" s="4">
        <f t="shared" si="84"/>
        <v>7.3499999999999996E-2</v>
      </c>
      <c r="N405" s="4">
        <f t="shared" si="85"/>
        <v>0.42</v>
      </c>
    </row>
    <row r="406" spans="1:14">
      <c r="A406" t="str">
        <f t="shared" si="88"/>
        <v>MK|BR_CN|CIDADESDOFUTURO_MN|NONE_YQ|19Q4_CP|5020004441_SP|N/A_AC|CMKT_OB|AWA</v>
      </c>
      <c r="B406" t="str">
        <f t="shared" si="89"/>
        <v>Facebook</v>
      </c>
      <c r="C406" t="str">
        <f t="shared" si="90"/>
        <v>MK|BR_CH|PSD_DT|CROSS_PB|FCBK_FM|LNK_RT|CPM_PD|CidadesdoFuturo_TG|NON_ST|NON_TS|NONE_SZ|1X1_AD|CM1_IT|SOC_U1|CACHOEIRODEITAPEMIRIM_U2|AzulEscuro</v>
      </c>
      <c r="D406" t="str">
        <f t="shared" si="91"/>
        <v>255145967</v>
      </c>
      <c r="E406" t="str">
        <f t="shared" si="92"/>
        <v>Dynamic Click</v>
      </c>
      <c r="F406" t="str">
        <f t="shared" si="93"/>
        <v>MK|BR_CH|PSD_DT|CROSS_PB|FCBK_FM|LNK_RT|CPM_PD|CidadesdoFuturo_TG|NON_ST|NON_TS|NONE_SZ|1X1_AD|CM1_IT|SOC_U1|CACHOEIRODEITAPEMIRIM_U2|AzulEscuro</v>
      </c>
      <c r="G406" t="str">
        <f t="shared" si="94"/>
        <v>451491457</v>
      </c>
      <c r="H406" t="str">
        <f t="shared" si="95"/>
        <v>Tracking</v>
      </c>
      <c r="I406">
        <f t="shared" si="96"/>
        <v>0</v>
      </c>
      <c r="J406">
        <f t="shared" si="97"/>
        <v>49</v>
      </c>
      <c r="K406" s="4">
        <f t="shared" si="86"/>
        <v>3.5000000000000001E-3</v>
      </c>
      <c r="L406">
        <f t="shared" si="87"/>
        <v>0.02</v>
      </c>
      <c r="M406" s="4">
        <f t="shared" si="84"/>
        <v>0.17150000000000001</v>
      </c>
      <c r="N406" s="4">
        <f t="shared" si="85"/>
        <v>0.98</v>
      </c>
    </row>
    <row r="407" spans="1:14">
      <c r="A407" t="str">
        <f t="shared" si="88"/>
        <v>MK|BR_CN|CIDADESDOFUTURO_MN|NONE_YQ|19Q4_CP|5020004441_SP|N/A_AC|CMKT_OB|AWA</v>
      </c>
      <c r="B407" t="str">
        <f t="shared" si="89"/>
        <v>Facebook</v>
      </c>
      <c r="C407" t="str">
        <f t="shared" si="90"/>
        <v>MK|BR_CH|PSD_DT|CROSS_PB|FCBK_FM|LNK_RT|CPM_PD|CidadesdoFuturo_TG|NON_ST|NON_TS|NONE_SZ|1X1_AD|CM1_IT|SOC_U1|CAMPINAGRANDE_U2|AzulEscuro</v>
      </c>
      <c r="D407" t="str">
        <f t="shared" si="91"/>
        <v>255145949</v>
      </c>
      <c r="E407" t="str">
        <f t="shared" si="92"/>
        <v>Dynamic Click</v>
      </c>
      <c r="F407" t="str">
        <f t="shared" si="93"/>
        <v>MK|BR_CH|PSD_DT|CROSS_PB|FCBK_FM|LNK_RT|CPM_PD|CidadesdoFuturo_TG|NON_ST|NON_TS|NONE_SZ|1X1_AD|CM1_IT|SOC_U1|CAMPINAGRANDE_U2|AzulEscuro</v>
      </c>
      <c r="G407" t="str">
        <f t="shared" si="94"/>
        <v>451491496</v>
      </c>
      <c r="H407" t="str">
        <f t="shared" si="95"/>
        <v>Tracking</v>
      </c>
      <c r="I407">
        <f t="shared" si="96"/>
        <v>0</v>
      </c>
      <c r="J407">
        <f t="shared" si="97"/>
        <v>190</v>
      </c>
      <c r="K407" s="4">
        <f t="shared" si="86"/>
        <v>3.5000000000000001E-3</v>
      </c>
      <c r="L407">
        <f t="shared" si="87"/>
        <v>0.02</v>
      </c>
      <c r="M407" s="4">
        <f t="shared" si="84"/>
        <v>0.66500000000000004</v>
      </c>
      <c r="N407" s="4">
        <f t="shared" si="85"/>
        <v>3.8000000000000003</v>
      </c>
    </row>
    <row r="408" spans="1:14">
      <c r="A408" t="str">
        <f t="shared" si="88"/>
        <v>MK|BR_CN|CIDADESDOFUTURO_MN|NONE_YQ|19Q4_CP|5020004441_SP|N/A_AC|CMKT_OB|AWA</v>
      </c>
      <c r="B408" t="str">
        <f t="shared" si="89"/>
        <v>Facebook</v>
      </c>
      <c r="C408" t="str">
        <f t="shared" si="90"/>
        <v>MK|BR_CH|PSD_DT|CROSS_PB|FCBK_FM|LNK_RT|CPM_PD|CidadesdoFuturo_TG|NON_ST|NON_TS|NONE_SZ|1X1_AD|CM1_IT|SOC_U1|CAMPINAGRANDE_U2|AzulEscuro</v>
      </c>
      <c r="D408" t="str">
        <f t="shared" si="91"/>
        <v>255145955</v>
      </c>
      <c r="E408" t="str">
        <f t="shared" si="92"/>
        <v>Dynamic Click</v>
      </c>
      <c r="F408" t="str">
        <f t="shared" si="93"/>
        <v>MK|BR_CH|PSD_DT|CROSS_PB|FCBK_FM|LNK_RT|CPM_PD|CidadesdoFuturo_TG|NON_ST|NON_TS|NONE_SZ|1X1_AD|CM1_IT|SOC_U1|CAMPINAGRANDE_U2|AzulEscuro</v>
      </c>
      <c r="G408" t="str">
        <f t="shared" si="94"/>
        <v>451491481</v>
      </c>
      <c r="H408" t="str">
        <f t="shared" si="95"/>
        <v>Tracking</v>
      </c>
      <c r="I408">
        <f t="shared" si="96"/>
        <v>0</v>
      </c>
      <c r="J408">
        <f t="shared" si="97"/>
        <v>93</v>
      </c>
      <c r="K408" s="4">
        <f t="shared" si="86"/>
        <v>3.5000000000000001E-3</v>
      </c>
      <c r="L408">
        <f t="shared" si="87"/>
        <v>0.02</v>
      </c>
      <c r="M408" s="4">
        <f t="shared" si="84"/>
        <v>0.32550000000000001</v>
      </c>
      <c r="N408" s="4">
        <f t="shared" si="85"/>
        <v>1.86</v>
      </c>
    </row>
    <row r="409" spans="1:14">
      <c r="A409" t="str">
        <f t="shared" si="88"/>
        <v>MK|BR_CN|CIDADESDOFUTURO_MN|NONE_YQ|19Q4_CP|5020004441_SP|N/A_AC|CMKT_OB|AWA</v>
      </c>
      <c r="B409" t="str">
        <f t="shared" si="89"/>
        <v>Facebook</v>
      </c>
      <c r="C409" t="str">
        <f t="shared" si="90"/>
        <v>MK|BR_CH|PSD_DT|CROSS_PB|FCBK_FM|LNK_RT|CPM_PD|CidadesdoFuturo_TG|NON_ST|NON_TS|NONE_SZ|1X1_AD|CM1_IT|SOC_U1|CAMPOSDOSGOYTACAZES_U2|AzulEscuro</v>
      </c>
      <c r="D409" t="str">
        <f t="shared" si="91"/>
        <v>255145943</v>
      </c>
      <c r="E409" t="str">
        <f t="shared" si="92"/>
        <v>Dynamic Click</v>
      </c>
      <c r="F409" t="str">
        <f t="shared" si="93"/>
        <v>MK|BR_CH|PSD_DT|CROSS_PB|FCBK_FM|LNK_RT|CPM_PD|CidadesdoFuturo_TG|NON_ST|NON_TS|NONE_SZ|1X1_AD|CM1_IT|SOC_U1|CAMPOSDOSGOYTACAZES_U2|AzulEscuro</v>
      </c>
      <c r="G409" t="str">
        <f t="shared" si="94"/>
        <v>451491508</v>
      </c>
      <c r="H409" t="str">
        <f t="shared" si="95"/>
        <v>Tracking</v>
      </c>
      <c r="I409">
        <f t="shared" si="96"/>
        <v>0</v>
      </c>
      <c r="J409">
        <f t="shared" si="97"/>
        <v>140</v>
      </c>
      <c r="K409" s="4">
        <f t="shared" si="86"/>
        <v>3.5000000000000001E-3</v>
      </c>
      <c r="L409">
        <f t="shared" si="87"/>
        <v>0.02</v>
      </c>
      <c r="M409" s="4">
        <f t="shared" si="84"/>
        <v>0.49</v>
      </c>
      <c r="N409" s="4">
        <f t="shared" si="85"/>
        <v>2.8000000000000003</v>
      </c>
    </row>
    <row r="410" spans="1:14">
      <c r="A410" t="str">
        <f t="shared" si="88"/>
        <v>MK|BR_CN|CIDADESDOFUTURO_MN|NONE_YQ|19Q4_CP|5020004441_SP|N/A_AC|CMKT_OB|AWA</v>
      </c>
      <c r="B410" t="str">
        <f t="shared" si="89"/>
        <v>Facebook</v>
      </c>
      <c r="C410" t="str">
        <f t="shared" si="90"/>
        <v>MK|BR_CH|PSD_DT|CROSS_PB|FCBK_FM|LNK_RT|CPM_PD|CidadesdoFuturo_TG|NON_ST|NON_TS|NONE_SZ|1X1_AD|CM1_IT|SOC_U1|CARUARU_U2|AzulEscuro</v>
      </c>
      <c r="D410" t="str">
        <f t="shared" si="91"/>
        <v>255145925</v>
      </c>
      <c r="E410" t="str">
        <f t="shared" si="92"/>
        <v>Dynamic Click</v>
      </c>
      <c r="F410" t="str">
        <f t="shared" si="93"/>
        <v>MK|BR_CH|PSD_DT|CROSS_PB|FCBK_FM|LNK_RT|CPM_PD|CidadesdoFuturo_TG|NON_ST|NON_TS|NONE_SZ|1X1_AD|CM1_IT|SOC_U1|CARUARU_U2|AzulEscuro</v>
      </c>
      <c r="G410" t="str">
        <f t="shared" si="94"/>
        <v>451491547</v>
      </c>
      <c r="H410" t="str">
        <f t="shared" si="95"/>
        <v>Tracking</v>
      </c>
      <c r="I410">
        <f t="shared" si="96"/>
        <v>0</v>
      </c>
      <c r="J410">
        <f t="shared" si="97"/>
        <v>44</v>
      </c>
      <c r="K410" s="4">
        <f t="shared" si="86"/>
        <v>3.5000000000000001E-3</v>
      </c>
      <c r="L410">
        <f t="shared" si="87"/>
        <v>0.02</v>
      </c>
      <c r="M410" s="4">
        <f t="shared" si="84"/>
        <v>0.154</v>
      </c>
      <c r="N410" s="4">
        <f t="shared" si="85"/>
        <v>0.88</v>
      </c>
    </row>
    <row r="411" spans="1:14">
      <c r="A411" t="str">
        <f t="shared" si="88"/>
        <v>MK|BR_CN|CIDADESDOFUTURO_MN|NONE_YQ|19Q4_CP|5020004441_SP|N/A_AC|CMKT_OB|AWA</v>
      </c>
      <c r="B411" t="str">
        <f t="shared" si="89"/>
        <v>Facebook</v>
      </c>
      <c r="C411" t="str">
        <f t="shared" si="90"/>
        <v>MK|BR_CH|PSD_DT|CROSS_PB|FCBK_FM|LNK_RT|CPM_PD|CidadesdoFuturo_TG|NON_ST|NON_TS|NONE_SZ|1X1_AD|CM1_IT|SOC_U1|CARUARU_U2|AzulEscuro</v>
      </c>
      <c r="D411" t="str">
        <f t="shared" si="91"/>
        <v>256224140</v>
      </c>
      <c r="E411" t="str">
        <f t="shared" si="92"/>
        <v>Dynamic Click</v>
      </c>
      <c r="F411" t="str">
        <f t="shared" si="93"/>
        <v>MK|BR_CH|PSD_DT|CROSS_PB|FCBK_FM|LNK_RT|CPM_PD|CidadesdoFuturo_TG|NON_ST|NON_TS|NONE_SZ|1X1_AD|CM1_IT|SOC_U1|CARUARU_U2|AzulEscuro</v>
      </c>
      <c r="G411" t="str">
        <f t="shared" si="94"/>
        <v>452369760</v>
      </c>
      <c r="H411" t="str">
        <f t="shared" si="95"/>
        <v>Tracking</v>
      </c>
      <c r="I411">
        <f t="shared" si="96"/>
        <v>0</v>
      </c>
      <c r="J411">
        <f t="shared" si="97"/>
        <v>2</v>
      </c>
      <c r="K411" s="4">
        <f t="shared" si="86"/>
        <v>3.5000000000000001E-3</v>
      </c>
      <c r="L411">
        <f t="shared" si="87"/>
        <v>0.02</v>
      </c>
      <c r="M411" s="4">
        <f t="shared" si="84"/>
        <v>7.0000000000000001E-3</v>
      </c>
      <c r="N411" s="4">
        <f t="shared" si="85"/>
        <v>0.04</v>
      </c>
    </row>
    <row r="412" spans="1:14">
      <c r="A412" t="str">
        <f t="shared" si="88"/>
        <v>MK|BR_CN|CIDADESDOFUTURO_MN|NONE_YQ|19Q4_CP|5020004441_SP|N/A_AC|CMKT_OB|AWA</v>
      </c>
      <c r="B412" t="str">
        <f t="shared" si="89"/>
        <v>Facebook</v>
      </c>
      <c r="C412" t="str">
        <f t="shared" si="90"/>
        <v>MK|BR_CH|PSD_DT|CROSS_PB|FCBK_FM|LNK_RT|CPM_PD|CidadesdoFuturo_TG|NON_ST|NON_TS|NONE_SZ|1X1_AD|CM1_IT|SOC_U1|CASCAVEL_U2|AzulEscuro</v>
      </c>
      <c r="D412" t="str">
        <f t="shared" si="91"/>
        <v>255145913</v>
      </c>
      <c r="E412" t="str">
        <f t="shared" si="92"/>
        <v>Dynamic Click</v>
      </c>
      <c r="F412" t="str">
        <f t="shared" si="93"/>
        <v>MK|BR_CH|PSD_DT|CROSS_PB|FCBK_FM|LNK_RT|CPM_PD|CidadesdoFuturo_TG|NON_ST|NON_TS|NONE_SZ|1X1_AD|CM1_IT|SOC_U1|CASCAVEL_U2|AzulEscuro</v>
      </c>
      <c r="G412" t="str">
        <f t="shared" si="94"/>
        <v>451491574</v>
      </c>
      <c r="H412" t="str">
        <f t="shared" si="95"/>
        <v>Tracking</v>
      </c>
      <c r="I412">
        <f t="shared" si="96"/>
        <v>0</v>
      </c>
      <c r="J412">
        <f t="shared" si="97"/>
        <v>32</v>
      </c>
      <c r="K412" s="4">
        <f t="shared" si="86"/>
        <v>3.5000000000000001E-3</v>
      </c>
      <c r="L412">
        <f t="shared" si="87"/>
        <v>0.02</v>
      </c>
      <c r="M412" s="4">
        <f t="shared" si="84"/>
        <v>0.112</v>
      </c>
      <c r="N412" s="4">
        <f t="shared" si="85"/>
        <v>0.64</v>
      </c>
    </row>
    <row r="413" spans="1:14">
      <c r="A413" t="str">
        <f t="shared" si="88"/>
        <v>MK|BR_CN|CIDADESDOFUTURO_MN|NONE_YQ|19Q4_CP|5020004441_SP|N/A_AC|CMKT_OB|AWA</v>
      </c>
      <c r="B413" t="str">
        <f t="shared" si="89"/>
        <v>Facebook</v>
      </c>
      <c r="C413" t="str">
        <f t="shared" si="90"/>
        <v>MK|BR_CH|PSD_DT|CROSS_PB|FCBK_FM|LNK_RT|CPM_PD|CidadesdoFuturo_TG|NON_ST|NON_TS|NONE_SZ|1X1_AD|CM1_IT|SOC_U1|CATANDUVA_U2|AzulEscuro</v>
      </c>
      <c r="D413" t="str">
        <f t="shared" si="91"/>
        <v>255145901</v>
      </c>
      <c r="E413" t="str">
        <f t="shared" si="92"/>
        <v>Dynamic Click</v>
      </c>
      <c r="F413" t="str">
        <f t="shared" si="93"/>
        <v>MK|BR_CH|PSD_DT|CROSS_PB|FCBK_FM|LNK_RT|CPM_PD|CidadesdoFuturo_TG|NON_ST|NON_TS|NONE_SZ|1X1_AD|CM1_IT|SOC_U1|CATANDUVA_U2|AzulEscuro</v>
      </c>
      <c r="G413" t="str">
        <f t="shared" si="94"/>
        <v>451396530</v>
      </c>
      <c r="H413" t="str">
        <f t="shared" si="95"/>
        <v>Tracking</v>
      </c>
      <c r="I413">
        <f t="shared" si="96"/>
        <v>0</v>
      </c>
      <c r="J413">
        <f t="shared" si="97"/>
        <v>9</v>
      </c>
      <c r="K413" s="4">
        <f t="shared" si="86"/>
        <v>3.5000000000000001E-3</v>
      </c>
      <c r="L413">
        <f t="shared" si="87"/>
        <v>0.02</v>
      </c>
      <c r="M413" s="4">
        <f t="shared" si="84"/>
        <v>3.15E-2</v>
      </c>
      <c r="N413" s="4">
        <f t="shared" si="85"/>
        <v>0.18</v>
      </c>
    </row>
    <row r="414" spans="1:14">
      <c r="A414" t="str">
        <f t="shared" si="88"/>
        <v>MK|BR_CN|CIDADESDOFUTURO_MN|NONE_YQ|19Q4_CP|5020004441_SP|N/A_AC|CMKT_OB|AWA</v>
      </c>
      <c r="B414" t="str">
        <f t="shared" si="89"/>
        <v>Facebook</v>
      </c>
      <c r="C414" t="str">
        <f t="shared" si="90"/>
        <v>MK|BR_CH|PSD_DT|CROSS_PB|FCBK_FM|LNK_RT|CPM_PD|CidadesdoFuturo_TG|NON_ST|NON_TS|NONE_SZ|1X1_AD|CM1_IT|SOC_U1|COLATINA_U2|AzulEscuro</v>
      </c>
      <c r="D414" t="str">
        <f t="shared" si="91"/>
        <v>256224158</v>
      </c>
      <c r="E414" t="str">
        <f t="shared" si="92"/>
        <v>Dynamic Click</v>
      </c>
      <c r="F414" t="str">
        <f t="shared" si="93"/>
        <v>MK|BR_CH|PSD_DT|CROSS_PB|FCBK_FM|LNK_RT|CPM_PD|CidadesdoFuturo_TG|NON_ST|NON_TS|NONE_SZ|1X1_AD|CM1_IT|SOC_U1|COLATINA_U2|AzulEscuro</v>
      </c>
      <c r="G414" t="str">
        <f t="shared" si="94"/>
        <v>452369742</v>
      </c>
      <c r="H414" t="str">
        <f t="shared" si="95"/>
        <v>Tracking</v>
      </c>
      <c r="I414">
        <f t="shared" si="96"/>
        <v>0</v>
      </c>
      <c r="J414">
        <f t="shared" si="97"/>
        <v>1</v>
      </c>
      <c r="K414" s="4">
        <f t="shared" si="86"/>
        <v>3.5000000000000001E-3</v>
      </c>
      <c r="L414">
        <f t="shared" si="87"/>
        <v>0.02</v>
      </c>
      <c r="M414" s="4">
        <f t="shared" si="84"/>
        <v>3.5000000000000001E-3</v>
      </c>
      <c r="N414" s="4">
        <f t="shared" si="85"/>
        <v>0.02</v>
      </c>
    </row>
    <row r="415" spans="1:14">
      <c r="A415" t="str">
        <f t="shared" si="88"/>
        <v>MK|BR_CN|CIDADESDOFUTURO_MN|NONE_YQ|19Q4_CP|5020004441_SP|N/A_AC|CMKT_OB|AWA</v>
      </c>
      <c r="B415" t="str">
        <f t="shared" si="89"/>
        <v>Facebook</v>
      </c>
      <c r="C415" t="str">
        <f t="shared" si="90"/>
        <v>MK|BR_CH|PSD_DT|CROSS_PB|FCBK_FM|LNK_RT|CPM_PD|CidadesdoFuturo_TG|NON_ST|NON_TS|NONE_SZ|1X1_AD|CM1_IT|SOC_U1|CONSELHEIROLAFAIETE_U2|AzulEscuro</v>
      </c>
      <c r="D415" t="str">
        <f t="shared" si="91"/>
        <v>255476617</v>
      </c>
      <c r="E415" t="str">
        <f t="shared" si="92"/>
        <v>Dynamic Click</v>
      </c>
      <c r="F415" t="str">
        <f t="shared" si="93"/>
        <v>MK|BR_CH|PSD_DT|CROSS_PB|FCBK_FM|LNK_RT|CPM_PD|CidadesdoFuturo_TG|NON_ST|NON_TS|NONE_SZ|1X1_AD|CM1_IT|SOC_U1|CONSELHEIROLAFAIETE_U2|AzulEscuro</v>
      </c>
      <c r="G415" t="str">
        <f t="shared" si="94"/>
        <v>451396581</v>
      </c>
      <c r="H415" t="str">
        <f t="shared" si="95"/>
        <v>Tracking</v>
      </c>
      <c r="I415">
        <f t="shared" si="96"/>
        <v>0</v>
      </c>
      <c r="J415">
        <f t="shared" si="97"/>
        <v>13</v>
      </c>
      <c r="K415" s="4">
        <f t="shared" si="86"/>
        <v>3.5000000000000001E-3</v>
      </c>
      <c r="L415">
        <f t="shared" si="87"/>
        <v>0.02</v>
      </c>
      <c r="M415" s="4">
        <f t="shared" si="84"/>
        <v>4.5499999999999999E-2</v>
      </c>
      <c r="N415" s="4">
        <f t="shared" si="85"/>
        <v>0.26</v>
      </c>
    </row>
    <row r="416" spans="1:14">
      <c r="A416" t="str">
        <f t="shared" si="88"/>
        <v>MK|BR_CN|CIDADESDOFUTURO_MN|NONE_YQ|19Q4_CP|5020004441_SP|N/A_AC|CMKT_OB|AWA</v>
      </c>
      <c r="B416" t="str">
        <f t="shared" si="89"/>
        <v>Facebook</v>
      </c>
      <c r="C416" t="str">
        <f t="shared" si="90"/>
        <v>MK|BR_CH|PSD_DT|CROSS_PB|FCBK_FM|LNK_RT|CPM_PD|CidadesdoFuturo_TG|NON_ST|NON_TS|NONE_SZ|1X1_AD|CM1_IT|SOC_U1|CORUMBA_U2|AzulEscuro</v>
      </c>
      <c r="D416" t="str">
        <f t="shared" si="91"/>
        <v>255476605</v>
      </c>
      <c r="E416" t="str">
        <f t="shared" si="92"/>
        <v>Dynamic Click</v>
      </c>
      <c r="F416" t="str">
        <f t="shared" si="93"/>
        <v>MK|BR_CH|PSD_DT|CROSS_PB|FCBK_FM|LNK_RT|CPM_PD|CidadesdoFuturo_TG|NON_ST|NON_TS|NONE_SZ|1X1_AD|CM1_IT|SOC_U1|CORUMBA_U2|AzulEscuro</v>
      </c>
      <c r="G416" t="str">
        <f t="shared" si="94"/>
        <v>451396605</v>
      </c>
      <c r="H416" t="str">
        <f t="shared" si="95"/>
        <v>Tracking</v>
      </c>
      <c r="I416">
        <f t="shared" si="96"/>
        <v>0</v>
      </c>
      <c r="J416">
        <f t="shared" si="97"/>
        <v>10</v>
      </c>
      <c r="K416" s="4">
        <f t="shared" si="86"/>
        <v>3.5000000000000001E-3</v>
      </c>
      <c r="L416">
        <f t="shared" si="87"/>
        <v>0.02</v>
      </c>
      <c r="M416" s="4">
        <f t="shared" si="84"/>
        <v>3.5000000000000003E-2</v>
      </c>
      <c r="N416" s="4">
        <f t="shared" si="85"/>
        <v>0.2</v>
      </c>
    </row>
    <row r="417" spans="1:14">
      <c r="A417" t="str">
        <f t="shared" si="88"/>
        <v>MK|BR_CN|CIDADESDOFUTURO_MN|NONE_YQ|19Q4_CP|5020004441_SP|N/A_AC|CMKT_OB|AWA</v>
      </c>
      <c r="B417" t="str">
        <f t="shared" si="89"/>
        <v>Facebook</v>
      </c>
      <c r="C417" t="str">
        <f t="shared" si="90"/>
        <v>MK|BR_CH|PSD_DT|CROSS_PB|FCBK_FM|LNK_RT|CPM_PD|CidadesdoFuturo_TG|NON_ST|NON_TS|NONE_SZ|1X1_AD|CM1_IT|SOC_U1|CORUMBA_U2|AzulEscuro</v>
      </c>
      <c r="D417" t="str">
        <f t="shared" si="91"/>
        <v>256224173</v>
      </c>
      <c r="E417" t="str">
        <f t="shared" si="92"/>
        <v>Dynamic Click</v>
      </c>
      <c r="F417" t="str">
        <f t="shared" si="93"/>
        <v>MK|BR_CH|PSD_DT|CROSS_PB|FCBK_FM|LNK_RT|CPM_PD|CidadesdoFuturo_TG|NON_ST|NON_TS|NONE_SZ|1X1_AD|CM1_IT|SOC_U1|CORUMBA_U2|AzulEscuro</v>
      </c>
      <c r="G417" t="str">
        <f t="shared" si="94"/>
        <v>452369727</v>
      </c>
      <c r="H417" t="str">
        <f t="shared" si="95"/>
        <v>Tracking</v>
      </c>
      <c r="I417">
        <f t="shared" si="96"/>
        <v>0</v>
      </c>
      <c r="J417">
        <f t="shared" si="97"/>
        <v>2</v>
      </c>
      <c r="K417" s="4">
        <f t="shared" si="86"/>
        <v>3.5000000000000001E-3</v>
      </c>
      <c r="L417">
        <f t="shared" si="87"/>
        <v>0.02</v>
      </c>
      <c r="M417" s="4">
        <f t="shared" si="84"/>
        <v>7.0000000000000001E-3</v>
      </c>
      <c r="N417" s="4">
        <f t="shared" si="85"/>
        <v>0.04</v>
      </c>
    </row>
    <row r="418" spans="1:14">
      <c r="A418" t="str">
        <f t="shared" si="88"/>
        <v>MK|BR_CN|CIDADESDOFUTURO_MN|NONE_YQ|19Q4_CP|5020004441_SP|N/A_AC|CMKT_OB|AWA</v>
      </c>
      <c r="B418" t="str">
        <f t="shared" si="89"/>
        <v>Facebook</v>
      </c>
      <c r="C418" t="str">
        <f t="shared" si="90"/>
        <v>MK|BR_CH|PSD_DT|CROSS_PB|FCBK_FM|LNK_RT|CPM_PD|CidadesdoFuturo_TG|NON_ST|NON_TS|NONE_SZ|1X1_AD|CM1_IT|SOC_U1|Colatina_U2|AzulEscuro</v>
      </c>
      <c r="D418" t="str">
        <f t="shared" si="91"/>
        <v>255145889</v>
      </c>
      <c r="E418" t="str">
        <f t="shared" si="92"/>
        <v>Dynamic Click</v>
      </c>
      <c r="F418" t="str">
        <f t="shared" si="93"/>
        <v>MK|BR_CH|PSD_DT|CROSS_PB|FCBK_FM|LNK_RT|CPM_PD|CidadesdoFuturo_TG|NON_ST|NON_TS|NONE_SZ|1X1_AD|CM1_IT|SOC_U1|COLATINA_U2|AzulEscuro</v>
      </c>
      <c r="G418" t="str">
        <f t="shared" si="94"/>
        <v>451396557</v>
      </c>
      <c r="H418" t="str">
        <f t="shared" si="95"/>
        <v>Tracking</v>
      </c>
      <c r="I418">
        <f t="shared" si="96"/>
        <v>0</v>
      </c>
      <c r="J418">
        <f t="shared" si="97"/>
        <v>14</v>
      </c>
      <c r="K418" s="4">
        <f t="shared" si="86"/>
        <v>3.5000000000000001E-3</v>
      </c>
      <c r="L418">
        <f t="shared" si="87"/>
        <v>0.02</v>
      </c>
      <c r="M418" s="4">
        <f t="shared" ref="M418:M481" si="98">IF(E418="Dynamic Click",J418*K418,K418*$I418/1000)</f>
        <v>4.9000000000000002E-2</v>
      </c>
      <c r="N418" s="4">
        <f t="shared" ref="N418:N481" si="99">IF(E418="Dynamic Click",J418*L418,L418*$I418/1000)</f>
        <v>0.28000000000000003</v>
      </c>
    </row>
    <row r="419" spans="1:14">
      <c r="A419" t="str">
        <f t="shared" si="88"/>
        <v>MK|BR_CN|CIDADESDOFUTURO_MN|NONE_YQ|19Q4_CP|5020004441_SP|N/A_AC|CMKT_OB|AWA</v>
      </c>
      <c r="B419" t="str">
        <f t="shared" si="89"/>
        <v>Facebook</v>
      </c>
      <c r="C419" t="str">
        <f t="shared" si="90"/>
        <v>MK|BR_CH|PSD_DT|CROSS_PB|FCBK_FM|LNK_RT|CPM_PD|CidadesdoFuturo_TG|NON_ST|NON_TS|NONE_SZ|1X1_AD|CM1_IT|SOC_U1|DIVINOPOLIS_U2|AzulEscuro</v>
      </c>
      <c r="D419" t="str">
        <f t="shared" si="91"/>
        <v>255476593</v>
      </c>
      <c r="E419" t="str">
        <f t="shared" si="92"/>
        <v>Dynamic Click</v>
      </c>
      <c r="F419" t="str">
        <f t="shared" si="93"/>
        <v>MK|BR_CH|PSD_DT|CROSS_PB|FCBK_FM|LNK_RT|CPM_PD|CidadesdoFuturo_TG|NON_ST|NON_TS|NONE_SZ|1X1_AD|CM1_IT|SOC_U1|DIVINOPOLIS_U2|AzulEscuro</v>
      </c>
      <c r="G419" t="str">
        <f t="shared" si="94"/>
        <v>451396632</v>
      </c>
      <c r="H419" t="str">
        <f t="shared" si="95"/>
        <v>Tracking</v>
      </c>
      <c r="I419">
        <f t="shared" si="96"/>
        <v>0</v>
      </c>
      <c r="J419">
        <f t="shared" si="97"/>
        <v>14</v>
      </c>
      <c r="K419" s="4">
        <f t="shared" si="86"/>
        <v>3.5000000000000001E-3</v>
      </c>
      <c r="L419">
        <f t="shared" si="87"/>
        <v>0.02</v>
      </c>
      <c r="M419" s="4">
        <f t="shared" si="98"/>
        <v>4.9000000000000002E-2</v>
      </c>
      <c r="N419" s="4">
        <f t="shared" si="99"/>
        <v>0.28000000000000003</v>
      </c>
    </row>
    <row r="420" spans="1:14">
      <c r="A420" t="str">
        <f t="shared" si="88"/>
        <v>MK|BR_CN|CIDADESDOFUTURO_MN|NONE_YQ|19Q4_CP|5020004441_SP|N/A_AC|CMKT_OB|AWA</v>
      </c>
      <c r="B420" t="str">
        <f t="shared" si="89"/>
        <v>Facebook</v>
      </c>
      <c r="C420" t="str">
        <f t="shared" si="90"/>
        <v>MK|BR_CH|PSD_DT|CROSS_PB|FCBK_FM|LNK_RT|CPM_PD|CidadesdoFuturo_TG|NON_ST|NON_TS|NONE_SZ|1X1_AD|CM1_IT|SOC_U1|DIVINOPOLIS_U2|AzulEscuro</v>
      </c>
      <c r="D420" t="str">
        <f t="shared" si="91"/>
        <v>256224179</v>
      </c>
      <c r="E420" t="str">
        <f t="shared" si="92"/>
        <v>Dynamic Click</v>
      </c>
      <c r="F420" t="str">
        <f t="shared" si="93"/>
        <v>MK|BR_CH|PSD_DT|CROSS_PB|FCBK_FM|LNK_RT|CPM_PD|CidadesdoFuturo_TG|NON_ST|NON_TS|NONE_SZ|1X1_AD|CM1_IT|SOC_U1|DIVINOPOLIS_U2|AzulEscuro</v>
      </c>
      <c r="G420" t="str">
        <f t="shared" si="94"/>
        <v>452369721</v>
      </c>
      <c r="H420" t="str">
        <f t="shared" si="95"/>
        <v>Tracking</v>
      </c>
      <c r="I420">
        <f t="shared" si="96"/>
        <v>0</v>
      </c>
      <c r="J420">
        <f t="shared" si="97"/>
        <v>1</v>
      </c>
      <c r="K420" s="4">
        <f t="shared" si="86"/>
        <v>3.5000000000000001E-3</v>
      </c>
      <c r="L420">
        <f t="shared" si="87"/>
        <v>0.02</v>
      </c>
      <c r="M420" s="4">
        <f t="shared" si="98"/>
        <v>3.5000000000000001E-3</v>
      </c>
      <c r="N420" s="4">
        <f t="shared" si="99"/>
        <v>0.02</v>
      </c>
    </row>
    <row r="421" spans="1:14">
      <c r="A421" t="str">
        <f t="shared" si="88"/>
        <v>MK|BR_CN|CIDADESDOFUTURO_MN|NONE_YQ|19Q4_CP|5020004441_SP|N/A_AC|CMKT_OB|AWA</v>
      </c>
      <c r="B421" t="str">
        <f t="shared" si="89"/>
        <v>Facebook</v>
      </c>
      <c r="C421" t="str">
        <f t="shared" si="90"/>
        <v>MK|BR_CH|PSD_DT|CROSS_PB|FCBK_FM|LNK_RT|CPM_PD|CidadesdoFuturo_TG|NON_ST|NON_TS|NONE_SZ|1X1_AD|CM1_IT|SOC_U1|FEIRADESANTANA_U2|AzulEscuro</v>
      </c>
      <c r="D421" t="str">
        <f t="shared" si="91"/>
        <v>255471061</v>
      </c>
      <c r="E421" t="str">
        <f t="shared" si="92"/>
        <v>Dynamic Click</v>
      </c>
      <c r="F421" t="str">
        <f t="shared" si="93"/>
        <v>MK|BR_CH|PSD_DT|CROSS_PB|FCBK_FM|LNK_RT|CPM_PD|CidadesdoFuturo_TG|NON_ST|NON_TS|NONE_SZ|1X1_AD|CM1_IT|SOC_U1|FEIRADESANTANA_U2|AzulEscuro</v>
      </c>
      <c r="G421" t="str">
        <f t="shared" si="94"/>
        <v>451397550</v>
      </c>
      <c r="H421" t="str">
        <f t="shared" si="95"/>
        <v>Tracking</v>
      </c>
      <c r="I421">
        <f t="shared" si="96"/>
        <v>0</v>
      </c>
      <c r="J421">
        <f t="shared" si="97"/>
        <v>100</v>
      </c>
      <c r="K421" s="4">
        <f t="shared" si="86"/>
        <v>3.5000000000000001E-3</v>
      </c>
      <c r="L421">
        <f t="shared" si="87"/>
        <v>0.02</v>
      </c>
      <c r="M421" s="4">
        <f t="shared" si="98"/>
        <v>0.35000000000000003</v>
      </c>
      <c r="N421" s="4">
        <f t="shared" si="99"/>
        <v>2</v>
      </c>
    </row>
    <row r="422" spans="1:14">
      <c r="A422" t="str">
        <f t="shared" si="88"/>
        <v>MK|BR_CN|CIDADESDOFUTURO_MN|NONE_YQ|19Q4_CP|5020004441_SP|N/A_AC|CMKT_OB|AWA</v>
      </c>
      <c r="B422" t="str">
        <f t="shared" si="89"/>
        <v>Facebook</v>
      </c>
      <c r="C422" t="str">
        <f t="shared" si="90"/>
        <v>MK|BR_CH|PSD_DT|CROSS_PB|FCBK_FM|LNK_RT|CPM_PD|CidadesdoFuturo_TG|NON_ST|NON_TS|NONE_SZ|1X1_AD|CM1_IT|SOC_U1|FEIRADESANTANA_U2|AzulEscuro</v>
      </c>
      <c r="D422" t="str">
        <f t="shared" si="91"/>
        <v>256665405</v>
      </c>
      <c r="E422" t="str">
        <f t="shared" si="92"/>
        <v>Dynamic Click</v>
      </c>
      <c r="F422" t="str">
        <f t="shared" si="93"/>
        <v>MK|BR_CH|PSD_DT|CROSS_PB|FCBK_FM|LNK_RT|CPM_PD|CidadesdoFuturo_TG|NON_ST|NON_TS|NONE_SZ|1X1_AD|CM1_IT|SOC_U1|FEIRADESANTANA_U2|AzulEscuro</v>
      </c>
      <c r="G422" t="str">
        <f t="shared" si="94"/>
        <v>452475202</v>
      </c>
      <c r="H422" t="str">
        <f t="shared" si="95"/>
        <v>Tracking</v>
      </c>
      <c r="I422">
        <f t="shared" si="96"/>
        <v>0</v>
      </c>
      <c r="J422">
        <f t="shared" si="97"/>
        <v>1</v>
      </c>
      <c r="K422" s="4">
        <f t="shared" si="86"/>
        <v>3.5000000000000001E-3</v>
      </c>
      <c r="L422">
        <f t="shared" si="87"/>
        <v>0.02</v>
      </c>
      <c r="M422" s="4">
        <f t="shared" si="98"/>
        <v>3.5000000000000001E-3</v>
      </c>
      <c r="N422" s="4">
        <f t="shared" si="99"/>
        <v>0.02</v>
      </c>
    </row>
    <row r="423" spans="1:14">
      <c r="A423" t="str">
        <f t="shared" si="88"/>
        <v>MK|BR_CN|CIDADESDOFUTURO_MN|NONE_YQ|19Q4_CP|5020004441_SP|N/A_AC|CMKT_OB|AWA</v>
      </c>
      <c r="B423" t="str">
        <f t="shared" si="89"/>
        <v>Facebook</v>
      </c>
      <c r="C423" t="str">
        <f t="shared" si="90"/>
        <v>MK|BR_CH|PSD_DT|CROSS_PB|FCBK_FM|LNK_RT|CPM_PD|CidadesdoFuturo_TG|NON_ST|NON_TS|NONE_SZ|1X1_AD|CM1_IT|SOC_U1|GOVERNADORVALADARES_U2|AzulEscuro</v>
      </c>
      <c r="D423" t="str">
        <f t="shared" si="91"/>
        <v>256224185</v>
      </c>
      <c r="E423" t="str">
        <f t="shared" si="92"/>
        <v>Dynamic Click</v>
      </c>
      <c r="F423" t="str">
        <f t="shared" si="93"/>
        <v>MK|BR_CH|PSD_DT|CROSS_PB|FCBK_FM|LNK_RT|CPM_PD|CidadesdoFuturo_TG|NON_ST|NON_TS|NONE_SZ|1X1_AD|CM1_IT|SOC_U1|GOVERNADORVALADARES_U2|AzulEscuro</v>
      </c>
      <c r="G423" t="str">
        <f t="shared" si="94"/>
        <v>452369715</v>
      </c>
      <c r="H423" t="str">
        <f t="shared" si="95"/>
        <v>Tracking</v>
      </c>
      <c r="I423">
        <f t="shared" si="96"/>
        <v>0</v>
      </c>
      <c r="J423">
        <f t="shared" si="97"/>
        <v>1</v>
      </c>
      <c r="K423" s="4">
        <f t="shared" si="86"/>
        <v>3.5000000000000001E-3</v>
      </c>
      <c r="L423">
        <f t="shared" si="87"/>
        <v>0.02</v>
      </c>
      <c r="M423" s="4">
        <f t="shared" si="98"/>
        <v>3.5000000000000001E-3</v>
      </c>
      <c r="N423" s="4">
        <f t="shared" si="99"/>
        <v>0.02</v>
      </c>
    </row>
    <row r="424" spans="1:14">
      <c r="A424" t="str">
        <f t="shared" si="88"/>
        <v>MK|BR_CN|CIDADESDOFUTURO_MN|NONE_YQ|19Q4_CP|5020004441_SP|N/A_AC|CMKT_OB|AWA</v>
      </c>
      <c r="B424" t="str">
        <f t="shared" si="89"/>
        <v>Facebook</v>
      </c>
      <c r="C424" t="str">
        <f t="shared" si="90"/>
        <v>MK|BR_CH|PSD_DT|CROSS_PB|FCBK_FM|LNK_RT|CPM_PD|CidadesdoFuturo_TG|NON_ST|NON_TS|NONE_SZ|1X1_AD|CM1_IT|SOC_U1|GUARAPUAVA_U2|AzulEscuro</v>
      </c>
      <c r="D424" t="str">
        <f t="shared" si="91"/>
        <v>255476569</v>
      </c>
      <c r="E424" t="str">
        <f t="shared" si="92"/>
        <v>Dynamic Click</v>
      </c>
      <c r="F424" t="str">
        <f t="shared" si="93"/>
        <v>MK|BR_CH|PSD_DT|CROSS_PB|FCBK_FM|LNK_RT|CPM_PD|CidadesdoFuturo_TG|NON_ST|NON_TS|NONE_SZ|1X1_AD|CM1_IT|SOC_U1|GUARAPUAVA_U2|AzulEscuro</v>
      </c>
      <c r="G424" t="str">
        <f t="shared" si="94"/>
        <v>451396683</v>
      </c>
      <c r="H424" t="str">
        <f t="shared" si="95"/>
        <v>Tracking</v>
      </c>
      <c r="I424">
        <f t="shared" si="96"/>
        <v>0</v>
      </c>
      <c r="J424">
        <f t="shared" si="97"/>
        <v>20</v>
      </c>
      <c r="K424" s="4">
        <f t="shared" si="86"/>
        <v>3.5000000000000001E-3</v>
      </c>
      <c r="L424">
        <f t="shared" si="87"/>
        <v>0.02</v>
      </c>
      <c r="M424" s="4">
        <f t="shared" si="98"/>
        <v>7.0000000000000007E-2</v>
      </c>
      <c r="N424" s="4">
        <f t="shared" si="99"/>
        <v>0.4</v>
      </c>
    </row>
    <row r="425" spans="1:14">
      <c r="A425" t="str">
        <f t="shared" si="88"/>
        <v>MK|BR_CN|CIDADESDOFUTURO_MN|NONE_YQ|19Q4_CP|5020004441_SP|N/A_AC|CMKT_OB|AWA</v>
      </c>
      <c r="B425" t="str">
        <f t="shared" si="89"/>
        <v>Facebook</v>
      </c>
      <c r="C425" t="str">
        <f t="shared" si="90"/>
        <v>MK|BR_CH|PSD_DT|CROSS_PB|FCBK_FM|LNK_RT|CPM_PD|CidadesdoFuturo_TG|NON_ST|NON_TS|NONE_SZ|1X1_AD|CM1_IT|SOC_U1|GUARAPUAVA_U2|AzulEscuro</v>
      </c>
      <c r="D425" t="str">
        <f t="shared" si="91"/>
        <v>256224191</v>
      </c>
      <c r="E425" t="str">
        <f t="shared" si="92"/>
        <v>Dynamic Click</v>
      </c>
      <c r="F425" t="str">
        <f t="shared" si="93"/>
        <v>MK|BR_CH|PSD_DT|CROSS_PB|FCBK_FM|LNK_RT|CPM_PD|CidadesdoFuturo_TG|NON_ST|NON_TS|NONE_SZ|1X1_AD|CM1_IT|SOC_U1|GUARAPUAVA_U2|AzulEscuro</v>
      </c>
      <c r="G425" t="str">
        <f t="shared" si="94"/>
        <v>452369709</v>
      </c>
      <c r="H425" t="str">
        <f t="shared" si="95"/>
        <v>Tracking</v>
      </c>
      <c r="I425">
        <f t="shared" si="96"/>
        <v>0</v>
      </c>
      <c r="J425">
        <f t="shared" si="97"/>
        <v>2</v>
      </c>
      <c r="K425" s="4">
        <f t="shared" si="86"/>
        <v>3.5000000000000001E-3</v>
      </c>
      <c r="L425">
        <f t="shared" si="87"/>
        <v>0.02</v>
      </c>
      <c r="M425" s="4">
        <f t="shared" si="98"/>
        <v>7.0000000000000001E-3</v>
      </c>
      <c r="N425" s="4">
        <f t="shared" si="99"/>
        <v>0.04</v>
      </c>
    </row>
    <row r="426" spans="1:14">
      <c r="A426" t="str">
        <f t="shared" si="88"/>
        <v>MK|BR_CN|CIDADESDOFUTURO_MN|NONE_YQ|19Q4_CP|5020004441_SP|N/A_AC|CMKT_OB|AWA</v>
      </c>
      <c r="B426" t="str">
        <f t="shared" si="89"/>
        <v>Facebook</v>
      </c>
      <c r="C426" t="str">
        <f t="shared" si="90"/>
        <v>MK|BR_CH|PSD_DT|CROSS_PB|FCBK_FM|LNK_RT|CPM_PD|CidadesdoFuturo_TG|NON_ST|NON_TS|NONE_SZ|1X1_AD|CM1_IT|SOC_U1|IMPERATRIZ_U2|AzulEscuro</v>
      </c>
      <c r="D426" t="str">
        <f t="shared" si="91"/>
        <v>255476557</v>
      </c>
      <c r="E426" t="str">
        <f t="shared" si="92"/>
        <v>Dynamic Click</v>
      </c>
      <c r="F426" t="str">
        <f t="shared" si="93"/>
        <v>MK|BR_CH|PSD_DT|CROSS_PB|FCBK_FM|LNK_RT|CPM_PD|CidadesdoFuturo_TG|NON_ST|NON_TS|NONE_SZ|1X1_AD|CM1_IT|SOC_U1|IMPERATRIZ_U2|AzulEscuro</v>
      </c>
      <c r="G426" t="str">
        <f t="shared" si="94"/>
        <v>451396710</v>
      </c>
      <c r="H426" t="str">
        <f t="shared" si="95"/>
        <v>Tracking</v>
      </c>
      <c r="I426">
        <f t="shared" si="96"/>
        <v>0</v>
      </c>
      <c r="J426">
        <f t="shared" si="97"/>
        <v>22</v>
      </c>
      <c r="K426" s="4">
        <f t="shared" si="86"/>
        <v>3.5000000000000001E-3</v>
      </c>
      <c r="L426">
        <f t="shared" si="87"/>
        <v>0.02</v>
      </c>
      <c r="M426" s="4">
        <f t="shared" si="98"/>
        <v>7.6999999999999999E-2</v>
      </c>
      <c r="N426" s="4">
        <f t="shared" si="99"/>
        <v>0.44</v>
      </c>
    </row>
    <row r="427" spans="1:14">
      <c r="A427" t="str">
        <f t="shared" si="88"/>
        <v>MK|BR_CN|CIDADESDOFUTURO_MN|NONE_YQ|19Q4_CP|5020004441_SP|N/A_AC|CMKT_OB|AWA</v>
      </c>
      <c r="B427" t="str">
        <f t="shared" si="89"/>
        <v>Facebook</v>
      </c>
      <c r="C427" t="str">
        <f t="shared" si="90"/>
        <v>MK|BR_CH|PSD_DT|CROSS_PB|FCBK_FM|LNK_RT|CPM_PD|CidadesdoFuturo_TG|NON_ST|NON_TS|NONE_SZ|1X1_AD|CM1_IT|SOC_U1|IMPERATRIZ_U2|AzulEscuro</v>
      </c>
      <c r="D427" t="str">
        <f t="shared" si="91"/>
        <v>256224197</v>
      </c>
      <c r="E427" t="str">
        <f t="shared" si="92"/>
        <v>Dynamic Click</v>
      </c>
      <c r="F427" t="str">
        <f t="shared" si="93"/>
        <v>MK|BR_CH|PSD_DT|CROSS_PB|FCBK_FM|LNK_RT|CPM_PD|CidadesdoFuturo_TG|NON_ST|NON_TS|NONE_SZ|1X1_AD|CM1_IT|SOC_U1|IMPERATRIZ_U2|AzulEscuro</v>
      </c>
      <c r="G427" t="str">
        <f t="shared" si="94"/>
        <v>452369703</v>
      </c>
      <c r="H427" t="str">
        <f t="shared" si="95"/>
        <v>Tracking</v>
      </c>
      <c r="I427">
        <f t="shared" si="96"/>
        <v>0</v>
      </c>
      <c r="J427">
        <f t="shared" si="97"/>
        <v>2</v>
      </c>
      <c r="K427" s="4">
        <f t="shared" si="86"/>
        <v>3.5000000000000001E-3</v>
      </c>
      <c r="L427">
        <f t="shared" si="87"/>
        <v>0.02</v>
      </c>
      <c r="M427" s="4">
        <f t="shared" si="98"/>
        <v>7.0000000000000001E-3</v>
      </c>
      <c r="N427" s="4">
        <f t="shared" si="99"/>
        <v>0.04</v>
      </c>
    </row>
    <row r="428" spans="1:14">
      <c r="A428" t="str">
        <f t="shared" si="88"/>
        <v>MK|BR_CN|CIDADESDOFUTURO_MN|NONE_YQ|19Q4_CP|5020004441_SP|N/A_AC|CMKT_OB|AWA</v>
      </c>
      <c r="B428" t="str">
        <f t="shared" si="89"/>
        <v>Facebook</v>
      </c>
      <c r="C428" t="str">
        <f t="shared" si="90"/>
        <v>MK|BR_CH|PSD_DT|CROSS_PB|FCBK_FM|LNK_RT|CPM_PD|CidadesdoFuturo_TG|NON_ST|NON_TS|NONE_SZ|1X1_AD|CM1_IT|SOC_U1|ITABIARA_U2|AzulEscuro</v>
      </c>
      <c r="D428" t="str">
        <f t="shared" si="91"/>
        <v>255476545</v>
      </c>
      <c r="E428" t="str">
        <f t="shared" si="92"/>
        <v>Dynamic Click</v>
      </c>
      <c r="F428" t="str">
        <f t="shared" si="93"/>
        <v>MK|BR_CH|PSD_DT|CROSS_PB|FCBK_FM|LNK_RT|CPM_PD|CidadesdoFuturo_TG|NON_ST|NON_TS|NONE_SZ|1X1_AD|CM1_IT|SOC_U1|ITABIARA_U2|AzulEscuro</v>
      </c>
      <c r="G428" t="str">
        <f t="shared" si="94"/>
        <v>451396734</v>
      </c>
      <c r="H428" t="str">
        <f t="shared" si="95"/>
        <v>Tracking</v>
      </c>
      <c r="I428">
        <f t="shared" si="96"/>
        <v>0</v>
      </c>
      <c r="J428">
        <f t="shared" si="97"/>
        <v>65</v>
      </c>
      <c r="K428" s="4">
        <f t="shared" ref="K428:K491" si="100">IF(LEFT(B428,3)="DBM",0,VLOOKUP(E428,tabela,2,FALSE))</f>
        <v>3.5000000000000001E-3</v>
      </c>
      <c r="L428">
        <f t="shared" ref="L428:L491" si="101">VLOOKUP(E428,tabela,3,FALSE)</f>
        <v>0.02</v>
      </c>
      <c r="M428" s="4">
        <f t="shared" si="98"/>
        <v>0.22750000000000001</v>
      </c>
      <c r="N428" s="4">
        <f t="shared" si="99"/>
        <v>1.3</v>
      </c>
    </row>
    <row r="429" spans="1:14">
      <c r="A429" t="str">
        <f t="shared" si="88"/>
        <v>MK|BR_CN|CIDADESDOFUTURO_MN|NONE_YQ|19Q4_CP|5020004441_SP|N/A_AC|CMKT_OB|AWA</v>
      </c>
      <c r="B429" t="str">
        <f t="shared" si="89"/>
        <v>Facebook</v>
      </c>
      <c r="C429" t="str">
        <f t="shared" si="90"/>
        <v>MK|BR_CH|PSD_DT|CROSS_PB|FCBK_FM|LNK_RT|CPM_PD|CidadesdoFuturo_TG|NON_ST|NON_TS|NONE_SZ|1X1_AD|CM1_IT|SOC_U1|ITAPETINIGA_U2|AzulEscuro</v>
      </c>
      <c r="D429" t="str">
        <f t="shared" si="91"/>
        <v>255476533</v>
      </c>
      <c r="E429" t="str">
        <f t="shared" si="92"/>
        <v>Dynamic Click</v>
      </c>
      <c r="F429" t="str">
        <f t="shared" si="93"/>
        <v>MK|BR_CH|PSD_DT|CROSS_PB|FCBK_FM|LNK_RT|CPM_PD|CidadesdoFuturo_TG|NON_ST|NON_TS|NONE_SZ|1X1_AD|CM1_IT|SOC_U1|ITAPETINIGA_U2|AzulEscuro</v>
      </c>
      <c r="G429" t="str">
        <f t="shared" si="94"/>
        <v>451396761</v>
      </c>
      <c r="H429" t="str">
        <f t="shared" si="95"/>
        <v>Tracking</v>
      </c>
      <c r="I429">
        <f t="shared" si="96"/>
        <v>0</v>
      </c>
      <c r="J429">
        <f t="shared" si="97"/>
        <v>19</v>
      </c>
      <c r="K429" s="4">
        <f t="shared" si="100"/>
        <v>3.5000000000000001E-3</v>
      </c>
      <c r="L429">
        <f t="shared" si="101"/>
        <v>0.02</v>
      </c>
      <c r="M429" s="4">
        <f t="shared" si="98"/>
        <v>6.6500000000000004E-2</v>
      </c>
      <c r="N429" s="4">
        <f t="shared" si="99"/>
        <v>0.38</v>
      </c>
    </row>
    <row r="430" spans="1:14">
      <c r="A430" t="str">
        <f t="shared" si="88"/>
        <v>MK|BR_CN|CIDADESDOFUTURO_MN|NONE_YQ|19Q4_CP|5020004441_SP|N/A_AC|CMKT_OB|AWA</v>
      </c>
      <c r="B430" t="str">
        <f t="shared" si="89"/>
        <v>Facebook</v>
      </c>
      <c r="C430" t="str">
        <f t="shared" si="90"/>
        <v>MK|BR_CH|PSD_DT|CROSS_PB|FCBK_FM|LNK_RT|CPM_PD|CidadesdoFuturo_TG|NON_ST|NON_TS|NONE_SZ|1X1_AD|CM1_IT|SOC_U1|ITUMBIARA_U2|AzulEscuro</v>
      </c>
      <c r="D430" t="str">
        <f t="shared" si="91"/>
        <v>255476521</v>
      </c>
      <c r="E430" t="str">
        <f t="shared" si="92"/>
        <v>Dynamic Click</v>
      </c>
      <c r="F430" t="str">
        <f t="shared" si="93"/>
        <v>MK|BR_CH|PSD_DT|CROSS_PB|FCBK_FM|LNK_RT|CPM_PD|CidadesdoFuturo_TG|NON_ST|NON_TS|NONE_SZ|1X1_AD|CM1_IT|SOC_U1|ITUMBIARA_U2|AzulEscuro</v>
      </c>
      <c r="G430" t="str">
        <f t="shared" si="94"/>
        <v>451396785</v>
      </c>
      <c r="H430" t="str">
        <f t="shared" si="95"/>
        <v>Tracking</v>
      </c>
      <c r="I430">
        <f t="shared" si="96"/>
        <v>0</v>
      </c>
      <c r="J430">
        <f t="shared" si="97"/>
        <v>1</v>
      </c>
      <c r="K430" s="4">
        <f t="shared" si="100"/>
        <v>3.5000000000000001E-3</v>
      </c>
      <c r="L430">
        <f t="shared" si="101"/>
        <v>0.02</v>
      </c>
      <c r="M430" s="4">
        <f t="shared" si="98"/>
        <v>3.5000000000000001E-3</v>
      </c>
      <c r="N430" s="4">
        <f t="shared" si="99"/>
        <v>0.02</v>
      </c>
    </row>
    <row r="431" spans="1:14">
      <c r="A431" t="str">
        <f t="shared" si="88"/>
        <v>MK|BR_CN|CIDADESDOFUTURO_MN|NONE_YQ|19Q4_CP|5020004441_SP|N/A_AC|CMKT_OB|AWA</v>
      </c>
      <c r="B431" t="str">
        <f t="shared" si="89"/>
        <v>Facebook</v>
      </c>
      <c r="C431" t="str">
        <f t="shared" si="90"/>
        <v>MK|BR_CH|PSD_DT|CROSS_PB|FCBK_FM|LNK_RT|CPM_PD|CidadesdoFuturo_TG|NON_ST|NON_TS|NONE_SZ|1X1_AD|CM1_IT|SOC_U1|JAU_U2|AzulEscuro</v>
      </c>
      <c r="D431" t="str">
        <f t="shared" si="91"/>
        <v>255476509</v>
      </c>
      <c r="E431" t="str">
        <f t="shared" si="92"/>
        <v>Dynamic Click</v>
      </c>
      <c r="F431" t="str">
        <f t="shared" si="93"/>
        <v>MK|BR_CH|PSD_DT|CROSS_PB|FCBK_FM|LNK_RT|CPM_PD|CidadesdoFuturo_TG|NON_ST|NON_TS|NONE_SZ|1X1_AD|CM1_IT|SOC_U1|JAU_U2|AzulEscuro</v>
      </c>
      <c r="G431" t="str">
        <f t="shared" si="94"/>
        <v>451493080</v>
      </c>
      <c r="H431" t="str">
        <f t="shared" si="95"/>
        <v>Tracking</v>
      </c>
      <c r="I431">
        <f t="shared" si="96"/>
        <v>0</v>
      </c>
      <c r="J431">
        <f t="shared" si="97"/>
        <v>19</v>
      </c>
      <c r="K431" s="4">
        <f t="shared" si="100"/>
        <v>3.5000000000000001E-3</v>
      </c>
      <c r="L431">
        <f t="shared" si="101"/>
        <v>0.02</v>
      </c>
      <c r="M431" s="4">
        <f t="shared" si="98"/>
        <v>6.6500000000000004E-2</v>
      </c>
      <c r="N431" s="4">
        <f t="shared" si="99"/>
        <v>0.38</v>
      </c>
    </row>
    <row r="432" spans="1:14">
      <c r="A432" t="str">
        <f t="shared" si="88"/>
        <v>MK|BR_CN|CIDADESDOFUTURO_MN|NONE_YQ|19Q4_CP|5020004441_SP|N/A_AC|CMKT_OB|AWA</v>
      </c>
      <c r="B432" t="str">
        <f t="shared" si="89"/>
        <v>Facebook</v>
      </c>
      <c r="C432" t="str">
        <f t="shared" si="90"/>
        <v>MK|BR_CH|PSD_DT|CROSS_PB|FCBK_FM|LNK_RT|CPM_PD|CidadesdoFuturo_TG|NON_ST|NON_TS|NONE_SZ|1X1_AD|CM1_IT|SOC_U1|JUAZEIRODONORTE_U2|AzulEscuro</v>
      </c>
      <c r="D432" t="str">
        <f t="shared" si="91"/>
        <v>255476497</v>
      </c>
      <c r="E432" t="str">
        <f t="shared" si="92"/>
        <v>Dynamic Click</v>
      </c>
      <c r="F432" t="str">
        <f t="shared" si="93"/>
        <v>MK|BR_CH|PSD_DT|CROSS_PB|FCBK_FM|LNK_RT|CPM_PD|CidadesdoFuturo_TG|NON_ST|NON_TS|NONE_SZ|1X1_AD|CM1_IT|SOC_U1|JUAZEIRODONORTE_U2|AzulEscuro</v>
      </c>
      <c r="G432" t="str">
        <f t="shared" si="94"/>
        <v>451493104</v>
      </c>
      <c r="H432" t="str">
        <f t="shared" si="95"/>
        <v>Tracking</v>
      </c>
      <c r="I432">
        <f t="shared" si="96"/>
        <v>0</v>
      </c>
      <c r="J432">
        <f t="shared" si="97"/>
        <v>14</v>
      </c>
      <c r="K432" s="4">
        <f t="shared" si="100"/>
        <v>3.5000000000000001E-3</v>
      </c>
      <c r="L432">
        <f t="shared" si="101"/>
        <v>0.02</v>
      </c>
      <c r="M432" s="4">
        <f t="shared" si="98"/>
        <v>4.9000000000000002E-2</v>
      </c>
      <c r="N432" s="4">
        <f t="shared" si="99"/>
        <v>0.28000000000000003</v>
      </c>
    </row>
    <row r="433" spans="1:14">
      <c r="A433" t="str">
        <f t="shared" si="88"/>
        <v>MK|BR_CN|CIDADESDOFUTURO_MN|NONE_YQ|19Q4_CP|5020004441_SP|N/A_AC|CMKT_OB|AWA</v>
      </c>
      <c r="B433" t="str">
        <f t="shared" si="89"/>
        <v>Facebook</v>
      </c>
      <c r="C433" t="str">
        <f t="shared" si="90"/>
        <v>MK|BR_CH|PSD_DT|CROSS_PB|FCBK_FM|LNK_RT|CPM_PD|CidadesdoFuturo_TG|NON_ST|NON_TS|NONE_SZ|1X1_AD|CM1_IT|SOC_U1|JUIZDEFORA_U2|AzulEscuro</v>
      </c>
      <c r="D433" t="str">
        <f t="shared" si="91"/>
        <v>255471049</v>
      </c>
      <c r="E433" t="str">
        <f t="shared" si="92"/>
        <v>Dynamic Click</v>
      </c>
      <c r="F433" t="str">
        <f t="shared" si="93"/>
        <v>MK|BR_CH|PSD_DT|CROSS_PB|FCBK_FM|LNK_RT|CPM_PD|CidadesdoFuturo_TG|NON_ST|NON_TS|NONE_SZ|1X1_AD|CM1_IT|SOC_U1|JUIZDEFORA_U2|AzulEscuro</v>
      </c>
      <c r="G433" t="str">
        <f t="shared" si="94"/>
        <v>451397562</v>
      </c>
      <c r="H433" t="str">
        <f t="shared" si="95"/>
        <v>Tracking</v>
      </c>
      <c r="I433">
        <f t="shared" si="96"/>
        <v>0</v>
      </c>
      <c r="J433">
        <f t="shared" si="97"/>
        <v>50</v>
      </c>
      <c r="K433" s="4">
        <f t="shared" si="100"/>
        <v>3.5000000000000001E-3</v>
      </c>
      <c r="L433">
        <f t="shared" si="101"/>
        <v>0.02</v>
      </c>
      <c r="M433" s="4">
        <f t="shared" si="98"/>
        <v>0.17500000000000002</v>
      </c>
      <c r="N433" s="4">
        <f t="shared" si="99"/>
        <v>1</v>
      </c>
    </row>
    <row r="434" spans="1:14">
      <c r="A434" t="str">
        <f t="shared" si="88"/>
        <v>MK|BR_CN|CIDADESDOFUTURO_MN|NONE_YQ|19Q4_CP|5020004441_SP|N/A_AC|CMKT_OB|AWA</v>
      </c>
      <c r="B434" t="str">
        <f t="shared" si="89"/>
        <v>Facebook</v>
      </c>
      <c r="C434" t="str">
        <f t="shared" si="90"/>
        <v>MK|BR_CH|PSD_DT|CROSS_PB|FCBK_FM|LNK_RT|CPM_PD|CidadesdoFuturo_TG|NON_ST|NON_TS|NONE_SZ|1X1_AD|CM1_IT|SOC_U1|JUIZDEFORA_U2|AzulEscuro</v>
      </c>
      <c r="D434" t="str">
        <f t="shared" si="91"/>
        <v>256665414</v>
      </c>
      <c r="E434" t="str">
        <f t="shared" si="92"/>
        <v>Dynamic Click</v>
      </c>
      <c r="F434" t="str">
        <f t="shared" si="93"/>
        <v>MK|BR_CH|PSD_DT|CROSS_PB|FCBK_FM|LNK_RT|CPM_PD|CidadesdoFuturo_TG|NON_ST|NON_TS|NONE_SZ|1X1_AD|CM1_IT|SOC_U1|JUIZDEFORA_U2|AzulEscuro</v>
      </c>
      <c r="G434" t="str">
        <f t="shared" si="94"/>
        <v>452475196</v>
      </c>
      <c r="H434" t="str">
        <f t="shared" si="95"/>
        <v>Tracking</v>
      </c>
      <c r="I434">
        <f t="shared" si="96"/>
        <v>0</v>
      </c>
      <c r="J434">
        <f t="shared" si="97"/>
        <v>1</v>
      </c>
      <c r="K434" s="4">
        <f t="shared" si="100"/>
        <v>3.5000000000000001E-3</v>
      </c>
      <c r="L434">
        <f t="shared" si="101"/>
        <v>0.02</v>
      </c>
      <c r="M434" s="4">
        <f t="shared" si="98"/>
        <v>3.5000000000000001E-3</v>
      </c>
      <c r="N434" s="4">
        <f t="shared" si="99"/>
        <v>0.02</v>
      </c>
    </row>
    <row r="435" spans="1:14">
      <c r="A435" t="str">
        <f t="shared" si="88"/>
        <v>MK|BR_CN|CIDADESDOFUTURO_MN|NONE_YQ|19Q4_CP|5020004441_SP|N/A_AC|CMKT_OB|AWA</v>
      </c>
      <c r="B435" t="str">
        <f t="shared" si="89"/>
        <v>Facebook</v>
      </c>
      <c r="C435" t="str">
        <f t="shared" si="90"/>
        <v>MK|BR_CH|PSD_DT|CROSS_PB|FCBK_FM|LNK_RT|CPM_PD|CidadesdoFuturo_TG|NON_ST|NON_TS|NONE_SZ|1X1_AD|CM1_IT|SOC_U1|LINHARES_U2|AzulEscuro</v>
      </c>
      <c r="D435" t="str">
        <f t="shared" si="91"/>
        <v>255476485</v>
      </c>
      <c r="E435" t="str">
        <f t="shared" si="92"/>
        <v>Dynamic Click</v>
      </c>
      <c r="F435" t="str">
        <f t="shared" si="93"/>
        <v>MK|BR_CH|PSD_DT|CROSS_PB|FCBK_FM|LNK_RT|CPM_PD|CidadesdoFuturo_TG|NON_ST|NON_TS|NONE_SZ|1X1_AD|CM1_IT|SOC_U1|LINHARES_U2|AzulEscuro</v>
      </c>
      <c r="G435" t="str">
        <f t="shared" si="94"/>
        <v>451493131</v>
      </c>
      <c r="H435" t="str">
        <f t="shared" si="95"/>
        <v>Tracking</v>
      </c>
      <c r="I435">
        <f t="shared" si="96"/>
        <v>0</v>
      </c>
      <c r="J435">
        <f t="shared" si="97"/>
        <v>14</v>
      </c>
      <c r="K435" s="4">
        <f t="shared" si="100"/>
        <v>3.5000000000000001E-3</v>
      </c>
      <c r="L435">
        <f t="shared" si="101"/>
        <v>0.02</v>
      </c>
      <c r="M435" s="4">
        <f t="shared" si="98"/>
        <v>4.9000000000000002E-2</v>
      </c>
      <c r="N435" s="4">
        <f t="shared" si="99"/>
        <v>0.28000000000000003</v>
      </c>
    </row>
    <row r="436" spans="1:14">
      <c r="A436" t="str">
        <f t="shared" si="88"/>
        <v>MK|BR_CN|CIDADESDOFUTURO_MN|NONE_YQ|19Q4_CP|5020004441_SP|N/A_AC|CMKT_OB|AWA</v>
      </c>
      <c r="B436" t="str">
        <f t="shared" si="89"/>
        <v>Facebook</v>
      </c>
      <c r="C436" t="str">
        <f t="shared" si="90"/>
        <v>MK|BR_CH|PSD_DT|CROSS_PB|FCBK_FM|LNK_RT|CPM_PD|CidadesdoFuturo_TG|NON_ST|NON_TS|NONE_SZ|1X1_AD|CM1_IT|SOC_U1|LUZIANIA_U2|AzulEscuro</v>
      </c>
      <c r="D436" t="str">
        <f t="shared" si="91"/>
        <v>255476473</v>
      </c>
      <c r="E436" t="str">
        <f t="shared" si="92"/>
        <v>Dynamic Click</v>
      </c>
      <c r="F436" t="str">
        <f t="shared" si="93"/>
        <v>MK|BR_CH|PSD_DT|CROSS_PB|FCBK_FM|LNK_RT|CPM_PD|CidadesdoFuturo_TG|NON_ST|NON_TS|NONE_SZ|1X1_AD|CM1_IT|SOC_U1|LUZIANIA_U2|AzulEscuro</v>
      </c>
      <c r="G436" t="str">
        <f t="shared" si="94"/>
        <v>451493155</v>
      </c>
      <c r="H436" t="str">
        <f t="shared" si="95"/>
        <v>Tracking</v>
      </c>
      <c r="I436">
        <f t="shared" si="96"/>
        <v>0</v>
      </c>
      <c r="J436">
        <f t="shared" si="97"/>
        <v>16</v>
      </c>
      <c r="K436" s="4">
        <f t="shared" si="100"/>
        <v>3.5000000000000001E-3</v>
      </c>
      <c r="L436">
        <f t="shared" si="101"/>
        <v>0.02</v>
      </c>
      <c r="M436" s="4">
        <f t="shared" si="98"/>
        <v>5.6000000000000001E-2</v>
      </c>
      <c r="N436" s="4">
        <f t="shared" si="99"/>
        <v>0.32</v>
      </c>
    </row>
    <row r="437" spans="1:14">
      <c r="A437" t="str">
        <f t="shared" si="88"/>
        <v>MK|BR_CN|CIDADESDOFUTURO_MN|NONE_YQ|19Q4_CP|5020004441_SP|N/A_AC|CMKT_OB|AWA</v>
      </c>
      <c r="B437" t="str">
        <f t="shared" si="89"/>
        <v>Facebook</v>
      </c>
      <c r="C437" t="str">
        <f t="shared" si="90"/>
        <v>MK|BR_CH|PSD_DT|CROSS_PB|FCBK_FM|LNK_RT|CPM_PD|CidadesdoFuturo_TG|NON_ST|NON_TS|NONE_SZ|1X1_AD|CM1_IT|SOC_U1|LUZIANIA_U2|AzulEscuro</v>
      </c>
      <c r="D437" t="str">
        <f t="shared" si="91"/>
        <v>256224239</v>
      </c>
      <c r="E437" t="str">
        <f t="shared" si="92"/>
        <v>Dynamic Click</v>
      </c>
      <c r="F437" t="str">
        <f t="shared" si="93"/>
        <v>MK|BR_CH|PSD_DT|CROSS_PB|FCBK_FM|LNK_RT|CPM_PD|CidadesdoFuturo_TG|NON_ST|NON_TS|NONE_SZ|1X1_AD|CM1_IT|SOC_U1|LUZIANIA_U2|AzulEscuro</v>
      </c>
      <c r="G437" t="str">
        <f t="shared" si="94"/>
        <v>452369661</v>
      </c>
      <c r="H437" t="str">
        <f t="shared" si="95"/>
        <v>Tracking</v>
      </c>
      <c r="I437">
        <f t="shared" si="96"/>
        <v>0</v>
      </c>
      <c r="J437">
        <f t="shared" si="97"/>
        <v>1</v>
      </c>
      <c r="K437" s="4">
        <f t="shared" si="100"/>
        <v>3.5000000000000001E-3</v>
      </c>
      <c r="L437">
        <f t="shared" si="101"/>
        <v>0.02</v>
      </c>
      <c r="M437" s="4">
        <f t="shared" si="98"/>
        <v>3.5000000000000001E-3</v>
      </c>
      <c r="N437" s="4">
        <f t="shared" si="99"/>
        <v>0.02</v>
      </c>
    </row>
    <row r="438" spans="1:14">
      <c r="A438" t="str">
        <f t="shared" si="88"/>
        <v>MK|BR_CN|CIDADESDOFUTURO_MN|NONE_YQ|19Q4_CP|5020004441_SP|N/A_AC|CMKT_OB|AWA</v>
      </c>
      <c r="B438" t="str">
        <f t="shared" si="89"/>
        <v>Facebook</v>
      </c>
      <c r="C438" t="str">
        <f t="shared" si="90"/>
        <v>MK|BR_CH|PSD_DT|CROSS_PB|FCBK_FM|LNK_RT|CPM_PD|CidadesdoFuturo_TG|NON_ST|NON_TS|NONE_SZ|1X1_AD|CM1_IT|SOC_U1|MACAPA_U2|AzulEscuro</v>
      </c>
      <c r="D438" t="str">
        <f t="shared" si="91"/>
        <v>256224245</v>
      </c>
      <c r="E438" t="str">
        <f t="shared" si="92"/>
        <v>Dynamic Click</v>
      </c>
      <c r="F438" t="str">
        <f t="shared" si="93"/>
        <v>MK|BR_CH|PSD_DT|CROSS_PB|FCBK_FM|LNK_RT|CPM_PD|CidadesdoFuturo_TG|NON_ST|NON_TS|NONE_SZ|1X1_AD|CM1_IT|SOC_U1|MACAPA_U2|AzulEscuro</v>
      </c>
      <c r="G438" t="str">
        <f t="shared" si="94"/>
        <v>452369655</v>
      </c>
      <c r="H438" t="str">
        <f t="shared" si="95"/>
        <v>Tracking</v>
      </c>
      <c r="I438">
        <f t="shared" si="96"/>
        <v>0</v>
      </c>
      <c r="J438">
        <f t="shared" si="97"/>
        <v>1</v>
      </c>
      <c r="K438" s="4">
        <f t="shared" si="100"/>
        <v>3.5000000000000001E-3</v>
      </c>
      <c r="L438">
        <f t="shared" si="101"/>
        <v>0.02</v>
      </c>
      <c r="M438" s="4">
        <f t="shared" si="98"/>
        <v>3.5000000000000001E-3</v>
      </c>
      <c r="N438" s="4">
        <f t="shared" si="99"/>
        <v>0.02</v>
      </c>
    </row>
    <row r="439" spans="1:14">
      <c r="A439" t="str">
        <f t="shared" si="88"/>
        <v>MK|BR_CN|CIDADESDOFUTURO_MN|NONE_YQ|19Q4_CP|5020004441_SP|N/A_AC|CMKT_OB|AWA</v>
      </c>
      <c r="B439" t="str">
        <f t="shared" si="89"/>
        <v>Facebook</v>
      </c>
      <c r="C439" t="str">
        <f t="shared" si="90"/>
        <v>MK|BR_CH|PSD_DT|CROSS_PB|FCBK_FM|LNK_RT|CPM_PD|CidadesdoFuturo_TG|NON_ST|NON_TS|NONE_SZ|1X1_AD|CM1_IT|SOC_U1|MACEIO_U2|AzulEscuro</v>
      </c>
      <c r="D439" t="str">
        <f t="shared" si="91"/>
        <v>255471037</v>
      </c>
      <c r="E439" t="str">
        <f t="shared" si="92"/>
        <v>Dynamic Click</v>
      </c>
      <c r="F439" t="str">
        <f t="shared" si="93"/>
        <v>MK|BR_CH|PSD_DT|CROSS_PB|FCBK_FM|LNK_RT|CPM_PD|CidadesdoFuturo_TG|NON_ST|NON_TS|NONE_SZ|1X1_AD|CM1_IT|SOC_U1|MACEIO_U2|AzulEscuro</v>
      </c>
      <c r="G439" t="str">
        <f t="shared" si="94"/>
        <v>451397574</v>
      </c>
      <c r="H439" t="str">
        <f t="shared" si="95"/>
        <v>Tracking</v>
      </c>
      <c r="I439">
        <f t="shared" si="96"/>
        <v>0</v>
      </c>
      <c r="J439">
        <f t="shared" si="97"/>
        <v>37</v>
      </c>
      <c r="K439" s="4">
        <f t="shared" si="100"/>
        <v>3.5000000000000001E-3</v>
      </c>
      <c r="L439">
        <f t="shared" si="101"/>
        <v>0.02</v>
      </c>
      <c r="M439" s="4">
        <f t="shared" si="98"/>
        <v>0.1295</v>
      </c>
      <c r="N439" s="4">
        <f t="shared" si="99"/>
        <v>0.74</v>
      </c>
    </row>
    <row r="440" spans="1:14">
      <c r="A440" t="str">
        <f t="shared" si="88"/>
        <v>MK|BR_CN|CIDADESDOFUTURO_MN|NONE_YQ|19Q4_CP|5020004441_SP|N/A_AC|CMKT_OB|AWA</v>
      </c>
      <c r="B440" t="str">
        <f t="shared" si="89"/>
        <v>Facebook</v>
      </c>
      <c r="C440" t="str">
        <f t="shared" si="90"/>
        <v>MK|BR_CH|PSD_DT|CROSS_PB|FCBK_FM|LNK_RT|CPM_PD|CidadesdoFuturo_TG|NON_ST|NON_TS|NONE_SZ|1X1_AD|CM1_IT|SOC_U1|MANAUS_U2|AzulEscuro</v>
      </c>
      <c r="D440" t="str">
        <f t="shared" si="91"/>
        <v>255471025</v>
      </c>
      <c r="E440" t="str">
        <f t="shared" si="92"/>
        <v>Dynamic Click</v>
      </c>
      <c r="F440" t="str">
        <f t="shared" si="93"/>
        <v>MK|BR_CH|PSD_DT|CROSS_PB|FCBK_FM|LNK_RT|CPM_PD|CidadesdoFuturo_TG|NON_ST|NON_TS|NONE_SZ|1X1_AD|CM1_IT|SOC_U1|MANAUS_U2|AzulEscuro</v>
      </c>
      <c r="G440" t="str">
        <f t="shared" si="94"/>
        <v>451397586</v>
      </c>
      <c r="H440" t="str">
        <f t="shared" si="95"/>
        <v>Tracking</v>
      </c>
      <c r="I440">
        <f t="shared" si="96"/>
        <v>0</v>
      </c>
      <c r="J440">
        <f t="shared" si="97"/>
        <v>98</v>
      </c>
      <c r="K440" s="4">
        <f t="shared" si="100"/>
        <v>3.5000000000000001E-3</v>
      </c>
      <c r="L440">
        <f t="shared" si="101"/>
        <v>0.02</v>
      </c>
      <c r="M440" s="4">
        <f t="shared" si="98"/>
        <v>0.34300000000000003</v>
      </c>
      <c r="N440" s="4">
        <f t="shared" si="99"/>
        <v>1.96</v>
      </c>
    </row>
    <row r="441" spans="1:14">
      <c r="A441" t="str">
        <f t="shared" si="88"/>
        <v>MK|BR_CN|CIDADESDOFUTURO_MN|NONE_YQ|19Q4_CP|5020004441_SP|N/A_AC|CMKT_OB|AWA</v>
      </c>
      <c r="B441" t="str">
        <f t="shared" si="89"/>
        <v>Facebook</v>
      </c>
      <c r="C441" t="str">
        <f t="shared" si="90"/>
        <v>MK|BR_CH|PSD_DT|CROSS_PB|FCBK_FM|LNK_RT|CPM_PD|CidadesdoFuturo_TG|NON_ST|NON_TS|NONE_SZ|1X1_AD|CM1_IT|SOC_U1|MANAUS_U2|AzulEscuro</v>
      </c>
      <c r="D441" t="str">
        <f t="shared" si="91"/>
        <v>256665432</v>
      </c>
      <c r="E441" t="str">
        <f t="shared" si="92"/>
        <v>Dynamic Click</v>
      </c>
      <c r="F441" t="str">
        <f t="shared" si="93"/>
        <v>MK|BR_CH|PSD_DT|CROSS_PB|FCBK_FM|LNK_RT|CPM_PD|CidadesdoFuturo_TG|NON_ST|NON_TS|NONE_SZ|1X1_AD|CM1_IT|SOC_U1|MANAUS_U2|AzulEscuro</v>
      </c>
      <c r="G441" t="str">
        <f t="shared" si="94"/>
        <v>452475184</v>
      </c>
      <c r="H441" t="str">
        <f t="shared" si="95"/>
        <v>Tracking</v>
      </c>
      <c r="I441">
        <f t="shared" si="96"/>
        <v>0</v>
      </c>
      <c r="J441">
        <f t="shared" si="97"/>
        <v>1</v>
      </c>
      <c r="K441" s="4">
        <f t="shared" si="100"/>
        <v>3.5000000000000001E-3</v>
      </c>
      <c r="L441">
        <f t="shared" si="101"/>
        <v>0.02</v>
      </c>
      <c r="M441" s="4">
        <f t="shared" si="98"/>
        <v>3.5000000000000001E-3</v>
      </c>
      <c r="N441" s="4">
        <f t="shared" si="99"/>
        <v>0.02</v>
      </c>
    </row>
    <row r="442" spans="1:14">
      <c r="A442" t="str">
        <f t="shared" si="88"/>
        <v>MK|BR_CN|CIDADESDOFUTURO_MN|NONE_YQ|19Q4_CP|5020004441_SP|N/A_AC|CMKT_OB|AWA</v>
      </c>
      <c r="B442" t="str">
        <f t="shared" si="89"/>
        <v>Facebook</v>
      </c>
      <c r="C442" t="str">
        <f t="shared" si="90"/>
        <v>MK|BR_CH|PSD_DT|CROSS_PB|FCBK_FM|LNK_RT|CPM_PD|CidadesdoFuturo_TG|NON_ST|NON_TS|NONE_SZ|1X1_AD|CM1_IT|SOC_U1|MARABA_U2|AzulEscuro</v>
      </c>
      <c r="D442" t="str">
        <f t="shared" si="91"/>
        <v>255476449</v>
      </c>
      <c r="E442" t="str">
        <f t="shared" si="92"/>
        <v>Dynamic Click</v>
      </c>
      <c r="F442" t="str">
        <f t="shared" si="93"/>
        <v>MK|BR_CH|PSD_DT|CROSS_PB|FCBK_FM|LNK_RT|CPM_PD|CidadesdoFuturo_TG|NON_ST|NON_TS|NONE_SZ|1X1_AD|CM1_IT|SOC_U1|MARABA_U2|AzulEscuro</v>
      </c>
      <c r="G442" t="str">
        <f t="shared" si="94"/>
        <v>451493206</v>
      </c>
      <c r="H442" t="str">
        <f t="shared" si="95"/>
        <v>Tracking</v>
      </c>
      <c r="I442">
        <f t="shared" si="96"/>
        <v>0</v>
      </c>
      <c r="J442">
        <f t="shared" si="97"/>
        <v>59</v>
      </c>
      <c r="K442" s="4">
        <f t="shared" si="100"/>
        <v>3.5000000000000001E-3</v>
      </c>
      <c r="L442">
        <f t="shared" si="101"/>
        <v>0.02</v>
      </c>
      <c r="M442" s="4">
        <f t="shared" si="98"/>
        <v>0.20650000000000002</v>
      </c>
      <c r="N442" s="4">
        <f t="shared" si="99"/>
        <v>1.18</v>
      </c>
    </row>
    <row r="443" spans="1:14">
      <c r="A443" t="str">
        <f t="shared" si="88"/>
        <v>MK|BR_CN|CIDADESDOFUTURO_MN|NONE_YQ|19Q4_CP|5020004441_SP|N/A_AC|CMKT_OB|AWA</v>
      </c>
      <c r="B443" t="str">
        <f t="shared" si="89"/>
        <v>Facebook</v>
      </c>
      <c r="C443" t="str">
        <f t="shared" si="90"/>
        <v>MK|BR_CH|PSD_DT|CROSS_PB|FCBK_FM|LNK_RT|CPM_PD|CidadesdoFuturo_TG|NON_ST|NON_TS|NONE_SZ|1X1_AD|CM1_IT|SOC_U1|MARABA_U2|AzulEscuro</v>
      </c>
      <c r="D443" t="str">
        <f t="shared" si="91"/>
        <v>256224251</v>
      </c>
      <c r="E443" t="str">
        <f t="shared" si="92"/>
        <v>Dynamic Click</v>
      </c>
      <c r="F443" t="str">
        <f t="shared" si="93"/>
        <v>MK|BR_CH|PSD_DT|CROSS_PB|FCBK_FM|LNK_RT|CPM_PD|CidadesdoFuturo_TG|NON_ST|NON_TS|NONE_SZ|1X1_AD|CM1_IT|SOC_U1|MARABA_U2|AzulEscuro</v>
      </c>
      <c r="G443" t="str">
        <f t="shared" si="94"/>
        <v>452369649</v>
      </c>
      <c r="H443" t="str">
        <f t="shared" si="95"/>
        <v>Tracking</v>
      </c>
      <c r="I443">
        <f t="shared" si="96"/>
        <v>0</v>
      </c>
      <c r="J443">
        <f t="shared" si="97"/>
        <v>1</v>
      </c>
      <c r="K443" s="4">
        <f t="shared" si="100"/>
        <v>3.5000000000000001E-3</v>
      </c>
      <c r="L443">
        <f t="shared" si="101"/>
        <v>0.02</v>
      </c>
      <c r="M443" s="4">
        <f t="shared" si="98"/>
        <v>3.5000000000000001E-3</v>
      </c>
      <c r="N443" s="4">
        <f t="shared" si="99"/>
        <v>0.02</v>
      </c>
    </row>
    <row r="444" spans="1:14">
      <c r="A444" t="str">
        <f t="shared" si="88"/>
        <v>MK|BR_CN|CIDADESDOFUTURO_MN|NONE_YQ|19Q4_CP|5020004441_SP|N/A_AC|CMKT_OB|AWA</v>
      </c>
      <c r="B444" t="str">
        <f t="shared" si="89"/>
        <v>Facebook</v>
      </c>
      <c r="C444" t="str">
        <f t="shared" si="90"/>
        <v>MK|BR_CH|PSD_DT|CROSS_PB|FCBK_FM|LNK_RT|CPM_PD|CidadesdoFuturo_TG|NON_ST|NON_TS|NONE_SZ|1X1_AD|CM1_IT|SOC_U1|MARINGA_U2|AzulEscuro</v>
      </c>
      <c r="D444" t="str">
        <f t="shared" si="91"/>
        <v>255476437</v>
      </c>
      <c r="E444" t="str">
        <f t="shared" si="92"/>
        <v>Dynamic Click</v>
      </c>
      <c r="F444" t="str">
        <f t="shared" si="93"/>
        <v>MK|BR_CH|PSD_DT|CROSS_PB|FCBK_FM|LNK_RT|CPM_PD|CidadesdoFuturo_TG|NON_ST|NON_TS|NONE_SZ|1X1_AD|CM1_IT|SOC_U1|MARINGA_U2|AzulEscuro</v>
      </c>
      <c r="G444" t="str">
        <f t="shared" si="94"/>
        <v>451493230</v>
      </c>
      <c r="H444" t="str">
        <f t="shared" si="95"/>
        <v>Tracking</v>
      </c>
      <c r="I444">
        <f t="shared" si="96"/>
        <v>0</v>
      </c>
      <c r="J444">
        <f t="shared" si="97"/>
        <v>54</v>
      </c>
      <c r="K444" s="4">
        <f t="shared" si="100"/>
        <v>3.5000000000000001E-3</v>
      </c>
      <c r="L444">
        <f t="shared" si="101"/>
        <v>0.02</v>
      </c>
      <c r="M444" s="4">
        <f t="shared" si="98"/>
        <v>0.189</v>
      </c>
      <c r="N444" s="4">
        <f t="shared" si="99"/>
        <v>1.08</v>
      </c>
    </row>
    <row r="445" spans="1:14">
      <c r="A445" t="str">
        <f t="shared" si="88"/>
        <v>MK|BR_CN|CIDADESDOFUTURO_MN|NONE_YQ|19Q4_CP|5020004441_SP|N/A_AC|CMKT_OB|AWA</v>
      </c>
      <c r="B445" t="str">
        <f t="shared" si="89"/>
        <v>Facebook</v>
      </c>
      <c r="C445" t="str">
        <f t="shared" si="90"/>
        <v>MK|BR_CH|PSD_DT|CROSS_PB|FCBK_FM|LNK_RT|CPM_PD|CidadesdoFuturo_TG|NON_ST|NON_TS|NONE_SZ|1X1_AD|CM1_IT|SOC_U1|MOGIGUAÇU_U2|AzulEscuro</v>
      </c>
      <c r="D445" t="str">
        <f t="shared" si="91"/>
        <v>255476425</v>
      </c>
      <c r="E445" t="str">
        <f t="shared" si="92"/>
        <v>Dynamic Click</v>
      </c>
      <c r="F445" t="str">
        <f t="shared" si="93"/>
        <v>MK|BR_CH|PSD_DT|CROSS_PB|FCBK_FM|LNK_RT|CPM_PD|CidadesdoFuturo_TG|NON_ST|NON_TS|NONE_SZ|1X1_AD|CM1_IT|SOC_U1|MOGIGUAÇU_U2|AzulEscuro</v>
      </c>
      <c r="G445" t="str">
        <f t="shared" si="94"/>
        <v>451493257</v>
      </c>
      <c r="H445" t="str">
        <f t="shared" si="95"/>
        <v>Tracking</v>
      </c>
      <c r="I445">
        <f t="shared" si="96"/>
        <v>0</v>
      </c>
      <c r="J445">
        <f t="shared" si="97"/>
        <v>12</v>
      </c>
      <c r="K445" s="4">
        <f t="shared" si="100"/>
        <v>3.5000000000000001E-3</v>
      </c>
      <c r="L445">
        <f t="shared" si="101"/>
        <v>0.02</v>
      </c>
      <c r="M445" s="4">
        <f t="shared" si="98"/>
        <v>4.2000000000000003E-2</v>
      </c>
      <c r="N445" s="4">
        <f t="shared" si="99"/>
        <v>0.24</v>
      </c>
    </row>
    <row r="446" spans="1:14">
      <c r="A446" t="str">
        <f t="shared" si="88"/>
        <v>MK|BR_CN|CIDADESDOFUTURO_MN|NONE_YQ|19Q4_CP|5020004441_SP|N/A_AC|CMKT_OB|AWA</v>
      </c>
      <c r="B446" t="str">
        <f t="shared" si="89"/>
        <v>Facebook</v>
      </c>
      <c r="C446" t="str">
        <f t="shared" si="90"/>
        <v>MK|BR_CH|PSD_DT|CROSS_PB|FCBK_FM|LNK_RT|CPM_PD|CidadesdoFuturo_TG|NON_ST|NON_TS|NONE_SZ|1X1_AD|CM1_IT|SOC_U1|MOGIGUAÇU_U2|AzulEscuro</v>
      </c>
      <c r="D446" t="str">
        <f t="shared" si="91"/>
        <v>256224263</v>
      </c>
      <c r="E446" t="str">
        <f t="shared" si="92"/>
        <v>Dynamic Click</v>
      </c>
      <c r="F446" t="str">
        <f t="shared" si="93"/>
        <v>MK|BR_CH|PSD_DT|CROSS_PB|FCBK_FM|LNK_RT|CPM_PD|CidadesdoFuturo_TG|NON_ST|NON_TS|NONE_SZ|1X1_AD|CM1_IT|SOC_U1|MOGIGUAÇU_U2|AzulEscuro</v>
      </c>
      <c r="G446" t="str">
        <f t="shared" si="94"/>
        <v>452369637</v>
      </c>
      <c r="H446" t="str">
        <f t="shared" si="95"/>
        <v>Tracking</v>
      </c>
      <c r="I446">
        <f t="shared" si="96"/>
        <v>0</v>
      </c>
      <c r="J446">
        <f t="shared" si="97"/>
        <v>1</v>
      </c>
      <c r="K446" s="4">
        <f t="shared" si="100"/>
        <v>3.5000000000000001E-3</v>
      </c>
      <c r="L446">
        <f t="shared" si="101"/>
        <v>0.02</v>
      </c>
      <c r="M446" s="4">
        <f t="shared" si="98"/>
        <v>3.5000000000000001E-3</v>
      </c>
      <c r="N446" s="4">
        <f t="shared" si="99"/>
        <v>0.02</v>
      </c>
    </row>
    <row r="447" spans="1:14">
      <c r="A447" t="str">
        <f t="shared" si="88"/>
        <v>MK|BR_CN|CIDADESDOFUTURO_MN|NONE_YQ|19Q4_CP|5020004441_SP|N/A_AC|CMKT_OB|AWA</v>
      </c>
      <c r="B447" t="str">
        <f t="shared" si="89"/>
        <v>Facebook</v>
      </c>
      <c r="C447" t="str">
        <f t="shared" si="90"/>
        <v>MK|BR_CH|PSD_DT|CROSS_PB|FCBK_FM|LNK_RT|CPM_PD|CidadesdoFuturo_TG|NON_ST|NON_TS|NONE_SZ|1X1_AD|CM1_IT|SOC_U1|MONTESCLAROS_U2|AzulEscuro</v>
      </c>
      <c r="D447" t="str">
        <f t="shared" si="91"/>
        <v>255476413</v>
      </c>
      <c r="E447" t="str">
        <f t="shared" si="92"/>
        <v>Dynamic Click</v>
      </c>
      <c r="F447" t="str">
        <f t="shared" si="93"/>
        <v>MK|BR_CH|PSD_DT|CROSS_PB|FCBK_FM|LNK_RT|CPM_PD|CidadesdoFuturo_TG|NON_ST|NON_TS|NONE_SZ|1X1_AD|CM1_IT|SOC_U1|MONTESCLAROS_U2|AzulEscuro</v>
      </c>
      <c r="G447" t="str">
        <f t="shared" si="94"/>
        <v>451493281</v>
      </c>
      <c r="H447" t="str">
        <f t="shared" si="95"/>
        <v>Tracking</v>
      </c>
      <c r="I447">
        <f t="shared" si="96"/>
        <v>0</v>
      </c>
      <c r="J447">
        <f t="shared" si="97"/>
        <v>35</v>
      </c>
      <c r="K447" s="4">
        <f t="shared" si="100"/>
        <v>3.5000000000000001E-3</v>
      </c>
      <c r="L447">
        <f t="shared" si="101"/>
        <v>0.02</v>
      </c>
      <c r="M447" s="4">
        <f t="shared" si="98"/>
        <v>0.1225</v>
      </c>
      <c r="N447" s="4">
        <f t="shared" si="99"/>
        <v>0.70000000000000007</v>
      </c>
    </row>
    <row r="448" spans="1:14">
      <c r="A448" t="str">
        <f t="shared" si="88"/>
        <v>MK|BR_CN|CIDADESDOFUTURO_MN|NONE_YQ|19Q4_CP|5020004441_SP|N/A_AC|CMKT_OB|AWA</v>
      </c>
      <c r="B448" t="str">
        <f t="shared" si="89"/>
        <v>Facebook</v>
      </c>
      <c r="C448" t="str">
        <f t="shared" si="90"/>
        <v>MK|BR_CH|PSD_DT|CROSS_PB|FCBK_FM|LNK_RT|CPM_PD|CidadesdoFuturo_TG|NON_ST|NON_TS|NONE_SZ|1X1_AD|CM1_IT|SOC_U1|MONTESCLAROS_U2|AzulEscuro</v>
      </c>
      <c r="D448" t="str">
        <f t="shared" si="91"/>
        <v>256224272</v>
      </c>
      <c r="E448" t="str">
        <f t="shared" si="92"/>
        <v>Dynamic Click</v>
      </c>
      <c r="F448" t="str">
        <f t="shared" si="93"/>
        <v>MK|BR_CH|PSD_DT|CROSS_PB|FCBK_FM|LNK_RT|CPM_PD|CidadesdoFuturo_TG|NON_ST|NON_TS|NONE_SZ|1X1_AD|CM1_IT|SOC_U1|MONTESCLAROS_U2|AzulEscuro</v>
      </c>
      <c r="G448" t="str">
        <f t="shared" si="94"/>
        <v>452369631</v>
      </c>
      <c r="H448" t="str">
        <f t="shared" si="95"/>
        <v>Tracking</v>
      </c>
      <c r="I448">
        <f t="shared" si="96"/>
        <v>0</v>
      </c>
      <c r="J448">
        <f t="shared" si="97"/>
        <v>1</v>
      </c>
      <c r="K448" s="4">
        <f t="shared" si="100"/>
        <v>3.5000000000000001E-3</v>
      </c>
      <c r="L448">
        <f t="shared" si="101"/>
        <v>0.02</v>
      </c>
      <c r="M448" s="4">
        <f t="shared" si="98"/>
        <v>3.5000000000000001E-3</v>
      </c>
      <c r="N448" s="4">
        <f t="shared" si="99"/>
        <v>0.02</v>
      </c>
    </row>
    <row r="449" spans="1:14">
      <c r="A449" t="str">
        <f t="shared" si="88"/>
        <v>MK|BR_CN|CIDADESDOFUTURO_MN|NONE_YQ|19Q4_CP|5020004441_SP|N/A_AC|CMKT_OB|AWA</v>
      </c>
      <c r="B449" t="str">
        <f t="shared" si="89"/>
        <v>Facebook</v>
      </c>
      <c r="C449" t="str">
        <f t="shared" si="90"/>
        <v>MK|BR_CH|PSD_DT|CROSS_PB|FCBK_FM|LNK_RT|CPM_PD|CidadesdoFuturo_TG|NON_ST|NON_TS|NONE_SZ|1X1_AD|CM1_IT|SOC_U1|MOSSORO_U2|AzulEscuro</v>
      </c>
      <c r="D449" t="str">
        <f t="shared" si="91"/>
        <v>255476401</v>
      </c>
      <c r="E449" t="str">
        <f t="shared" si="92"/>
        <v>Dynamic Click</v>
      </c>
      <c r="F449" t="str">
        <f t="shared" si="93"/>
        <v>MK|BR_CH|PSD_DT|CROSS_PB|FCBK_FM|LNK_RT|CPM_PD|CidadesdoFuturo_TG|NON_ST|NON_TS|NONE_SZ|1X1_AD|CM1_IT|SOC_U1|MOSSORO_U2|AzulEscuro</v>
      </c>
      <c r="G449" t="str">
        <f t="shared" si="94"/>
        <v>451493308</v>
      </c>
      <c r="H449" t="str">
        <f t="shared" si="95"/>
        <v>Tracking</v>
      </c>
      <c r="I449">
        <f t="shared" si="96"/>
        <v>0</v>
      </c>
      <c r="J449">
        <f t="shared" si="97"/>
        <v>32</v>
      </c>
      <c r="K449" s="4">
        <f t="shared" si="100"/>
        <v>3.5000000000000001E-3</v>
      </c>
      <c r="L449">
        <f t="shared" si="101"/>
        <v>0.02</v>
      </c>
      <c r="M449" s="4">
        <f t="shared" si="98"/>
        <v>0.112</v>
      </c>
      <c r="N449" s="4">
        <f t="shared" si="99"/>
        <v>0.64</v>
      </c>
    </row>
    <row r="450" spans="1:14">
      <c r="A450" t="str">
        <f t="shared" ref="A450:A513" si="102">bd_campaign</f>
        <v>MK|BR_CN|CIDADESDOFUTURO_MN|NONE_YQ|19Q4_CP|5020004441_SP|N/A_AC|CMKT_OB|AWA</v>
      </c>
      <c r="B450" t="str">
        <f t="shared" ref="B450:B513" si="103">bd_site</f>
        <v>Facebook</v>
      </c>
      <c r="C450" t="str">
        <f t="shared" ref="C450:C513" si="104">bd_placement</f>
        <v>MK|BR_CH|PSD_DT|CROSS_PB|FCBK_FM|LNK_RT|CPM_PD|CidadesdoFuturo_TG|NON_ST|NON_TS|NONE_SZ|1X1_AD|CM1_IT|SOC_U1|NOVAFRIBURGO_U2|AzulEscuro</v>
      </c>
      <c r="D450" t="str">
        <f t="shared" ref="D450:D513" si="105">bd_placementID</f>
        <v>255476389</v>
      </c>
      <c r="E450" t="str">
        <f t="shared" ref="E450:E513" si="106">VLOOKUP(CONCATENATE(bd_adtype,"_",bd_creativetype),tabela,2,FALSE)</f>
        <v>Dynamic Click</v>
      </c>
      <c r="F450" t="str">
        <f t="shared" ref="F450:F513" si="107">bd_ad</f>
        <v>MK|BR_CH|PSD_DT|CROSS_PB|FCBK_FM|LNK_RT|CPM_PD|CidadesdoFuturo_TG|NON_ST|NON_TS|NONE_SZ|1X1_AD|CM1_IT|SOC_U1|NOVAFRIBURGO_U2|AzulEscuro</v>
      </c>
      <c r="G450" t="str">
        <f t="shared" ref="G450:G513" si="108">bd_adid</f>
        <v>451493332</v>
      </c>
      <c r="H450" t="str">
        <f t="shared" ref="H450:H513" si="109">bd_creativetype</f>
        <v>Tracking</v>
      </c>
      <c r="I450">
        <f t="shared" ref="I450:I513" si="110">bd_impression</f>
        <v>0</v>
      </c>
      <c r="J450">
        <f t="shared" ref="J450:J513" si="111">bd_clicks</f>
        <v>12</v>
      </c>
      <c r="K450" s="4">
        <f t="shared" si="100"/>
        <v>3.5000000000000001E-3</v>
      </c>
      <c r="L450">
        <f t="shared" si="101"/>
        <v>0.02</v>
      </c>
      <c r="M450" s="4">
        <f t="shared" si="98"/>
        <v>4.2000000000000003E-2</v>
      </c>
      <c r="N450" s="4">
        <f t="shared" si="99"/>
        <v>0.24</v>
      </c>
    </row>
    <row r="451" spans="1:14">
      <c r="A451" t="str">
        <f t="shared" si="102"/>
        <v>MK|BR_CN|CIDADESDOFUTURO_MN|NONE_YQ|19Q4_CP|5020004441_SP|N/A_AC|CMKT_OB|AWA</v>
      </c>
      <c r="B451" t="str">
        <f t="shared" si="103"/>
        <v>Facebook</v>
      </c>
      <c r="C451" t="str">
        <f t="shared" si="104"/>
        <v>MK|BR_CH|PSD_DT|CROSS_PB|FCBK_FM|LNK_RT|CPM_PD|CidadesdoFuturo_TG|NON_ST|NON_TS|NONE_SZ|1X1_AD|CM1_IT|SOC_U1|NOVAFRIBURGO_U2|AzulEscuro</v>
      </c>
      <c r="D451" t="str">
        <f t="shared" si="105"/>
        <v>256224290</v>
      </c>
      <c r="E451" t="str">
        <f t="shared" si="106"/>
        <v>Dynamic Click</v>
      </c>
      <c r="F451" t="str">
        <f t="shared" si="107"/>
        <v>MK|BR_CH|PSD_DT|CROSS_PB|FCBK_FM|LNK_RT|CPM_PD|CidadesdoFuturo_TG|NON_ST|NON_TS|NONE_SZ|1X1_AD|CM1_IT|SOC_U1|NOVAFRIBURGO_U2|AzulEscuro</v>
      </c>
      <c r="G451" t="str">
        <f t="shared" si="108"/>
        <v>452475319</v>
      </c>
      <c r="H451" t="str">
        <f t="shared" si="109"/>
        <v>Tracking</v>
      </c>
      <c r="I451">
        <f t="shared" si="110"/>
        <v>0</v>
      </c>
      <c r="J451">
        <f t="shared" si="111"/>
        <v>1</v>
      </c>
      <c r="K451" s="4">
        <f t="shared" si="100"/>
        <v>3.5000000000000001E-3</v>
      </c>
      <c r="L451">
        <f t="shared" si="101"/>
        <v>0.02</v>
      </c>
      <c r="M451" s="4">
        <f t="shared" si="98"/>
        <v>3.5000000000000001E-3</v>
      </c>
      <c r="N451" s="4">
        <f t="shared" si="99"/>
        <v>0.02</v>
      </c>
    </row>
    <row r="452" spans="1:14">
      <c r="A452" t="str">
        <f t="shared" si="102"/>
        <v>MK|BR_CN|CIDADESDOFUTURO_MN|NONE_YQ|19Q4_CP|5020004441_SP|N/A_AC|CMKT_OB|AWA</v>
      </c>
      <c r="B452" t="str">
        <f t="shared" si="103"/>
        <v>Facebook</v>
      </c>
      <c r="C452" t="str">
        <f t="shared" si="104"/>
        <v>MK|BR_CH|PSD_DT|CROSS_PB|FCBK_FM|LNK_RT|CPM_PD|CidadesdoFuturo_TG|NON_ST|NON_TS|NONE_SZ|1X1_AD|CM1_IT|SOC_U1|PARANAGUA_U2|AzulEscuro</v>
      </c>
      <c r="D452" t="str">
        <f t="shared" si="105"/>
        <v>255476377</v>
      </c>
      <c r="E452" t="str">
        <f t="shared" si="106"/>
        <v>Dynamic Click</v>
      </c>
      <c r="F452" t="str">
        <f t="shared" si="107"/>
        <v>MK|BR_CH|PSD_DT|CROSS_PB|FCBK_FM|LNK_RT|CPM_PD|CidadesdoFuturo_TG|NON_ST|NON_TS|NONE_SZ|1X1_AD|CM1_IT|SOC_U1|PARANAGUA_U2|AzulEscuro</v>
      </c>
      <c r="G452" t="str">
        <f t="shared" si="108"/>
        <v>451493359</v>
      </c>
      <c r="H452" t="str">
        <f t="shared" si="109"/>
        <v>Tracking</v>
      </c>
      <c r="I452">
        <f t="shared" si="110"/>
        <v>0</v>
      </c>
      <c r="J452">
        <f t="shared" si="111"/>
        <v>21</v>
      </c>
      <c r="K452" s="4">
        <f t="shared" si="100"/>
        <v>3.5000000000000001E-3</v>
      </c>
      <c r="L452">
        <f t="shared" si="101"/>
        <v>0.02</v>
      </c>
      <c r="M452" s="4">
        <f t="shared" si="98"/>
        <v>7.3499999999999996E-2</v>
      </c>
      <c r="N452" s="4">
        <f t="shared" si="99"/>
        <v>0.42</v>
      </c>
    </row>
    <row r="453" spans="1:14">
      <c r="A453" t="str">
        <f t="shared" si="102"/>
        <v>MK|BR_CN|CIDADESDOFUTURO_MN|NONE_YQ|19Q4_CP|5020004441_SP|N/A_AC|CMKT_OB|AWA</v>
      </c>
      <c r="B453" t="str">
        <f t="shared" si="103"/>
        <v>Facebook</v>
      </c>
      <c r="C453" t="str">
        <f t="shared" si="104"/>
        <v>MK|BR_CH|PSD_DT|CROSS_PB|FCBK_FM|LNK_RT|CPM_PD|CidadesdoFuturo_TG|NON_ST|NON_TS|NONE_SZ|1X1_AD|CM1_IT|SOC_U1|PARANAGUA_U2|AzulEscuro</v>
      </c>
      <c r="D453" t="str">
        <f t="shared" si="105"/>
        <v>256224299</v>
      </c>
      <c r="E453" t="str">
        <f t="shared" si="106"/>
        <v>Dynamic Click</v>
      </c>
      <c r="F453" t="str">
        <f t="shared" si="107"/>
        <v>MK|BR_CH|PSD_DT|CROSS_PB|FCBK_FM|LNK_RT|CPM_PD|CidadesdoFuturo_TG|NON_ST|NON_TS|NONE_SZ|1X1_AD|CM1_IT|SOC_U1|PARANAGUA_U2|AzulEscuro</v>
      </c>
      <c r="G453" t="str">
        <f t="shared" si="108"/>
        <v>452475313</v>
      </c>
      <c r="H453" t="str">
        <f t="shared" si="109"/>
        <v>Tracking</v>
      </c>
      <c r="I453">
        <f t="shared" si="110"/>
        <v>0</v>
      </c>
      <c r="J453">
        <f t="shared" si="111"/>
        <v>1</v>
      </c>
      <c r="K453" s="4">
        <f t="shared" si="100"/>
        <v>3.5000000000000001E-3</v>
      </c>
      <c r="L453">
        <f t="shared" si="101"/>
        <v>0.02</v>
      </c>
      <c r="M453" s="4">
        <f t="shared" si="98"/>
        <v>3.5000000000000001E-3</v>
      </c>
      <c r="N453" s="4">
        <f t="shared" si="99"/>
        <v>0.02</v>
      </c>
    </row>
    <row r="454" spans="1:14">
      <c r="A454" t="str">
        <f t="shared" si="102"/>
        <v>MK|BR_CN|CIDADESDOFUTURO_MN|NONE_YQ|19Q4_CP|5020004441_SP|N/A_AC|CMKT_OB|AWA</v>
      </c>
      <c r="B454" t="str">
        <f t="shared" si="103"/>
        <v>Facebook</v>
      </c>
      <c r="C454" t="str">
        <f t="shared" si="104"/>
        <v>MK|BR_CH|PSD_DT|CROSS_PB|FCBK_FM|LNK_RT|CPM_PD|CidadesdoFuturo_TG|NON_ST|NON_TS|NONE_SZ|1X1_AD|CM1_IT|SOC_U1|PARAUAPEBAS_U2|AzulEscuro</v>
      </c>
      <c r="D454" t="str">
        <f t="shared" si="105"/>
        <v>255476365</v>
      </c>
      <c r="E454" t="str">
        <f t="shared" si="106"/>
        <v>Dynamic Click</v>
      </c>
      <c r="F454" t="str">
        <f t="shared" si="107"/>
        <v>MK|BR_CH|PSD_DT|CROSS_PB|FCBK_FM|LNK_RT|CPM_PD|CidadesdoFuturo_TG|NON_ST|NON_TS|NONE_SZ|1X1_AD|CM1_IT|SOC_U1|PARAUAPEBAS_U2|AzulEscuro</v>
      </c>
      <c r="G454" t="str">
        <f t="shared" si="108"/>
        <v>451397115</v>
      </c>
      <c r="H454" t="str">
        <f t="shared" si="109"/>
        <v>Tracking</v>
      </c>
      <c r="I454">
        <f t="shared" si="110"/>
        <v>0</v>
      </c>
      <c r="J454">
        <f t="shared" si="111"/>
        <v>47</v>
      </c>
      <c r="K454" s="4">
        <f t="shared" si="100"/>
        <v>3.5000000000000001E-3</v>
      </c>
      <c r="L454">
        <f t="shared" si="101"/>
        <v>0.02</v>
      </c>
      <c r="M454" s="4">
        <f t="shared" si="98"/>
        <v>0.16450000000000001</v>
      </c>
      <c r="N454" s="4">
        <f t="shared" si="99"/>
        <v>0.94000000000000006</v>
      </c>
    </row>
    <row r="455" spans="1:14">
      <c r="A455" t="str">
        <f t="shared" si="102"/>
        <v>MK|BR_CN|CIDADESDOFUTURO_MN|NONE_YQ|19Q4_CP|5020004441_SP|N/A_AC|CMKT_OB|AWA</v>
      </c>
      <c r="B455" t="str">
        <f t="shared" si="103"/>
        <v>Facebook</v>
      </c>
      <c r="C455" t="str">
        <f t="shared" si="104"/>
        <v>MK|BR_CH|PSD_DT|CROSS_PB|FCBK_FM|LNK_RT|CPM_PD|CidadesdoFuturo_TG|NON_ST|NON_TS|NONE_SZ|1X1_AD|CM1_IT|SOC_U1|PATOSDEMINAS_U2|AzulEscuro</v>
      </c>
      <c r="D455" t="str">
        <f t="shared" si="105"/>
        <v>255476353</v>
      </c>
      <c r="E455" t="str">
        <f t="shared" si="106"/>
        <v>Dynamic Click</v>
      </c>
      <c r="F455" t="str">
        <f t="shared" si="107"/>
        <v>MK|BR_CH|PSD_DT|CROSS_PB|FCBK_FM|LNK_RT|CPM_PD|CidadesdoFuturo_TG|NON_ST|NON_TS|NONE_SZ|1X1_AD|CM1_IT|SOC_U1|PATOSDEMINAS_U2|AzulEscuro</v>
      </c>
      <c r="G455" t="str">
        <f t="shared" si="108"/>
        <v>451397142</v>
      </c>
      <c r="H455" t="str">
        <f t="shared" si="109"/>
        <v>Tracking</v>
      </c>
      <c r="I455">
        <f t="shared" si="110"/>
        <v>0</v>
      </c>
      <c r="J455">
        <f t="shared" si="111"/>
        <v>10</v>
      </c>
      <c r="K455" s="4">
        <f t="shared" si="100"/>
        <v>3.5000000000000001E-3</v>
      </c>
      <c r="L455">
        <f t="shared" si="101"/>
        <v>0.02</v>
      </c>
      <c r="M455" s="4">
        <f t="shared" si="98"/>
        <v>3.5000000000000003E-2</v>
      </c>
      <c r="N455" s="4">
        <f t="shared" si="99"/>
        <v>0.2</v>
      </c>
    </row>
    <row r="456" spans="1:14">
      <c r="A456" t="str">
        <f t="shared" si="102"/>
        <v>MK|BR_CN|CIDADESDOFUTURO_MN|NONE_YQ|19Q4_CP|5020004441_SP|N/A_AC|CMKT_OB|AWA</v>
      </c>
      <c r="B456" t="str">
        <f t="shared" si="103"/>
        <v>Facebook</v>
      </c>
      <c r="C456" t="str">
        <f t="shared" si="104"/>
        <v>MK|BR_CH|PSD_DT|CROSS_PB|FCBK_FM|LNK_RT|CPM_PD|CidadesdoFuturo_TG|NON_ST|NON_TS|NONE_SZ|1X1_AD|CM1_IT|SOC_U1|PELOTAS_U2|AzulEscuro</v>
      </c>
      <c r="D456" t="str">
        <f t="shared" si="105"/>
        <v>255476344</v>
      </c>
      <c r="E456" t="str">
        <f t="shared" si="106"/>
        <v>Dynamic Click</v>
      </c>
      <c r="F456" t="str">
        <f t="shared" si="107"/>
        <v>MK|BR_CH|PSD_DT|CROSS_PB|FCBK_FM|LNK_RT|CPM_PD|CidadesdoFuturo_TG|NON_ST|NON_TS|NONE_SZ|1X1_AD|CM1_IT|SOC_U1|PELOTAS_U2|AzulEscuro</v>
      </c>
      <c r="G456" t="str">
        <f t="shared" si="108"/>
        <v>451397160</v>
      </c>
      <c r="H456" t="str">
        <f t="shared" si="109"/>
        <v>Tracking</v>
      </c>
      <c r="I456">
        <f t="shared" si="110"/>
        <v>0</v>
      </c>
      <c r="J456">
        <f t="shared" si="111"/>
        <v>60</v>
      </c>
      <c r="K456" s="4">
        <f t="shared" si="100"/>
        <v>3.5000000000000001E-3</v>
      </c>
      <c r="L456">
        <f t="shared" si="101"/>
        <v>0.02</v>
      </c>
      <c r="M456" s="4">
        <f t="shared" si="98"/>
        <v>0.21</v>
      </c>
      <c r="N456" s="4">
        <f t="shared" si="99"/>
        <v>1.2</v>
      </c>
    </row>
    <row r="457" spans="1:14">
      <c r="A457" t="str">
        <f t="shared" si="102"/>
        <v>MK|BR_CN|CIDADESDOFUTURO_MN|NONE_YQ|19Q4_CP|5020004441_SP|N/A_AC|CMKT_OB|AWA</v>
      </c>
      <c r="B457" t="str">
        <f t="shared" si="103"/>
        <v>Facebook</v>
      </c>
      <c r="C457" t="str">
        <f t="shared" si="104"/>
        <v>MK|BR_CH|PSD_DT|CROSS_PB|FCBK_FM|LNK_RT|CPM_PD|CidadesdoFuturo_TG|NON_ST|NON_TS|NONE_SZ|1X1_AD|CM1_IT|SOC_U1|PELOTAS_U2|AzulEscuro</v>
      </c>
      <c r="D457" t="str">
        <f t="shared" si="105"/>
        <v>256665267</v>
      </c>
      <c r="E457" t="str">
        <f t="shared" si="106"/>
        <v>Dynamic Click</v>
      </c>
      <c r="F457" t="str">
        <f t="shared" si="107"/>
        <v>MK|BR_CH|PSD_DT|CROSS_PB|FCBK_FM|LNK_RT|CPM_PD|CidadesdoFuturo_TG|NON_ST|NON_TS|NONE_SZ|1X1_AD|CM1_IT|SOC_U1|PELOTAS_U2|AzulEscuro</v>
      </c>
      <c r="G457" t="str">
        <f t="shared" si="108"/>
        <v>452475295</v>
      </c>
      <c r="H457" t="str">
        <f t="shared" si="109"/>
        <v>Tracking</v>
      </c>
      <c r="I457">
        <f t="shared" si="110"/>
        <v>0</v>
      </c>
      <c r="J457">
        <f t="shared" si="111"/>
        <v>1</v>
      </c>
      <c r="K457" s="4">
        <f t="shared" si="100"/>
        <v>3.5000000000000001E-3</v>
      </c>
      <c r="L457">
        <f t="shared" si="101"/>
        <v>0.02</v>
      </c>
      <c r="M457" s="4">
        <f t="shared" si="98"/>
        <v>3.5000000000000001E-3</v>
      </c>
      <c r="N457" s="4">
        <f t="shared" si="99"/>
        <v>0.02</v>
      </c>
    </row>
    <row r="458" spans="1:14">
      <c r="A458" t="str">
        <f t="shared" si="102"/>
        <v>MK|BR_CN|CIDADESDOFUTURO_MN|NONE_YQ|19Q4_CP|5020004441_SP|N/A_AC|CMKT_OB|AWA</v>
      </c>
      <c r="B458" t="str">
        <f t="shared" si="103"/>
        <v>Facebook</v>
      </c>
      <c r="C458" t="str">
        <f t="shared" si="104"/>
        <v>MK|BR_CH|PSD_DT|CROSS_PB|FCBK_FM|LNK_RT|CPM_PD|CidadesdoFuturo_TG|NON_ST|NON_TS|NONE_SZ|1X1_AD|CM1_IT|SOC_U1|PETROLINA_U2|AzulEscuro</v>
      </c>
      <c r="D458" t="str">
        <f t="shared" si="105"/>
        <v>255476329</v>
      </c>
      <c r="E458" t="str">
        <f t="shared" si="106"/>
        <v>Dynamic Click</v>
      </c>
      <c r="F458" t="str">
        <f t="shared" si="107"/>
        <v>MK|BR_CH|PSD_DT|CROSS_PB|FCBK_FM|LNK_RT|CPM_PD|CidadesdoFuturo_TG|NON_ST|NON_TS|NONE_SZ|1X1_AD|CM1_IT|SOC_U1|PETROLINA_U2|AzulEscuro</v>
      </c>
      <c r="G458" t="str">
        <f t="shared" si="108"/>
        <v>451397193</v>
      </c>
      <c r="H458" t="str">
        <f t="shared" si="109"/>
        <v>Tracking</v>
      </c>
      <c r="I458">
        <f t="shared" si="110"/>
        <v>0</v>
      </c>
      <c r="J458">
        <f t="shared" si="111"/>
        <v>50</v>
      </c>
      <c r="K458" s="4">
        <f t="shared" si="100"/>
        <v>3.5000000000000001E-3</v>
      </c>
      <c r="L458">
        <f t="shared" si="101"/>
        <v>0.02</v>
      </c>
      <c r="M458" s="4">
        <f t="shared" si="98"/>
        <v>0.17500000000000002</v>
      </c>
      <c r="N458" s="4">
        <f t="shared" si="99"/>
        <v>1</v>
      </c>
    </row>
    <row r="459" spans="1:14">
      <c r="A459" t="str">
        <f t="shared" si="102"/>
        <v>MK|BR_CN|CIDADESDOFUTURO_MN|NONE_YQ|19Q4_CP|5020004441_SP|N/A_AC|CMKT_OB|AWA</v>
      </c>
      <c r="B459" t="str">
        <f t="shared" si="103"/>
        <v>Facebook</v>
      </c>
      <c r="C459" t="str">
        <f t="shared" si="104"/>
        <v>MK|BR_CH|PSD_DT|CROSS_PB|FCBK_FM|LNK_RT|CPM_PD|CidadesdoFuturo_TG|NON_ST|NON_TS|NONE_SZ|1X1_AD|CM1_IT|SOC_U1|PETROLINA_U2|AzulEscuro</v>
      </c>
      <c r="D459" t="str">
        <f t="shared" si="105"/>
        <v>256665279</v>
      </c>
      <c r="E459" t="str">
        <f t="shared" si="106"/>
        <v>Dynamic Click</v>
      </c>
      <c r="F459" t="str">
        <f t="shared" si="107"/>
        <v>MK|BR_CH|PSD_DT|CROSS_PB|FCBK_FM|LNK_RT|CPM_PD|CidadesdoFuturo_TG|NON_ST|NON_TS|NONE_SZ|1X1_AD|CM1_IT|SOC_U1|PETROLINA_U2|AzulEscuro</v>
      </c>
      <c r="G459" t="str">
        <f t="shared" si="108"/>
        <v>452475286</v>
      </c>
      <c r="H459" t="str">
        <f t="shared" si="109"/>
        <v>Tracking</v>
      </c>
      <c r="I459">
        <f t="shared" si="110"/>
        <v>0</v>
      </c>
      <c r="J459">
        <f t="shared" si="111"/>
        <v>1</v>
      </c>
      <c r="K459" s="4">
        <f t="shared" si="100"/>
        <v>3.5000000000000001E-3</v>
      </c>
      <c r="L459">
        <f t="shared" si="101"/>
        <v>0.02</v>
      </c>
      <c r="M459" s="4">
        <f t="shared" si="98"/>
        <v>3.5000000000000001E-3</v>
      </c>
      <c r="N459" s="4">
        <f t="shared" si="99"/>
        <v>0.02</v>
      </c>
    </row>
    <row r="460" spans="1:14">
      <c r="A460" t="str">
        <f t="shared" si="102"/>
        <v>MK|BR_CN|CIDADESDOFUTURO_MN|NONE_YQ|19Q4_CP|5020004441_SP|N/A_AC|CMKT_OB|AWA</v>
      </c>
      <c r="B460" t="str">
        <f t="shared" si="103"/>
        <v>Facebook</v>
      </c>
      <c r="C460" t="str">
        <f t="shared" si="104"/>
        <v>MK|BR_CH|PSD_DT|CROSS_PB|FCBK_FM|LNK_RT|CPM_PD|CidadesdoFuturo_TG|NON_ST|NON_TS|NONE_SZ|1X1_AD|CM1_IT|SOC_U1|PETROPOLIS_U2|AzulEscuro</v>
      </c>
      <c r="D460" t="str">
        <f t="shared" si="105"/>
        <v>255471217</v>
      </c>
      <c r="E460" t="str">
        <f t="shared" si="106"/>
        <v>Dynamic Click</v>
      </c>
      <c r="F460" t="str">
        <f t="shared" si="107"/>
        <v>MK|BR_CH|PSD_DT|CROSS_PB|FCBK_FM|LNK_RT|CPM_PD|CidadesdoFuturo_TG|NON_ST|NON_TS|NONE_SZ|1X1_AD|CM1_IT|SOC_U1|PETROPOLIS_U2|AzulEscuro</v>
      </c>
      <c r="G460" t="str">
        <f t="shared" si="108"/>
        <v>451397217</v>
      </c>
      <c r="H460" t="str">
        <f t="shared" si="109"/>
        <v>Tracking</v>
      </c>
      <c r="I460">
        <f t="shared" si="110"/>
        <v>0</v>
      </c>
      <c r="J460">
        <f t="shared" si="111"/>
        <v>52</v>
      </c>
      <c r="K460" s="4">
        <f t="shared" si="100"/>
        <v>3.5000000000000001E-3</v>
      </c>
      <c r="L460">
        <f t="shared" si="101"/>
        <v>0.02</v>
      </c>
      <c r="M460" s="4">
        <f t="shared" si="98"/>
        <v>0.182</v>
      </c>
      <c r="N460" s="4">
        <f t="shared" si="99"/>
        <v>1.04</v>
      </c>
    </row>
    <row r="461" spans="1:14">
      <c r="A461" t="str">
        <f t="shared" si="102"/>
        <v>MK|BR_CN|CIDADESDOFUTURO_MN|NONE_YQ|19Q4_CP|5020004441_SP|N/A_AC|CMKT_OB|AWA</v>
      </c>
      <c r="B461" t="str">
        <f t="shared" si="103"/>
        <v>Facebook</v>
      </c>
      <c r="C461" t="str">
        <f t="shared" si="104"/>
        <v>MK|BR_CH|PSD_DT|CROSS_PB|FCBK_FM|LNK_RT|CPM_PD|CidadesdoFuturo_TG|NON_ST|NON_TS|NONE_SZ|1X1_AD|CM1_IT|SOC_U1|POCOSDECALDAS_U2|AzulEscuro</v>
      </c>
      <c r="D461" t="str">
        <f t="shared" si="105"/>
        <v>255471205</v>
      </c>
      <c r="E461" t="str">
        <f t="shared" si="106"/>
        <v>Dynamic Click</v>
      </c>
      <c r="F461" t="str">
        <f t="shared" si="107"/>
        <v>MK|BR_CH|PSD_DT|CROSS_PB|FCBK_FM|LNK_RT|CPM_PD|CidadesdoFuturo_TG|NON_ST|NON_TS|NONE_SZ|1X1_AD|CM1_IT|SOC_U1|POCOSDECALDAS_U2|AzulEscuro</v>
      </c>
      <c r="G461" t="str">
        <f t="shared" si="108"/>
        <v>451397244</v>
      </c>
      <c r="H461" t="str">
        <f t="shared" si="109"/>
        <v>Tracking</v>
      </c>
      <c r="I461">
        <f t="shared" si="110"/>
        <v>0</v>
      </c>
      <c r="J461">
        <f t="shared" si="111"/>
        <v>21</v>
      </c>
      <c r="K461" s="4">
        <f t="shared" si="100"/>
        <v>3.5000000000000001E-3</v>
      </c>
      <c r="L461">
        <f t="shared" si="101"/>
        <v>0.02</v>
      </c>
      <c r="M461" s="4">
        <f t="shared" si="98"/>
        <v>7.3499999999999996E-2</v>
      </c>
      <c r="N461" s="4">
        <f t="shared" si="99"/>
        <v>0.42</v>
      </c>
    </row>
    <row r="462" spans="1:14">
      <c r="A462" t="str">
        <f t="shared" si="102"/>
        <v>MK|BR_CN|CIDADESDOFUTURO_MN|NONE_YQ|19Q4_CP|5020004441_SP|N/A_AC|CMKT_OB|AWA</v>
      </c>
      <c r="B462" t="str">
        <f t="shared" si="103"/>
        <v>Facebook</v>
      </c>
      <c r="C462" t="str">
        <f t="shared" si="104"/>
        <v>MK|BR_CH|PSD_DT|CROSS_PB|FCBK_FM|LNK_RT|CPM_PD|CidadesdoFuturo_TG|NON_ST|NON_TS|NONE_SZ|1X1_AD|CM1_IT|SOC_U1|RIOCLARO_U2|AzulEscuro</v>
      </c>
      <c r="D462" t="str">
        <f t="shared" si="105"/>
        <v>256665306</v>
      </c>
      <c r="E462" t="str">
        <f t="shared" si="106"/>
        <v>Dynamic Click</v>
      </c>
      <c r="F462" t="str">
        <f t="shared" si="107"/>
        <v>MK|BR_CH|PSD_DT|CROSS_PB|FCBK_FM|LNK_RT|CPM_PD|CidadesdoFuturo_TG|NON_ST|NON_TS|NONE_SZ|1X1_AD|CM1_IT|SOC_U1|RIOCLARO_U2|AzulEscuro</v>
      </c>
      <c r="G462" t="str">
        <f t="shared" si="108"/>
        <v>452475268</v>
      </c>
      <c r="H462" t="str">
        <f t="shared" si="109"/>
        <v>Tracking</v>
      </c>
      <c r="I462">
        <f t="shared" si="110"/>
        <v>0</v>
      </c>
      <c r="J462">
        <f t="shared" si="111"/>
        <v>1</v>
      </c>
      <c r="K462" s="4">
        <f t="shared" si="100"/>
        <v>3.5000000000000001E-3</v>
      </c>
      <c r="L462">
        <f t="shared" si="101"/>
        <v>0.02</v>
      </c>
      <c r="M462" s="4">
        <f t="shared" si="98"/>
        <v>3.5000000000000001E-3</v>
      </c>
      <c r="N462" s="4">
        <f t="shared" si="99"/>
        <v>0.02</v>
      </c>
    </row>
    <row r="463" spans="1:14">
      <c r="A463" t="str">
        <f t="shared" si="102"/>
        <v>MK|BR_CN|CIDADESDOFUTURO_MN|NONE_YQ|19Q4_CP|5020004441_SP|N/A_AC|CMKT_OB|AWA</v>
      </c>
      <c r="B463" t="str">
        <f t="shared" si="103"/>
        <v>Facebook</v>
      </c>
      <c r="C463" t="str">
        <f t="shared" si="104"/>
        <v>MK|BR_CH|PSD_DT|CROSS_PB|FCBK_FM|LNK_RT|CPM_PD|CidadesdoFuturo_TG|NON_ST|NON_TS|NONE_SZ|1X1_AD|CM1_IT|SOC_U1|RIOVERDE_U2|AzulEscuro</v>
      </c>
      <c r="D463" t="str">
        <f t="shared" si="105"/>
        <v>255471181</v>
      </c>
      <c r="E463" t="str">
        <f t="shared" si="106"/>
        <v>Dynamic Click</v>
      </c>
      <c r="F463" t="str">
        <f t="shared" si="107"/>
        <v>MK|BR_CH|PSD_DT|CROSS_PB|FCBK_FM|LNK_RT|CPM_PD|CidadesdoFuturo_TG|NON_ST|NON_TS|NONE_SZ|1X1_AD|CM1_IT|SOC_U1|RIOVERDE_U2|AzulEscuro</v>
      </c>
      <c r="G463" t="str">
        <f t="shared" si="108"/>
        <v>451397295</v>
      </c>
      <c r="H463" t="str">
        <f t="shared" si="109"/>
        <v>Tracking</v>
      </c>
      <c r="I463">
        <f t="shared" si="110"/>
        <v>0</v>
      </c>
      <c r="J463">
        <f t="shared" si="111"/>
        <v>34</v>
      </c>
      <c r="K463" s="4">
        <f t="shared" si="100"/>
        <v>3.5000000000000001E-3</v>
      </c>
      <c r="L463">
        <f t="shared" si="101"/>
        <v>0.02</v>
      </c>
      <c r="M463" s="4">
        <f t="shared" si="98"/>
        <v>0.11900000000000001</v>
      </c>
      <c r="N463" s="4">
        <f t="shared" si="99"/>
        <v>0.68</v>
      </c>
    </row>
    <row r="464" spans="1:14">
      <c r="A464" t="str">
        <f t="shared" si="102"/>
        <v>MK|BR_CN|CIDADESDOFUTURO_MN|NONE_YQ|19Q4_CP|5020004441_SP|N/A_AC|CMKT_OB|AWA</v>
      </c>
      <c r="B464" t="str">
        <f t="shared" si="103"/>
        <v>Facebook</v>
      </c>
      <c r="C464" t="str">
        <f t="shared" si="104"/>
        <v>MK|BR_CH|PSD_DT|CROSS_PB|FCBK_FM|LNK_RT|CPM_PD|CidadesdoFuturo_TG|NON_ST|NON_TS|NONE_SZ|1X1_AD|CM1_IT|SOC_U1|SANTACRUZDOSUL_U2|AzulEscuro</v>
      </c>
      <c r="D464" t="str">
        <f t="shared" si="105"/>
        <v>255471169</v>
      </c>
      <c r="E464" t="str">
        <f t="shared" si="106"/>
        <v>Dynamic Click</v>
      </c>
      <c r="F464" t="str">
        <f t="shared" si="107"/>
        <v>MK|BR_CH|PSD_DT|CROSS_PB|FCBK_FM|LNK_RT|CPM_PD|CidadesdoFuturo_TG|NON_ST|NON_TS|NONE_SZ|1X1_AD|CM1_IT|SOC_U1|SANTACRUZDOSUL_U2|AzulEscuro</v>
      </c>
      <c r="G464" t="str">
        <f t="shared" si="108"/>
        <v>451397319</v>
      </c>
      <c r="H464" t="str">
        <f t="shared" si="109"/>
        <v>Tracking</v>
      </c>
      <c r="I464">
        <f t="shared" si="110"/>
        <v>0</v>
      </c>
      <c r="J464">
        <f t="shared" si="111"/>
        <v>17</v>
      </c>
      <c r="K464" s="4">
        <f t="shared" si="100"/>
        <v>3.5000000000000001E-3</v>
      </c>
      <c r="L464">
        <f t="shared" si="101"/>
        <v>0.02</v>
      </c>
      <c r="M464" s="4">
        <f t="shared" si="98"/>
        <v>5.9500000000000004E-2</v>
      </c>
      <c r="N464" s="4">
        <f t="shared" si="99"/>
        <v>0.34</v>
      </c>
    </row>
    <row r="465" spans="1:14">
      <c r="A465" t="str">
        <f t="shared" si="102"/>
        <v>MK|BR_CN|CIDADESDOFUTURO_MN|NONE_YQ|19Q4_CP|5020004441_SP|N/A_AC|CMKT_OB|AWA</v>
      </c>
      <c r="B465" t="str">
        <f t="shared" si="103"/>
        <v>Facebook</v>
      </c>
      <c r="C465" t="str">
        <f t="shared" si="104"/>
        <v>MK|BR_CH|PSD_DT|CROSS_PB|FCBK_FM|LNK_RT|CPM_PD|CidadesdoFuturo_TG|NON_ST|NON_TS|NONE_SZ|1X1_AD|CM1_IT|SOC_U1|SAOLUIS_U2|AzulEscuro</v>
      </c>
      <c r="D465" t="str">
        <f t="shared" si="105"/>
        <v>255471013</v>
      </c>
      <c r="E465" t="str">
        <f t="shared" si="106"/>
        <v>Dynamic Click</v>
      </c>
      <c r="F465" t="str">
        <f t="shared" si="107"/>
        <v>MK|BR_CH|PSD_DT|CROSS_PB|FCBK_FM|LNK_RT|CPM_PD|CidadesdoFuturo_TG|NON_ST|NON_TS|NONE_SZ|1X1_AD|CM1_IT|SOC_U1|SAOLUIS_U2|AzulEscuro</v>
      </c>
      <c r="G465" t="str">
        <f t="shared" si="108"/>
        <v>451397598</v>
      </c>
      <c r="H465" t="str">
        <f t="shared" si="109"/>
        <v>Tracking</v>
      </c>
      <c r="I465">
        <f t="shared" si="110"/>
        <v>0</v>
      </c>
      <c r="J465">
        <f t="shared" si="111"/>
        <v>60</v>
      </c>
      <c r="K465" s="4">
        <f t="shared" si="100"/>
        <v>3.5000000000000001E-3</v>
      </c>
      <c r="L465">
        <f t="shared" si="101"/>
        <v>0.02</v>
      </c>
      <c r="M465" s="4">
        <f t="shared" si="98"/>
        <v>0.21</v>
      </c>
      <c r="N465" s="4">
        <f t="shared" si="99"/>
        <v>1.2</v>
      </c>
    </row>
    <row r="466" spans="1:14">
      <c r="A466" t="str">
        <f t="shared" si="102"/>
        <v>MK|BR_CN|CIDADESDOFUTURO_MN|NONE_YQ|19Q4_CP|5020004441_SP|N/A_AC|CMKT_OB|AWA</v>
      </c>
      <c r="B466" t="str">
        <f t="shared" si="103"/>
        <v>Facebook</v>
      </c>
      <c r="C466" t="str">
        <f t="shared" si="104"/>
        <v>MK|BR_CH|PSD_DT|CROSS_PB|FCBK_FM|LNK_RT|CPM_PD|CidadesdoFuturo_TG|NON_ST|NON_TS|NONE_SZ|1X1_AD|CM1_IT|SOC_U1|SAOMATEUS_U2|AzulEscuro</v>
      </c>
      <c r="D466" t="str">
        <f t="shared" si="105"/>
        <v>255471157</v>
      </c>
      <c r="E466" t="str">
        <f t="shared" si="106"/>
        <v>Dynamic Click</v>
      </c>
      <c r="F466" t="str">
        <f t="shared" si="107"/>
        <v>MK|BR_CH|PSD_DT|CROSS_PB|FCBK_FM|LNK_RT|CPM_PD|CidadesdoFuturo_TG|NON_ST|NON_TS|NONE_SZ|1X1_AD|CM1_IT|SOC_U1|SAOMATEUS_U2|AzulEscuro</v>
      </c>
      <c r="G466" t="str">
        <f t="shared" si="108"/>
        <v>451397346</v>
      </c>
      <c r="H466" t="str">
        <f t="shared" si="109"/>
        <v>Tracking</v>
      </c>
      <c r="I466">
        <f t="shared" si="110"/>
        <v>0</v>
      </c>
      <c r="J466">
        <f t="shared" si="111"/>
        <v>18</v>
      </c>
      <c r="K466" s="4">
        <f t="shared" si="100"/>
        <v>3.5000000000000001E-3</v>
      </c>
      <c r="L466">
        <f t="shared" si="101"/>
        <v>0.02</v>
      </c>
      <c r="M466" s="4">
        <f t="shared" si="98"/>
        <v>6.3E-2</v>
      </c>
      <c r="N466" s="4">
        <f t="shared" si="99"/>
        <v>0.36</v>
      </c>
    </row>
    <row r="467" spans="1:14">
      <c r="A467" t="str">
        <f t="shared" si="102"/>
        <v>MK|BR_CN|CIDADESDOFUTURO_MN|NONE_YQ|19Q4_CP|5020004441_SP|N/A_AC|CMKT_OB|AWA</v>
      </c>
      <c r="B467" t="str">
        <f t="shared" si="103"/>
        <v>Facebook</v>
      </c>
      <c r="C467" t="str">
        <f t="shared" si="104"/>
        <v>MK|BR_CH|PSD_DT|CROSS_PB|FCBK_FM|LNK_RT|CPM_PD|CidadesdoFuturo_TG|NON_ST|NON_TS|NONE_SZ|1X1_AD|CM1_IT|SOC_U1|SAOMATEUS_U2|AzulEscuro</v>
      </c>
      <c r="D467" t="str">
        <f t="shared" si="105"/>
        <v>256665333</v>
      </c>
      <c r="E467" t="str">
        <f t="shared" si="106"/>
        <v>Dynamic Click</v>
      </c>
      <c r="F467" t="str">
        <f t="shared" si="107"/>
        <v>MK|BR_CH|PSD_DT|CROSS_PB|FCBK_FM|LNK_RT|CPM_PD|CidadesdoFuturo_TG|NON_ST|NON_TS|NONE_SZ|1X1_AD|CM1_IT|SOC_U1|SAOMATEUS_U2|AzulEscuro</v>
      </c>
      <c r="G467" t="str">
        <f t="shared" si="108"/>
        <v>452475250</v>
      </c>
      <c r="H467" t="str">
        <f t="shared" si="109"/>
        <v>Tracking</v>
      </c>
      <c r="I467">
        <f t="shared" si="110"/>
        <v>0</v>
      </c>
      <c r="J467">
        <f t="shared" si="111"/>
        <v>1</v>
      </c>
      <c r="K467" s="4">
        <f t="shared" si="100"/>
        <v>3.5000000000000001E-3</v>
      </c>
      <c r="L467">
        <f t="shared" si="101"/>
        <v>0.02</v>
      </c>
      <c r="M467" s="4">
        <f t="shared" si="98"/>
        <v>3.5000000000000001E-3</v>
      </c>
      <c r="N467" s="4">
        <f t="shared" si="99"/>
        <v>0.02</v>
      </c>
    </row>
    <row r="468" spans="1:14">
      <c r="A468" t="str">
        <f t="shared" si="102"/>
        <v>MK|BR_CN|CIDADESDOFUTURO_MN|NONE_YQ|19Q4_CP|5020004441_SP|N/A_AC|CMKT_OB|AWA</v>
      </c>
      <c r="B468" t="str">
        <f t="shared" si="103"/>
        <v>Facebook</v>
      </c>
      <c r="C468" t="str">
        <f t="shared" si="104"/>
        <v>MK|BR_CH|PSD_DT|CROSS_PB|FCBK_FM|LNK_RT|CPM_PD|CidadesdoFuturo_TG|NON_ST|NON_TS|NONE_SZ|1X1_AD|CM1_IT|SOC_U1|SETELAGOAS_U2|AzulEscuro</v>
      </c>
      <c r="D468" t="str">
        <f t="shared" si="105"/>
        <v>255471145</v>
      </c>
      <c r="E468" t="str">
        <f t="shared" si="106"/>
        <v>Dynamic Click</v>
      </c>
      <c r="F468" t="str">
        <f t="shared" si="107"/>
        <v>MK|BR_CH|PSD_DT|CROSS_PB|FCBK_FM|LNK_RT|CPM_PD|CidadesdoFuturo_TG|NON_ST|NON_TS|NONE_SZ|1X1_AD|CM1_IT|SOC_U1|SETELAGOAS_U2|AzulEscuro</v>
      </c>
      <c r="G468" t="str">
        <f t="shared" si="108"/>
        <v>451397370</v>
      </c>
      <c r="H468" t="str">
        <f t="shared" si="109"/>
        <v>Tracking</v>
      </c>
      <c r="I468">
        <f t="shared" si="110"/>
        <v>0</v>
      </c>
      <c r="J468">
        <f t="shared" si="111"/>
        <v>18</v>
      </c>
      <c r="K468" s="4">
        <f t="shared" si="100"/>
        <v>3.5000000000000001E-3</v>
      </c>
      <c r="L468">
        <f t="shared" si="101"/>
        <v>0.02</v>
      </c>
      <c r="M468" s="4">
        <f t="shared" si="98"/>
        <v>6.3E-2</v>
      </c>
      <c r="N468" s="4">
        <f t="shared" si="99"/>
        <v>0.36</v>
      </c>
    </row>
    <row r="469" spans="1:14">
      <c r="A469" t="str">
        <f t="shared" si="102"/>
        <v>MK|BR_CN|CIDADESDOFUTURO_MN|NONE_YQ|19Q4_CP|5020004441_SP|N/A_AC|CMKT_OB|AWA</v>
      </c>
      <c r="B469" t="str">
        <f t="shared" si="103"/>
        <v>Facebook</v>
      </c>
      <c r="C469" t="str">
        <f t="shared" si="104"/>
        <v>MK|BR_CH|PSD_DT|CROSS_PB|FCBK_FM|LNK_RT|CPM_PD|CidadesdoFuturo_TG|NON_ST|NON_TS|NONE_SZ|1X1_AD|CM1_IT|SOC_U1|TEOFILOOTONI_U2|AzulEscuro</v>
      </c>
      <c r="D469" t="str">
        <f t="shared" si="105"/>
        <v>255471133</v>
      </c>
      <c r="E469" t="str">
        <f t="shared" si="106"/>
        <v>Dynamic Click</v>
      </c>
      <c r="F469" t="str">
        <f t="shared" si="107"/>
        <v>MK|BR_CH|PSD_DT|CROSS_PB|FCBK_FM|LNK_RT|CPM_PD|CidadesdoFuturo_TG|NON_ST|NON_TS|NONE_SZ|1X1_AD|CM1_IT|SOC_U1|TEOFILOOTONI_U2|AzulEscuro</v>
      </c>
      <c r="G469" t="str">
        <f t="shared" si="108"/>
        <v>451397397</v>
      </c>
      <c r="H469" t="str">
        <f t="shared" si="109"/>
        <v>Tracking</v>
      </c>
      <c r="I469">
        <f t="shared" si="110"/>
        <v>0</v>
      </c>
      <c r="J469">
        <f t="shared" si="111"/>
        <v>11</v>
      </c>
      <c r="K469" s="4">
        <f t="shared" si="100"/>
        <v>3.5000000000000001E-3</v>
      </c>
      <c r="L469">
        <f t="shared" si="101"/>
        <v>0.02</v>
      </c>
      <c r="M469" s="4">
        <f t="shared" si="98"/>
        <v>3.85E-2</v>
      </c>
      <c r="N469" s="4">
        <f t="shared" si="99"/>
        <v>0.22</v>
      </c>
    </row>
    <row r="470" spans="1:14">
      <c r="A470" t="str">
        <f t="shared" si="102"/>
        <v>MK|BR_CN|CIDADESDOFUTURO_MN|NONE_YQ|19Q4_CP|5020004441_SP|N/A_AC|CMKT_OB|AWA</v>
      </c>
      <c r="B470" t="str">
        <f t="shared" si="103"/>
        <v>Facebook</v>
      </c>
      <c r="C470" t="str">
        <f t="shared" si="104"/>
        <v>MK|BR_CH|PSD_DT|CROSS_PB|FCBK_FM|LNK_RT|CPM_PD|CidadesdoFuturo_TG|NON_ST|NON_TS|NONE_SZ|1X1_AD|CM1_IT|SOC_U1|TERESINA_U2|AzulEscuro</v>
      </c>
      <c r="D470" t="str">
        <f t="shared" si="105"/>
        <v>255471001</v>
      </c>
      <c r="E470" t="str">
        <f t="shared" si="106"/>
        <v>Dynamic Click</v>
      </c>
      <c r="F470" t="str">
        <f t="shared" si="107"/>
        <v>MK|BR_CH|PSD_DT|CROSS_PB|FCBK_FM|LNK_RT|CPM_PD|CidadesdoFuturo_TG|NON_ST|NON_TS|NONE_SZ|1X1_AD|CM1_IT|SOC_U1|TERESINA_U2|AzulEscuro</v>
      </c>
      <c r="G470" t="str">
        <f t="shared" si="108"/>
        <v>451397610</v>
      </c>
      <c r="H470" t="str">
        <f t="shared" si="109"/>
        <v>Tracking</v>
      </c>
      <c r="I470">
        <f t="shared" si="110"/>
        <v>0</v>
      </c>
      <c r="J470">
        <f t="shared" si="111"/>
        <v>442</v>
      </c>
      <c r="K470" s="4">
        <f t="shared" si="100"/>
        <v>3.5000000000000001E-3</v>
      </c>
      <c r="L470">
        <f t="shared" si="101"/>
        <v>0.02</v>
      </c>
      <c r="M470" s="4">
        <f t="shared" si="98"/>
        <v>1.5469999999999999</v>
      </c>
      <c r="N470" s="4">
        <f t="shared" si="99"/>
        <v>8.84</v>
      </c>
    </row>
    <row r="471" spans="1:14">
      <c r="A471" t="str">
        <f t="shared" si="102"/>
        <v>MK|BR_CN|CIDADESDOFUTURO_MN|NONE_YQ|19Q4_CP|5020004441_SP|N/A_AC|CMKT_OB|AWA</v>
      </c>
      <c r="B471" t="str">
        <f t="shared" si="103"/>
        <v>Facebook</v>
      </c>
      <c r="C471" t="str">
        <f t="shared" si="104"/>
        <v>MK|BR_CH|PSD_DT|CROSS_PB|FCBK_FM|LNK_RT|CPM_PD|CidadesdoFuturo_TG|NON_ST|NON_TS|NONE_SZ|1X1_AD|CM1_IT|SOC_U1|TOLEDO_U2|AzulEscuro</v>
      </c>
      <c r="D471" t="str">
        <f t="shared" si="105"/>
        <v>255471109</v>
      </c>
      <c r="E471" t="str">
        <f t="shared" si="106"/>
        <v>Dynamic Click</v>
      </c>
      <c r="F471" t="str">
        <f t="shared" si="107"/>
        <v>MK|BR_CH|PSD_DT|CROSS_PB|FCBK_FM|LNK_RT|CPM_PD|CidadesdoFuturo_TG|NON_ST|NON_TS|NONE_SZ|1X1_AD|CM1_IT|SOC_U1|TOLEDO_U2|AzulEscuro</v>
      </c>
      <c r="G471" t="str">
        <f t="shared" si="108"/>
        <v>451397448</v>
      </c>
      <c r="H471" t="str">
        <f t="shared" si="109"/>
        <v>Tracking</v>
      </c>
      <c r="I471">
        <f t="shared" si="110"/>
        <v>0</v>
      </c>
      <c r="J471">
        <f t="shared" si="111"/>
        <v>33</v>
      </c>
      <c r="K471" s="4">
        <f t="shared" si="100"/>
        <v>3.5000000000000001E-3</v>
      </c>
      <c r="L471">
        <f t="shared" si="101"/>
        <v>0.02</v>
      </c>
      <c r="M471" s="4">
        <f t="shared" si="98"/>
        <v>0.11550000000000001</v>
      </c>
      <c r="N471" s="4">
        <f t="shared" si="99"/>
        <v>0.66</v>
      </c>
    </row>
    <row r="472" spans="1:14">
      <c r="A472" t="str">
        <f t="shared" si="102"/>
        <v>MK|BR_CN|CIDADESDOFUTURO_MN|NONE_YQ|19Q4_CP|5020004441_SP|N/A_AC|CMKT_OB|AWA</v>
      </c>
      <c r="B472" t="str">
        <f t="shared" si="103"/>
        <v>Facebook</v>
      </c>
      <c r="C472" t="str">
        <f t="shared" si="104"/>
        <v>MK|BR_CH|PSD_DT|CROSS_PB|FCBK_FM|LNK_RT|CPM_PD|CidadesdoFuturo_TG|NON_ST|NON_TS|NONE_SZ|1X1_AD|CM1_IT|SOC_U1|URUGUAIANA_U2|AzulEscuro</v>
      </c>
      <c r="D472" t="str">
        <f t="shared" si="105"/>
        <v>255471097</v>
      </c>
      <c r="E472" t="str">
        <f t="shared" si="106"/>
        <v>Dynamic Click</v>
      </c>
      <c r="F472" t="str">
        <f t="shared" si="107"/>
        <v>MK|BR_CH|PSD_DT|CROSS_PB|FCBK_FM|LNK_RT|CPM_PD|CidadesdoFuturo_TG|NON_ST|NON_TS|NONE_SZ|1X1_AD|CM1_IT|SOC_U1|URUGUAIANA_U2|AzulEscuro</v>
      </c>
      <c r="G472" t="str">
        <f t="shared" si="108"/>
        <v>451397472</v>
      </c>
      <c r="H472" t="str">
        <f t="shared" si="109"/>
        <v>Tracking</v>
      </c>
      <c r="I472">
        <f t="shared" si="110"/>
        <v>0</v>
      </c>
      <c r="J472">
        <f t="shared" si="111"/>
        <v>17</v>
      </c>
      <c r="K472" s="4">
        <f t="shared" si="100"/>
        <v>3.5000000000000001E-3</v>
      </c>
      <c r="L472">
        <f t="shared" si="101"/>
        <v>0.02</v>
      </c>
      <c r="M472" s="4">
        <f t="shared" si="98"/>
        <v>5.9500000000000004E-2</v>
      </c>
      <c r="N472" s="4">
        <f t="shared" si="99"/>
        <v>0.34</v>
      </c>
    </row>
    <row r="473" spans="1:14">
      <c r="A473" t="str">
        <f t="shared" si="102"/>
        <v>MK|BR_CN|CIDADESDOFUTURO_MN|NONE_YQ|19Q4_CP|5020004441_SP|N/A_AC|CMKT_OB|AWA</v>
      </c>
      <c r="B473" t="str">
        <f t="shared" si="103"/>
        <v>Facebook</v>
      </c>
      <c r="C473" t="str">
        <f t="shared" si="104"/>
        <v>MK|BR_CH|PSD_DT|CROSS_PB|FCBK_FM|LNK_RT|CPM_PD|CidadesdoFuturo_TG|NON_ST|NON_TS|NONE_SZ|1X1_AD|CM1_IT|SOC_U1|VITORIADACONQUISTA_U2|AzulEscuro</v>
      </c>
      <c r="D473" t="str">
        <f t="shared" si="105"/>
        <v>255471085</v>
      </c>
      <c r="E473" t="str">
        <f t="shared" si="106"/>
        <v>Dynamic Click</v>
      </c>
      <c r="F473" t="str">
        <f t="shared" si="107"/>
        <v>MK|BR_CH|PSD_DT|CROSS_PB|FCBK_FM|LNK_RT|CPM_PD|CidadesdoFuturo_TG|NON_ST|NON_TS|NONE_SZ|1X1_AD|CM1_IT|SOC_U1|VITORIADACONQUISTA_U2|AzulEscuro</v>
      </c>
      <c r="G473" t="str">
        <f t="shared" si="108"/>
        <v>451397499</v>
      </c>
      <c r="H473" t="str">
        <f t="shared" si="109"/>
        <v>Tracking</v>
      </c>
      <c r="I473">
        <f t="shared" si="110"/>
        <v>0</v>
      </c>
      <c r="J473">
        <f t="shared" si="111"/>
        <v>35</v>
      </c>
      <c r="K473" s="4">
        <f t="shared" si="100"/>
        <v>3.5000000000000001E-3</v>
      </c>
      <c r="L473">
        <f t="shared" si="101"/>
        <v>0.02</v>
      </c>
      <c r="M473" s="4">
        <f t="shared" si="98"/>
        <v>0.1225</v>
      </c>
      <c r="N473" s="4">
        <f t="shared" si="99"/>
        <v>0.70000000000000007</v>
      </c>
    </row>
    <row r="474" spans="1:14">
      <c r="A474" t="str">
        <f t="shared" si="102"/>
        <v>MK|BR_CN|CIDADESDOFUTURO_MN|NONE_YQ|19Q4_CP|5020004441_SP|N/A_AC|CMKT_OB|AWA</v>
      </c>
      <c r="B474" t="str">
        <f t="shared" si="103"/>
        <v>Facebook</v>
      </c>
      <c r="C474" t="str">
        <f t="shared" si="104"/>
        <v>MK|BR_CH|PSD_DT|CROSS_PB|FCBK_FM|LNK_RT|CPM_PD|CompraFora_TG|NON_ST|NON_TS|NONE_SZ|1X1_AD|CM1_IT|SOC_U1|PRATICIDADE_U2|GAMERS</v>
      </c>
      <c r="D474" t="str">
        <f t="shared" si="105"/>
        <v>253147226</v>
      </c>
      <c r="E474" t="str">
        <f t="shared" si="106"/>
        <v>Dynamic Click</v>
      </c>
      <c r="F474" t="str">
        <f t="shared" si="107"/>
        <v>MK|BR_CH|PSD_DT|CROSS_PB|FCBK_FM|LNK_RT|CPM_PD|CompraFora_TG|NON_ST|NON_TS|NONE_SZ|1X1_AD|CM1_IT|SOC_U1|PRATICIDADE_U2|GAMERS</v>
      </c>
      <c r="G474" t="str">
        <f t="shared" si="108"/>
        <v>449528822</v>
      </c>
      <c r="H474" t="str">
        <f t="shared" si="109"/>
        <v>Tracking</v>
      </c>
      <c r="I474">
        <f t="shared" si="110"/>
        <v>0</v>
      </c>
      <c r="J474">
        <f t="shared" si="111"/>
        <v>1</v>
      </c>
      <c r="K474" s="4">
        <f t="shared" si="100"/>
        <v>3.5000000000000001E-3</v>
      </c>
      <c r="L474">
        <f t="shared" si="101"/>
        <v>0.02</v>
      </c>
      <c r="M474" s="4">
        <f t="shared" si="98"/>
        <v>3.5000000000000001E-3</v>
      </c>
      <c r="N474" s="4">
        <f t="shared" si="99"/>
        <v>0.02</v>
      </c>
    </row>
    <row r="475" spans="1:14">
      <c r="A475" t="str">
        <f t="shared" si="102"/>
        <v>MK|BR_CN|CIDADESDOFUTURO_MN|NONE_YQ|19Q4_CP|5020004441_SP|N/A_AC|CMKT_OB|AWA</v>
      </c>
      <c r="B475" t="str">
        <f t="shared" si="103"/>
        <v>Facebook</v>
      </c>
      <c r="C475" t="str">
        <f t="shared" si="104"/>
        <v>MK|BR_CH|PSD_DT|CROSS_PB|INST_FM|STRY_RT|CPM_PD|CidadesdoFuturo_TG|NON_ST|NON_TS|NONE_SZ|1X1_AD|CM1_IT|SOC_U1|ARAGUAINA_U2|AzulEscuro</v>
      </c>
      <c r="D475" t="str">
        <f t="shared" si="105"/>
        <v>255146027</v>
      </c>
      <c r="E475" t="str">
        <f t="shared" si="106"/>
        <v>Dynamic Click</v>
      </c>
      <c r="F475" t="str">
        <f t="shared" si="107"/>
        <v>MK|BR_CH|PSD_DT|CROSS_PB|INST_FM|STRY_RT|CPM_PD|CidadesdoFuturo_TG|NON_ST|NON_TS|NONE_SZ|1X1_AD|CM1_IT|SOC_U1|ARAGUAINA_U2|AzulEscuro</v>
      </c>
      <c r="G475" t="str">
        <f t="shared" si="108"/>
        <v>451491331</v>
      </c>
      <c r="H475" t="str">
        <f t="shared" si="109"/>
        <v>Tracking</v>
      </c>
      <c r="I475">
        <f t="shared" si="110"/>
        <v>0</v>
      </c>
      <c r="J475">
        <f t="shared" si="111"/>
        <v>36</v>
      </c>
      <c r="K475" s="4">
        <f t="shared" si="100"/>
        <v>3.5000000000000001E-3</v>
      </c>
      <c r="L475">
        <f t="shared" si="101"/>
        <v>0.02</v>
      </c>
      <c r="M475" s="4">
        <f t="shared" si="98"/>
        <v>0.126</v>
      </c>
      <c r="N475" s="4">
        <f t="shared" si="99"/>
        <v>0.72</v>
      </c>
    </row>
    <row r="476" spans="1:14">
      <c r="A476" t="str">
        <f t="shared" si="102"/>
        <v>MK|BR_CN|CIDADESDOFUTURO_MN|NONE_YQ|19Q4_CP|5020004441_SP|N/A_AC|CMKT_OB|AWA</v>
      </c>
      <c r="B476" t="str">
        <f t="shared" si="103"/>
        <v>Facebook</v>
      </c>
      <c r="C476" t="str">
        <f t="shared" si="104"/>
        <v>MK|BR_CH|PSD_DT|CROSS_PB|INST_FM|STRY_RT|CPM_PD|CidadesdoFuturo_TG|NON_ST|NON_TS|NONE_SZ|1X1_AD|CM1_IT|SOC_U1|ARAGUAINA_U2|AzulEscuro</v>
      </c>
      <c r="D476" t="str">
        <f t="shared" si="105"/>
        <v>255146039</v>
      </c>
      <c r="E476" t="str">
        <f t="shared" si="106"/>
        <v>Dynamic Click</v>
      </c>
      <c r="F476" t="str">
        <f t="shared" si="107"/>
        <v>MK|BR_CH|PSD_DT|CROSS_PB|INST_FM|STRY_RT|CPM_PD|CidadesdoFuturo_TG|NON_ST|NON_TS|NONE_SZ|1X1_AD|CM1_IT|SOC_U1|ARAGUAINA_U2|AzulEscuro</v>
      </c>
      <c r="G476" t="str">
        <f t="shared" si="108"/>
        <v>451491304</v>
      </c>
      <c r="H476" t="str">
        <f t="shared" si="109"/>
        <v>Tracking</v>
      </c>
      <c r="I476">
        <f t="shared" si="110"/>
        <v>0</v>
      </c>
      <c r="J476">
        <f t="shared" si="111"/>
        <v>63</v>
      </c>
      <c r="K476" s="4">
        <f t="shared" si="100"/>
        <v>3.5000000000000001E-3</v>
      </c>
      <c r="L476">
        <f t="shared" si="101"/>
        <v>0.02</v>
      </c>
      <c r="M476" s="4">
        <f t="shared" si="98"/>
        <v>0.2205</v>
      </c>
      <c r="N476" s="4">
        <f t="shared" si="99"/>
        <v>1.26</v>
      </c>
    </row>
    <row r="477" spans="1:14">
      <c r="A477" t="str">
        <f t="shared" si="102"/>
        <v>MK|BR_CN|CIDADESDOFUTURO_MN|NONE_YQ|19Q4_CP|5020004441_SP|N/A_AC|CMKT_OB|AWA</v>
      </c>
      <c r="B477" t="str">
        <f t="shared" si="103"/>
        <v>Facebook</v>
      </c>
      <c r="C477" t="str">
        <f t="shared" si="104"/>
        <v>MK|BR_CH|PSD_DT|CROSS_PB|INST_FM|STRY_RT|CPM_PD|CidadesdoFuturo_TG|NON_ST|NON_TS|NONE_SZ|1X1_AD|CM1_IT|SOC_U1|ARARAS_U2|AzulEscuro</v>
      </c>
      <c r="D477" t="str">
        <f t="shared" si="105"/>
        <v>255146015</v>
      </c>
      <c r="E477" t="str">
        <f t="shared" si="106"/>
        <v>Dynamic Click</v>
      </c>
      <c r="F477" t="str">
        <f t="shared" si="107"/>
        <v>MK|BR_CH|PSD_DT|CROSS_PB|INST_FM|STRY_RT|CPM_PD|CidadesdoFuturo_TG|NON_ST|NON_TS|NONE_SZ|1X1_AD|CM1_IT|SOC_U1|ARARAS_U2|AzulEscuro</v>
      </c>
      <c r="G477" t="str">
        <f t="shared" si="108"/>
        <v>451491355</v>
      </c>
      <c r="H477" t="str">
        <f t="shared" si="109"/>
        <v>Tracking</v>
      </c>
      <c r="I477">
        <f t="shared" si="110"/>
        <v>0</v>
      </c>
      <c r="J477">
        <f t="shared" si="111"/>
        <v>44</v>
      </c>
      <c r="K477" s="4">
        <f t="shared" si="100"/>
        <v>3.5000000000000001E-3</v>
      </c>
      <c r="L477">
        <f t="shared" si="101"/>
        <v>0.02</v>
      </c>
      <c r="M477" s="4">
        <f t="shared" si="98"/>
        <v>0.154</v>
      </c>
      <c r="N477" s="4">
        <f t="shared" si="99"/>
        <v>0.88</v>
      </c>
    </row>
    <row r="478" spans="1:14">
      <c r="A478" t="str">
        <f t="shared" si="102"/>
        <v>MK|BR_CN|CIDADESDOFUTURO_MN|NONE_YQ|19Q4_CP|5020004441_SP|N/A_AC|CMKT_OB|AWA</v>
      </c>
      <c r="B478" t="str">
        <f t="shared" si="103"/>
        <v>Facebook</v>
      </c>
      <c r="C478" t="str">
        <f t="shared" si="104"/>
        <v>MK|BR_CH|PSD_DT|CROSS_PB|INST_FM|STRY_RT|CPM_PD|CidadesdoFuturo_TG|NON_ST|NON_TS|NONE_SZ|1X1_AD|CM1_IT|SOC_U1|BARRETOS_U2|AzulEscuro</v>
      </c>
      <c r="D478" t="str">
        <f t="shared" si="105"/>
        <v>255146003</v>
      </c>
      <c r="E478" t="str">
        <f t="shared" si="106"/>
        <v>Dynamic Click</v>
      </c>
      <c r="F478" t="str">
        <f t="shared" si="107"/>
        <v>MK|BR_CH|PSD_DT|CROSS_PB|INST_FM|STRY_RT|CPM_PD|CidadesdoFuturo_TG|NON_ST|NON_TS|NONE_SZ|1X1_AD|CM1_IT|SOC_U1|BARRETOS_U2|AzulEscuro</v>
      </c>
      <c r="G478" t="str">
        <f t="shared" si="108"/>
        <v>451491382</v>
      </c>
      <c r="H478" t="str">
        <f t="shared" si="109"/>
        <v>Tracking</v>
      </c>
      <c r="I478">
        <f t="shared" si="110"/>
        <v>0</v>
      </c>
      <c r="J478">
        <f t="shared" si="111"/>
        <v>74</v>
      </c>
      <c r="K478" s="4">
        <f t="shared" si="100"/>
        <v>3.5000000000000001E-3</v>
      </c>
      <c r="L478">
        <f t="shared" si="101"/>
        <v>0.02</v>
      </c>
      <c r="M478" s="4">
        <f t="shared" si="98"/>
        <v>0.25900000000000001</v>
      </c>
      <c r="N478" s="4">
        <f t="shared" si="99"/>
        <v>1.48</v>
      </c>
    </row>
    <row r="479" spans="1:14">
      <c r="A479" t="str">
        <f t="shared" si="102"/>
        <v>MK|BR_CN|CIDADESDOFUTURO_MN|NONE_YQ|19Q4_CP|5020004441_SP|N/A_AC|CMKT_OB|AWA</v>
      </c>
      <c r="B479" t="str">
        <f t="shared" si="103"/>
        <v>Facebook</v>
      </c>
      <c r="C479" t="str">
        <f t="shared" si="104"/>
        <v>MK|BR_CH|PSD_DT|CROSS_PB|INST_FM|STRY_RT|CPM_PD|CidadesdoFuturo_TG|NON_ST|NON_TS|NONE_SZ|1X1_AD|CM1_IT|SOC_U1|BOAVISTA_U2|AzulEscuro</v>
      </c>
      <c r="D479" t="str">
        <f t="shared" si="105"/>
        <v>255145991</v>
      </c>
      <c r="E479" t="str">
        <f t="shared" si="106"/>
        <v>Dynamic Click</v>
      </c>
      <c r="F479" t="str">
        <f t="shared" si="107"/>
        <v>MK|BR_CH|PSD_DT|CROSS_PB|INST_FM|STRY_RT|CPM_PD|CidadesdoFuturo_TG|NON_ST|NON_TS|NONE_SZ|1X1_AD|CM1_IT|SOC_U1|BOAVISTA_U2|AzulEscuro</v>
      </c>
      <c r="G479" t="str">
        <f t="shared" si="108"/>
        <v>451491406</v>
      </c>
      <c r="H479" t="str">
        <f t="shared" si="109"/>
        <v>Tracking</v>
      </c>
      <c r="I479">
        <f t="shared" si="110"/>
        <v>0</v>
      </c>
      <c r="J479">
        <f t="shared" si="111"/>
        <v>55</v>
      </c>
      <c r="K479" s="4">
        <f t="shared" si="100"/>
        <v>3.5000000000000001E-3</v>
      </c>
      <c r="L479">
        <f t="shared" si="101"/>
        <v>0.02</v>
      </c>
      <c r="M479" s="4">
        <f t="shared" si="98"/>
        <v>0.1925</v>
      </c>
      <c r="N479" s="4">
        <f t="shared" si="99"/>
        <v>1.1000000000000001</v>
      </c>
    </row>
    <row r="480" spans="1:14">
      <c r="A480" t="str">
        <f t="shared" si="102"/>
        <v>MK|BR_CN|CIDADESDOFUTURO_MN|NONE_YQ|19Q4_CP|5020004441_SP|N/A_AC|CMKT_OB|AWA</v>
      </c>
      <c r="B480" t="str">
        <f t="shared" si="103"/>
        <v>Google Brasil</v>
      </c>
      <c r="C480" t="str">
        <f t="shared" si="104"/>
        <v>MK|BR_CH|PD_DT|CROSS_PB|DV36_FM|BAN_RT|CPM_PD|CompraFora_TG|NON_ST|NON_TS|NONE_SZ|160x600_AD|CM1_IT|SOC_U1|GAMERS</v>
      </c>
      <c r="D480" t="str">
        <f t="shared" si="105"/>
        <v>255146815</v>
      </c>
      <c r="E480" t="str">
        <f t="shared" si="106"/>
        <v>Standard</v>
      </c>
      <c r="F480" t="str">
        <f t="shared" si="107"/>
        <v>MK|BR_CH|PD_DT|CROSS_PB|DV36_FM|BAN_RT|CPM_PD|CompraFora_TG|NON_ST|NON_TS|NONE_SZ|160x600_AD|CM1_IT|SOC_U1|GAMERS</v>
      </c>
      <c r="G480" t="str">
        <f t="shared" si="108"/>
        <v>451076094</v>
      </c>
      <c r="H480" t="str">
        <f t="shared" si="109"/>
        <v>Display</v>
      </c>
      <c r="I480">
        <f t="shared" si="110"/>
        <v>2</v>
      </c>
      <c r="J480">
        <f t="shared" si="111"/>
        <v>0</v>
      </c>
      <c r="K480" s="4">
        <f t="shared" si="100"/>
        <v>3.8199999999999998E-2</v>
      </c>
      <c r="L480">
        <f t="shared" si="101"/>
        <v>0.09</v>
      </c>
      <c r="M480" s="4">
        <f t="shared" si="98"/>
        <v>7.64E-5</v>
      </c>
      <c r="N480" s="4">
        <f t="shared" si="99"/>
        <v>1.7999999999999998E-4</v>
      </c>
    </row>
    <row r="481" spans="1:14">
      <c r="A481" t="str">
        <f t="shared" si="102"/>
        <v>MK|BR_CN|CIDADESDOFUTURO_MN|NONE_YQ|19Q4_CP|5020004441_SP|N/A_AC|CMKT_OB|AWA</v>
      </c>
      <c r="B481" t="str">
        <f t="shared" si="103"/>
        <v>Google Brasil</v>
      </c>
      <c r="C481" t="str">
        <f t="shared" si="104"/>
        <v>MK|BR_CH|PD_DT|CROSS_PB|DV36_FM|BAN_RT|CPM_PD|CompraFora_TG|NON_ST|NON_TS|NONE_SZ|300x250_AD|CM1_IT|SOC_U1|GAMERS</v>
      </c>
      <c r="D481" t="str">
        <f t="shared" si="105"/>
        <v>255268446</v>
      </c>
      <c r="E481" t="str">
        <f t="shared" si="106"/>
        <v>Standard</v>
      </c>
      <c r="F481" t="str">
        <f t="shared" si="107"/>
        <v>MK|BR_CH|PD_DT|CROSS_PB|DV36_FM|BAN_RT|CPM_PD|CompraFora_TG|NON_ST|NON_TS|NONE_SZ|300x250_AD|CM1_IT|SOC_U1|GAMERS</v>
      </c>
      <c r="G481" t="str">
        <f t="shared" si="108"/>
        <v>451186045</v>
      </c>
      <c r="H481" t="str">
        <f t="shared" si="109"/>
        <v>Display</v>
      </c>
      <c r="I481">
        <f t="shared" si="110"/>
        <v>12</v>
      </c>
      <c r="J481">
        <f t="shared" si="111"/>
        <v>0</v>
      </c>
      <c r="K481" s="4">
        <f t="shared" si="100"/>
        <v>3.8199999999999998E-2</v>
      </c>
      <c r="L481">
        <f t="shared" si="101"/>
        <v>0.09</v>
      </c>
      <c r="M481" s="4">
        <f t="shared" si="98"/>
        <v>4.5839999999999998E-4</v>
      </c>
      <c r="N481" s="4">
        <f t="shared" si="99"/>
        <v>1.08E-3</v>
      </c>
    </row>
    <row r="482" spans="1:14">
      <c r="A482" t="str">
        <f t="shared" si="102"/>
        <v>MK|BR_CN|CIDADESDOFUTURO_MN|NONE_YQ|19Q4_CP|5020004441_SP|N/A_AC|CMKT_OB|AWA</v>
      </c>
      <c r="B482" t="str">
        <f t="shared" si="103"/>
        <v>Google Brasil</v>
      </c>
      <c r="C482" t="str">
        <f t="shared" si="104"/>
        <v>MK|BR_CH|PD_DT|CROSS_PB|DV36_FM|BAN_RT|CPM_PD|CompraFora_TG|NON_ST|NON_TS|NONE_SZ|320x100_AD|CM1_IT|SOC_U1|GAMERS</v>
      </c>
      <c r="D482" t="str">
        <f t="shared" si="105"/>
        <v>255267429</v>
      </c>
      <c r="E482" t="str">
        <f t="shared" si="106"/>
        <v>Standard</v>
      </c>
      <c r="F482" t="str">
        <f t="shared" si="107"/>
        <v>MK|BR_CH|PD_DT|CROSS_PB|DV36_FM|BAN_RT|CPM_PD|CompraFora_TG|NON_ST|NON_TS|NONE_SZ|320x100_AD|CM1_IT|SOC_U1|GAMERS</v>
      </c>
      <c r="G482" t="str">
        <f t="shared" si="108"/>
        <v>451187029</v>
      </c>
      <c r="H482" t="str">
        <f t="shared" si="109"/>
        <v>Display</v>
      </c>
      <c r="I482">
        <f t="shared" si="110"/>
        <v>1</v>
      </c>
      <c r="J482">
        <f t="shared" si="111"/>
        <v>0</v>
      </c>
      <c r="K482" s="4">
        <f t="shared" si="100"/>
        <v>3.8199999999999998E-2</v>
      </c>
      <c r="L482">
        <f t="shared" si="101"/>
        <v>0.09</v>
      </c>
      <c r="M482" s="4">
        <f t="shared" ref="M482:M545" si="112">IF(E482="Dynamic Click",J482*K482,K482*$I482/1000)</f>
        <v>3.82E-5</v>
      </c>
      <c r="N482" s="4">
        <f t="shared" ref="N482:N545" si="113">IF(E482="Dynamic Click",J482*L482,L482*$I482/1000)</f>
        <v>8.9999999999999992E-5</v>
      </c>
    </row>
    <row r="483" spans="1:14">
      <c r="A483" t="str">
        <f t="shared" si="102"/>
        <v>MK|BR_CN|CIDADESDOFUTURO_MN|NONE_YQ|19Q4_CP|5020004441_SP|N/A_AC|CMKT_OB|AWA</v>
      </c>
      <c r="B483" t="str">
        <f t="shared" si="103"/>
        <v>Google Brasil</v>
      </c>
      <c r="C483" t="str">
        <f t="shared" si="104"/>
        <v>MK|BR_CH|PD_DT|CROSS_PB|DV36_FM|BAN_RT|CPM_PD|CompraFora_TG|NON_ST|NON_TS|NONE_SZ|320x50_AD|CM1_IT|SOC_U1|GAMERS</v>
      </c>
      <c r="D483" t="str">
        <f t="shared" si="105"/>
        <v>255268185</v>
      </c>
      <c r="E483" t="str">
        <f t="shared" si="106"/>
        <v>Standard</v>
      </c>
      <c r="F483" t="str">
        <f t="shared" si="107"/>
        <v>MK|BR_CH|PD_DT|CROSS_PB|DV36_FM|BAN_RT|CPM_PD|CompraFora_TG|NON_ST|NON_TS|NONE_SZ|320x50_AD|CM1_IT|SOC_U1|GAMERS</v>
      </c>
      <c r="G483" t="str">
        <f t="shared" si="108"/>
        <v>451184854</v>
      </c>
      <c r="H483" t="str">
        <f t="shared" si="109"/>
        <v>Display</v>
      </c>
      <c r="I483">
        <f t="shared" si="110"/>
        <v>7</v>
      </c>
      <c r="J483">
        <f t="shared" si="111"/>
        <v>0</v>
      </c>
      <c r="K483" s="4">
        <f t="shared" si="100"/>
        <v>3.8199999999999998E-2</v>
      </c>
      <c r="L483">
        <f t="shared" si="101"/>
        <v>0.09</v>
      </c>
      <c r="M483" s="4">
        <f t="shared" si="112"/>
        <v>2.6739999999999999E-4</v>
      </c>
      <c r="N483" s="4">
        <f t="shared" si="113"/>
        <v>6.3000000000000003E-4</v>
      </c>
    </row>
    <row r="484" spans="1:14">
      <c r="A484" t="str">
        <f t="shared" si="102"/>
        <v>MK|BR_CN|CIDADESDOFUTURO_MN|NONE_YQ|19Q4_CP|5020004441_SP|N/A_AC|CMKT_OB|AWA</v>
      </c>
      <c r="B484" t="str">
        <f t="shared" si="103"/>
        <v>Google Brasil</v>
      </c>
      <c r="C484" t="str">
        <f t="shared" si="104"/>
        <v>MK|BR_CH|PD_DT|CROSS_PB|DV36_FM|BAN_RT|CPM_PD|CompraFora_TG|NON_ST|NON_TS|NONE_SZ|728x90_AD|CM1_IT|SOC_U1|GAMERS</v>
      </c>
      <c r="D484" t="str">
        <f t="shared" si="105"/>
        <v>255270702</v>
      </c>
      <c r="E484" t="str">
        <f t="shared" si="106"/>
        <v>Standard</v>
      </c>
      <c r="F484" t="str">
        <f t="shared" si="107"/>
        <v>MK|BR_CH|PD_DT|CROSS_PB|DV36_FM|BAN_RT|CPM_PD|CompraFora_TG|NON_ST|NON_TS|NONE_SZ|728x90_AD|CM1_IT|SOC_U1|GAMERS</v>
      </c>
      <c r="G484" t="str">
        <f t="shared" si="108"/>
        <v>451188691</v>
      </c>
      <c r="H484" t="str">
        <f t="shared" si="109"/>
        <v>Display</v>
      </c>
      <c r="I484">
        <f t="shared" si="110"/>
        <v>2</v>
      </c>
      <c r="J484">
        <f t="shared" si="111"/>
        <v>0</v>
      </c>
      <c r="K484" s="4">
        <f t="shared" si="100"/>
        <v>3.8199999999999998E-2</v>
      </c>
      <c r="L484">
        <f t="shared" si="101"/>
        <v>0.09</v>
      </c>
      <c r="M484" s="4">
        <f t="shared" si="112"/>
        <v>7.64E-5</v>
      </c>
      <c r="N484" s="4">
        <f t="shared" si="113"/>
        <v>1.7999999999999998E-4</v>
      </c>
    </row>
    <row r="485" spans="1:14">
      <c r="A485" t="str">
        <f t="shared" si="102"/>
        <v>MK|BR_CN|CIDADESDOFUTURO_MN|NONE_YQ|19Q4_CP|5020004441_SP|N/A_AC|CMKT_OB|AWA</v>
      </c>
      <c r="B485" t="str">
        <f t="shared" si="103"/>
        <v>Google Brasil</v>
      </c>
      <c r="C485" t="str">
        <f t="shared" si="104"/>
        <v>MK|BR_CH|PSD_DT|CROSS_PB|DV36_FM|BAN_RT|CPM_PD|CrossBorder_TG|NON_ST|NON_TS|NONE_SZ|300x250_AD|CM1_IT|OO_U1|CASHBACKNAOCADASTRADO_U2|DNA_U3|VIAJANTE</v>
      </c>
      <c r="D485" t="str">
        <f t="shared" si="105"/>
        <v>238517612</v>
      </c>
      <c r="E485" t="str">
        <f t="shared" si="106"/>
        <v>Standard</v>
      </c>
      <c r="F485" t="str">
        <f t="shared" si="107"/>
        <v>MK|BR_CH|PSD_DT|CROSS_PB|DV36_FM|BAN_RT|CPM_PD|CrossBorder_TG|NON_ST|NON_TS|NONE_SZ|300x250_AD|CM1_IT|OO_U1|CASHBACKNAOCADASTRADO_U2|DNA_U3|VIAJANTE</v>
      </c>
      <c r="G485" t="str">
        <f t="shared" si="108"/>
        <v>435795051</v>
      </c>
      <c r="H485" t="str">
        <f t="shared" si="109"/>
        <v>Display</v>
      </c>
      <c r="I485">
        <f t="shared" si="110"/>
        <v>1</v>
      </c>
      <c r="J485">
        <f t="shared" si="111"/>
        <v>0</v>
      </c>
      <c r="K485" s="4">
        <f t="shared" si="100"/>
        <v>3.8199999999999998E-2</v>
      </c>
      <c r="L485">
        <f t="shared" si="101"/>
        <v>0.09</v>
      </c>
      <c r="M485" s="4">
        <f t="shared" si="112"/>
        <v>3.82E-5</v>
      </c>
      <c r="N485" s="4">
        <f t="shared" si="113"/>
        <v>8.9999999999999992E-5</v>
      </c>
    </row>
    <row r="486" spans="1:14">
      <c r="A486" t="str">
        <f t="shared" si="102"/>
        <v>MK|BR_CN|CIDADESDOFUTURO_MN|NONE_YQ|19Q4_CP|5020004441_SP|N/A_AC|CMKT_OB|AWA</v>
      </c>
      <c r="B486" t="str">
        <f t="shared" si="103"/>
        <v>Logan Media</v>
      </c>
      <c r="C486" t="str">
        <f t="shared" si="104"/>
        <v>MK|BR_CH|PD_DT|CROSS_PB|LOAN_FM|PUSH_RT|CPM_PD|CrossBorder_TG|NON_ST|NON_TS|NONE_SZ|72x72_AD|CM1_IT|PD</v>
      </c>
      <c r="D486" t="str">
        <f t="shared" si="105"/>
        <v>251502970</v>
      </c>
      <c r="E486" t="str">
        <f t="shared" si="106"/>
        <v>Dynamic Click</v>
      </c>
      <c r="F486" t="str">
        <f t="shared" si="107"/>
        <v>MK|BR_CH|PD_DT|CROSS_PB|LOAN_FM|PUSH_RT|CPM_PD|CrossBorder_TG|NON_ST|NON_TS|NONE_SZ|72x72_AD|CM1_IT|PD</v>
      </c>
      <c r="G486" t="str">
        <f t="shared" si="108"/>
        <v>447694981</v>
      </c>
      <c r="H486" t="str">
        <f t="shared" si="109"/>
        <v>Tracking</v>
      </c>
      <c r="I486">
        <f t="shared" si="110"/>
        <v>0</v>
      </c>
      <c r="J486">
        <f t="shared" si="111"/>
        <v>3</v>
      </c>
      <c r="K486" s="4">
        <f t="shared" si="100"/>
        <v>3.5000000000000001E-3</v>
      </c>
      <c r="L486">
        <f t="shared" si="101"/>
        <v>0.02</v>
      </c>
      <c r="M486" s="4">
        <f t="shared" si="112"/>
        <v>1.0500000000000001E-2</v>
      </c>
      <c r="N486" s="4">
        <f t="shared" si="113"/>
        <v>0.06</v>
      </c>
    </row>
    <row r="487" spans="1:14">
      <c r="A487" t="str">
        <f t="shared" si="102"/>
        <v>MK|BR_CN|CIDADESDOFUTURO_MN|NONE_YQ|19Q4_CP|5020004441_SP|N/A_AC|CMKT_OB|AWA</v>
      </c>
      <c r="B487" t="str">
        <f t="shared" si="103"/>
        <v>Verizon</v>
      </c>
      <c r="C487" t="str">
        <f t="shared" si="104"/>
        <v>MK|BR_CH|PD_DT|CROSS_PB|VER_FM|BAN_RT|CPM_PD|CrossBorder_TG|NON_ST|NON_TS|NONE_SZ|160x600_AD|CM1_IT|PD_U1|GOURMET</v>
      </c>
      <c r="D487" t="str">
        <f t="shared" si="105"/>
        <v>251358864</v>
      </c>
      <c r="E487" t="str">
        <f t="shared" si="106"/>
        <v>Standard</v>
      </c>
      <c r="F487" t="str">
        <f t="shared" si="107"/>
        <v>MK|BR_CH|PD_DT|CROSS_PB|VER_FM|BAN_RT|CPM_PD|CrossBorder_TG|NON_ST|NON_TS|NONE_SZ|160x600_AD|CM1_IT|PD_U1|GOURMET</v>
      </c>
      <c r="G487" t="str">
        <f t="shared" si="108"/>
        <v>447378551</v>
      </c>
      <c r="H487" t="str">
        <f t="shared" si="109"/>
        <v>Display</v>
      </c>
      <c r="I487">
        <f t="shared" si="110"/>
        <v>19</v>
      </c>
      <c r="J487">
        <f t="shared" si="111"/>
        <v>0</v>
      </c>
      <c r="K487" s="4">
        <f t="shared" si="100"/>
        <v>3.8199999999999998E-2</v>
      </c>
      <c r="L487">
        <f t="shared" si="101"/>
        <v>0.09</v>
      </c>
      <c r="M487" s="4">
        <f t="shared" si="112"/>
        <v>7.2579999999999997E-4</v>
      </c>
      <c r="N487" s="4">
        <f t="shared" si="113"/>
        <v>1.7099999999999999E-3</v>
      </c>
    </row>
    <row r="488" spans="1:14">
      <c r="A488" t="str">
        <f t="shared" si="102"/>
        <v>MK|BR_CN|CIDADESDOFUTURO_MN|NONE_YQ|19Q4_CP|5020004441_SP|N/A_AC|CMKT_OB|AWA</v>
      </c>
      <c r="B488" t="str">
        <f t="shared" si="103"/>
        <v>Verizon</v>
      </c>
      <c r="C488" t="str">
        <f t="shared" si="104"/>
        <v>MK|BR_CH|PD_DT|CROSS_PB|VER_FM|BAN_RT|CPM_PD|CrossBorder_TG|NON_ST|NON_TS|NONE_SZ|160x600_AD|CM1_IT|PD_U1|VIAJANTE</v>
      </c>
      <c r="D488" t="str">
        <f t="shared" si="105"/>
        <v>251254012</v>
      </c>
      <c r="E488" t="str">
        <f t="shared" si="106"/>
        <v>Standard</v>
      </c>
      <c r="F488" t="str">
        <f t="shared" si="107"/>
        <v>MK|BR_CH|PD_DT|CROSS_PB|VER_FM|BAN_RT|CPM_PD|CrossBorder_TG|NON_ST|NON_TS|NONE_SZ|160x600_AD|CM1_IT|PD_U1|VIAJANTE</v>
      </c>
      <c r="G488" t="str">
        <f t="shared" si="108"/>
        <v>447339312</v>
      </c>
      <c r="H488" t="str">
        <f t="shared" si="109"/>
        <v>Display</v>
      </c>
      <c r="I488">
        <f t="shared" si="110"/>
        <v>12</v>
      </c>
      <c r="J488">
        <f t="shared" si="111"/>
        <v>0</v>
      </c>
      <c r="K488" s="4">
        <f t="shared" si="100"/>
        <v>3.8199999999999998E-2</v>
      </c>
      <c r="L488">
        <f t="shared" si="101"/>
        <v>0.09</v>
      </c>
      <c r="M488" s="4">
        <f t="shared" si="112"/>
        <v>4.5839999999999998E-4</v>
      </c>
      <c r="N488" s="4">
        <f t="shared" si="113"/>
        <v>1.08E-3</v>
      </c>
    </row>
    <row r="489" spans="1:14">
      <c r="A489" t="str">
        <f t="shared" si="102"/>
        <v>MK|BR_CN|CIDADESDOFUTURO_MN|NONE_YQ|19Q4_CP|5020004441_SP|N/A_AC|CMKT_OB|AWA</v>
      </c>
      <c r="B489" t="str">
        <f t="shared" si="103"/>
        <v>Verizon</v>
      </c>
      <c r="C489" t="str">
        <f t="shared" si="104"/>
        <v>MK|BR_CH|PD_DT|CROSS_PB|VER_FM|BAN_RT|CPM_PD|CrossBorder_TG|NON_ST|NON_TS|NONE_SZ|1X1_AD|CM1_IT|PD_U1|VIAJANTE</v>
      </c>
      <c r="D489" t="str">
        <f t="shared" si="105"/>
        <v>251253988</v>
      </c>
      <c r="E489" t="str">
        <f t="shared" si="106"/>
        <v>Standard</v>
      </c>
      <c r="F489" t="str">
        <f t="shared" si="107"/>
        <v>MK|BR_CH|PD_DT|CROSS_PB|VER_FM|BAN_RT|CPM_PD|CrossBorder_TG|NON_ST|NON_TS|NONE_SZ|1X1_AD|CM1_IT|PD_U1|VIAJANTE</v>
      </c>
      <c r="G489" t="str">
        <f t="shared" si="108"/>
        <v>447379793</v>
      </c>
      <c r="H489" t="str">
        <f t="shared" si="109"/>
        <v>Display</v>
      </c>
      <c r="I489">
        <f t="shared" si="110"/>
        <v>1</v>
      </c>
      <c r="J489">
        <f t="shared" si="111"/>
        <v>0</v>
      </c>
      <c r="K489" s="4">
        <f t="shared" si="100"/>
        <v>3.8199999999999998E-2</v>
      </c>
      <c r="L489">
        <f t="shared" si="101"/>
        <v>0.09</v>
      </c>
      <c r="M489" s="4">
        <f t="shared" si="112"/>
        <v>3.82E-5</v>
      </c>
      <c r="N489" s="4">
        <f t="shared" si="113"/>
        <v>8.9999999999999992E-5</v>
      </c>
    </row>
    <row r="490" spans="1:14">
      <c r="A490" t="str">
        <f t="shared" si="102"/>
        <v>MK|BR_CN|CIDADESDOFUTURO_MN|NONE_YQ|19Q4_CP|5020004441_SP|N/A_AC|CMKT_OB|AWA</v>
      </c>
      <c r="B490" t="str">
        <f t="shared" si="103"/>
        <v>Verizon</v>
      </c>
      <c r="C490" t="str">
        <f t="shared" si="104"/>
        <v>MK|BR_CH|PD_DT|CROSS_PB|VER_FM|BAN_RT|CPM_PD|CrossBorder_TG|NON_ST|NON_TS|NONE_SZ|627x627_AD|CM1_IT|PD</v>
      </c>
      <c r="D490" t="str">
        <f t="shared" si="105"/>
        <v>251618365</v>
      </c>
      <c r="E490" t="str">
        <f t="shared" si="106"/>
        <v>Dynamic Click</v>
      </c>
      <c r="F490" t="str">
        <f t="shared" si="107"/>
        <v>MK|BR_CH|PD_DT|CROSS_PB|VER_FM|BAN_RT|CPM_PD|CrossBorder_TG|NON_ST|NON_TS|NONE_SZ|627x627_AD|CM1_IT|PD</v>
      </c>
      <c r="G490" t="str">
        <f t="shared" si="108"/>
        <v>447787279</v>
      </c>
      <c r="H490" t="str">
        <f t="shared" si="109"/>
        <v>Tracking</v>
      </c>
      <c r="I490">
        <f t="shared" si="110"/>
        <v>1</v>
      </c>
      <c r="J490">
        <f t="shared" si="111"/>
        <v>0</v>
      </c>
      <c r="K490" s="4">
        <f t="shared" si="100"/>
        <v>3.5000000000000001E-3</v>
      </c>
      <c r="L490">
        <f t="shared" si="101"/>
        <v>0.02</v>
      </c>
      <c r="M490" s="4">
        <f t="shared" si="112"/>
        <v>0</v>
      </c>
      <c r="N490" s="4">
        <f t="shared" si="113"/>
        <v>0</v>
      </c>
    </row>
    <row r="491" spans="1:14">
      <c r="A491" t="str">
        <f t="shared" si="102"/>
        <v>MK|BR_CN|CIDADESDOFUTURO_MN|NONE_YQ|19Q4_CP|5020004441_SP|N/A_AC|CMKT_OB|AWA</v>
      </c>
      <c r="B491" t="str">
        <f t="shared" si="103"/>
        <v>Verizon</v>
      </c>
      <c r="C491" t="str">
        <f t="shared" si="104"/>
        <v>MK|BR_CH|PD_DT|CROSS_PB|VER_FM|BAN_RT|CPM_PD|CrossBorder_TG|NON_ST|NON_TS|NONE_SZ|728x90_AD|CM1_IT|PD_U1|VIAJANTE</v>
      </c>
      <c r="D491" t="str">
        <f t="shared" si="105"/>
        <v>251253994</v>
      </c>
      <c r="E491" t="str">
        <f t="shared" si="106"/>
        <v>Standard</v>
      </c>
      <c r="F491" t="str">
        <f t="shared" si="107"/>
        <v>MK|BR_CH|PD_DT|CROSS_PB|VER_FM|BAN_RT|CPM_PD|CrossBorder_TG|NON_ST|NON_TS|NONE_SZ|728x90_AD|CM1_IT|PD_U1|VIAJANTE</v>
      </c>
      <c r="G491" t="str">
        <f t="shared" si="108"/>
        <v>447339303</v>
      </c>
      <c r="H491" t="str">
        <f t="shared" si="109"/>
        <v>Display</v>
      </c>
      <c r="I491">
        <f t="shared" si="110"/>
        <v>12</v>
      </c>
      <c r="J491">
        <f t="shared" si="111"/>
        <v>0</v>
      </c>
      <c r="K491" s="4">
        <f t="shared" si="100"/>
        <v>3.8199999999999998E-2</v>
      </c>
      <c r="L491">
        <f t="shared" si="101"/>
        <v>0.09</v>
      </c>
      <c r="M491" s="4">
        <f t="shared" si="112"/>
        <v>4.5839999999999998E-4</v>
      </c>
      <c r="N491" s="4">
        <f t="shared" si="113"/>
        <v>1.08E-3</v>
      </c>
    </row>
    <row r="492" spans="1:14">
      <c r="A492" t="str">
        <f t="shared" si="102"/>
        <v>MK|BR_CN|CIDADESDOFUTURO_MN|NONE_YQ|19Q4_CP|5020004441_SP|N/A_AC|CMKT_OB|AWA</v>
      </c>
      <c r="B492" t="str">
        <f t="shared" si="103"/>
        <v>instagram.com</v>
      </c>
      <c r="C492" t="str">
        <f t="shared" si="104"/>
        <v>MK|BR_CH|PSD_DT|CROSS_PB|INST_FM|STRY_RT|CPM_PD|CidadesdoFuturo_TG|NON_ST|NON_TS|NONE_SZ|1X1_AD|CM1_IT|SOC_U1|ANAPOLIS_U2|AzulEscuro</v>
      </c>
      <c r="D492" t="str">
        <f t="shared" si="105"/>
        <v>255146066</v>
      </c>
      <c r="E492" t="str">
        <f t="shared" si="106"/>
        <v>Dynamic Click</v>
      </c>
      <c r="F492" t="str">
        <f t="shared" si="107"/>
        <v>MK|BR_CH|PSD_DT|CROSS_PB|INST_FM|STRY_RT|CPM_PD|CidadesdoFuturo_TG|NON_ST|NON_TS|NONE_SZ|1X1_AD|CM1_IT|SOC_U1|ANAPOLIS_U2|AzulEscuro</v>
      </c>
      <c r="G492" t="str">
        <f t="shared" si="108"/>
        <v>451451585</v>
      </c>
      <c r="H492" t="str">
        <f t="shared" si="109"/>
        <v>Tracking</v>
      </c>
      <c r="I492">
        <f t="shared" si="110"/>
        <v>0</v>
      </c>
      <c r="J492">
        <f t="shared" si="111"/>
        <v>129</v>
      </c>
      <c r="K492" s="4">
        <f t="shared" ref="K492:K555" si="114">IF(LEFT(B492,3)="DBM",0,VLOOKUP(E492,tabela,2,FALSE))</f>
        <v>3.5000000000000001E-3</v>
      </c>
      <c r="L492">
        <f t="shared" ref="L492:L555" si="115">VLOOKUP(E492,tabela,3,FALSE)</f>
        <v>0.02</v>
      </c>
      <c r="M492" s="4">
        <f t="shared" si="112"/>
        <v>0.45150000000000001</v>
      </c>
      <c r="N492" s="4">
        <f t="shared" si="113"/>
        <v>2.58</v>
      </c>
    </row>
    <row r="493" spans="1:14">
      <c r="A493" t="str">
        <f t="shared" si="102"/>
        <v>MK|BR_CN|CIDADESDOFUTURO_MN|NONE_YQ|19Q4_CP|5020004441_SP|N/A_AC|CMKT_OB|AWA</v>
      </c>
      <c r="B493" t="str">
        <f t="shared" si="103"/>
        <v>instagram.com</v>
      </c>
      <c r="C493" t="str">
        <f t="shared" si="104"/>
        <v>MK|BR_CH|PSD_DT|CROSS_PB|INST_FM|STRY_RT|CPM_PD|CidadesdoFuturo_TG|NON_ST|NON_TS|NONE_SZ|1X1_AD|CM1_IT|SOC_U1|ANAPOLIS_U2|AzulEscuro</v>
      </c>
      <c r="D493" t="str">
        <f t="shared" si="105"/>
        <v>256224269</v>
      </c>
      <c r="E493" t="str">
        <f t="shared" si="106"/>
        <v>Dynamic Click</v>
      </c>
      <c r="F493" t="str">
        <f t="shared" si="107"/>
        <v>MK|BR_CH|PSD_DT|CROSS_PB|INST_FM|STRY_RT|CPM_PD|CidadesdoFuturo_TG|NON_ST|NON_TS|NONE_SZ|1X1_AD|CM1_IT|SOC_U1|ANAPOLIS_U2|AzulEscuro</v>
      </c>
      <c r="G493" t="str">
        <f t="shared" si="108"/>
        <v>452411552</v>
      </c>
      <c r="H493" t="str">
        <f t="shared" si="109"/>
        <v>Tracking</v>
      </c>
      <c r="I493">
        <f t="shared" si="110"/>
        <v>0</v>
      </c>
      <c r="J493">
        <f t="shared" si="111"/>
        <v>1</v>
      </c>
      <c r="K493" s="4">
        <f t="shared" si="114"/>
        <v>3.5000000000000001E-3</v>
      </c>
      <c r="L493">
        <f t="shared" si="115"/>
        <v>0.02</v>
      </c>
      <c r="M493" s="4">
        <f t="shared" si="112"/>
        <v>3.5000000000000001E-3</v>
      </c>
      <c r="N493" s="4">
        <f t="shared" si="113"/>
        <v>0.02</v>
      </c>
    </row>
    <row r="494" spans="1:14">
      <c r="A494" t="str">
        <f t="shared" si="102"/>
        <v>MK|BR_CN|CIDADESDOFUTURO_MN|NONE_YQ|19Q4_CP|5020004441_SP|N/A_AC|CMKT_OB|AWA</v>
      </c>
      <c r="B494" t="str">
        <f t="shared" si="103"/>
        <v>instagram.com</v>
      </c>
      <c r="C494" t="str">
        <f t="shared" si="104"/>
        <v>MK|BR_CH|PSD_DT|CROSS_PB|INST_FM|STRY_RT|CPM_PD|CidadesdoFuturo_TG|NON_ST|NON_TS|NONE_SZ|1X1_AD|CM1_IT|SOC_U1|ANGRADOSREIS_U2|AzulEscuro</v>
      </c>
      <c r="D494" t="str">
        <f t="shared" si="105"/>
        <v>255146054</v>
      </c>
      <c r="E494" t="str">
        <f t="shared" si="106"/>
        <v>Dynamic Click</v>
      </c>
      <c r="F494" t="str">
        <f t="shared" si="107"/>
        <v>MK|BR_CH|PSD_DT|CROSS_PB|INST_FM|STRY_RT|CPM_PD|CidadesdoFuturo_TG|NON_ST|NON_TS|NONE_SZ|1X1_AD|CM1_IT|SOC_U1|ANGRADOSREIS_U2|AzulEscuro</v>
      </c>
      <c r="G494" t="str">
        <f t="shared" si="108"/>
        <v>451451612</v>
      </c>
      <c r="H494" t="str">
        <f t="shared" si="109"/>
        <v>Tracking</v>
      </c>
      <c r="I494">
        <f t="shared" si="110"/>
        <v>0</v>
      </c>
      <c r="J494">
        <f t="shared" si="111"/>
        <v>66</v>
      </c>
      <c r="K494" s="4">
        <f t="shared" si="114"/>
        <v>3.5000000000000001E-3</v>
      </c>
      <c r="L494">
        <f t="shared" si="115"/>
        <v>0.02</v>
      </c>
      <c r="M494" s="4">
        <f t="shared" si="112"/>
        <v>0.23100000000000001</v>
      </c>
      <c r="N494" s="4">
        <f t="shared" si="113"/>
        <v>1.32</v>
      </c>
    </row>
    <row r="495" spans="1:14">
      <c r="A495" t="str">
        <f t="shared" si="102"/>
        <v>MK|BR_CN|CIDADESDOFUTURO_MN|NONE_YQ|19Q4_CP|5020004441_SP|N/A_AC|CMKT_OB|AWA</v>
      </c>
      <c r="B495" t="str">
        <f t="shared" si="103"/>
        <v>instagram.com</v>
      </c>
      <c r="C495" t="str">
        <f t="shared" si="104"/>
        <v>MK|BR_CH|PSD_DT|CROSS_PB|INST_FM|STRY_RT|CPM_PD|CidadesdoFuturo_TG|NON_ST|NON_TS|NONE_SZ|1X1_AD|CM1_IT|SOC_U1|ANGRADOSREIS_U2|AzulEscuro</v>
      </c>
      <c r="D495" t="str">
        <f t="shared" si="105"/>
        <v>256224278</v>
      </c>
      <c r="E495" t="str">
        <f t="shared" si="106"/>
        <v>Dynamic Click</v>
      </c>
      <c r="F495" t="str">
        <f t="shared" si="107"/>
        <v>MK|BR_CH|PSD_DT|CROSS_PB|INST_FM|STRY_RT|CPM_PD|CidadesdoFuturo_TG|NON_ST|NON_TS|NONE_SZ|1X1_AD|CM1_IT|SOC_U1|ANGRADOSREIS_U2|AzulEscuro</v>
      </c>
      <c r="G495" t="str">
        <f t="shared" si="108"/>
        <v>452411549</v>
      </c>
      <c r="H495" t="str">
        <f t="shared" si="109"/>
        <v>Tracking</v>
      </c>
      <c r="I495">
        <f t="shared" si="110"/>
        <v>0</v>
      </c>
      <c r="J495">
        <f t="shared" si="111"/>
        <v>1</v>
      </c>
      <c r="K495" s="4">
        <f t="shared" si="114"/>
        <v>3.5000000000000001E-3</v>
      </c>
      <c r="L495">
        <f t="shared" si="115"/>
        <v>0.02</v>
      </c>
      <c r="M495" s="4">
        <f t="shared" si="112"/>
        <v>3.5000000000000001E-3</v>
      </c>
      <c r="N495" s="4">
        <f t="shared" si="113"/>
        <v>0.02</v>
      </c>
    </row>
    <row r="496" spans="1:14">
      <c r="A496" t="str">
        <f t="shared" si="102"/>
        <v>MK|BR_CN|CIDADESDOFUTURO_MN|NONE_YQ|19Q4_CP|5020004441_SP|N/A_AC|CMKT_OB|AWA</v>
      </c>
      <c r="B496" t="str">
        <f t="shared" si="103"/>
        <v>instagram.com</v>
      </c>
      <c r="C496" t="str">
        <f t="shared" si="104"/>
        <v>MK|BR_CH|PSD_DT|CROSS_PB|INST_FM|STRY_RT|CPM_PD|CidadesdoFuturo_TG|NON_ST|NON_TS|NONE_SZ|1X1_AD|CM1_IT|SOC_U1|ARAGUAINA_U2|AzulEscuro</v>
      </c>
      <c r="D496" t="str">
        <f t="shared" si="105"/>
        <v>255146030</v>
      </c>
      <c r="E496" t="str">
        <f t="shared" si="106"/>
        <v>Dynamic Click</v>
      </c>
      <c r="F496" t="str">
        <f t="shared" si="107"/>
        <v>MK|BR_CH|PSD_DT|CROSS_PB|INST_FM|STRY_RT|CPM_PD|CidadesdoFuturo_TG|NON_ST|NON_TS|NONE_SZ|1X1_AD|CM1_IT|SOC_U1|ARAGUAINA_U2|AzulEscuro</v>
      </c>
      <c r="G496" t="str">
        <f t="shared" si="108"/>
        <v>451491322</v>
      </c>
      <c r="H496" t="str">
        <f t="shared" si="109"/>
        <v>Tracking</v>
      </c>
      <c r="I496">
        <f t="shared" si="110"/>
        <v>0</v>
      </c>
      <c r="J496">
        <f t="shared" si="111"/>
        <v>50</v>
      </c>
      <c r="K496" s="4">
        <f t="shared" si="114"/>
        <v>3.5000000000000001E-3</v>
      </c>
      <c r="L496">
        <f t="shared" si="115"/>
        <v>0.02</v>
      </c>
      <c r="M496" s="4">
        <f t="shared" si="112"/>
        <v>0.17500000000000002</v>
      </c>
      <c r="N496" s="4">
        <f t="shared" si="113"/>
        <v>1</v>
      </c>
    </row>
    <row r="497" spans="1:14">
      <c r="A497" t="str">
        <f t="shared" si="102"/>
        <v>MK|BR_CN|CIDADESDOFUTURO_MN|NONE_YQ|19Q4_CP|5020004441_SP|N/A_AC|CMKT_OB|AWA</v>
      </c>
      <c r="B497" t="str">
        <f t="shared" si="103"/>
        <v>instagram.com</v>
      </c>
      <c r="C497" t="str">
        <f t="shared" si="104"/>
        <v>MK|BR_CH|PSD_DT|CROSS_PB|INST_FM|STRY_RT|CPM_PD|CidadesdoFuturo_TG|NON_ST|NON_TS|NONE_SZ|1X1_AD|CM1_IT|SOC_U1|ARARAS_U2|AzulEscuro</v>
      </c>
      <c r="D497" t="str">
        <f t="shared" si="105"/>
        <v>255146018</v>
      </c>
      <c r="E497" t="str">
        <f t="shared" si="106"/>
        <v>Dynamic Click</v>
      </c>
      <c r="F497" t="str">
        <f t="shared" si="107"/>
        <v>MK|BR_CH|PSD_DT|CROSS_PB|INST_FM|STRY_RT|CPM_PD|CidadesdoFuturo_TG|NON_ST|NON_TS|NONE_SZ|1X1_AD|CM1_IT|SOC_U1|ARARAS_U2|AzulEscuro</v>
      </c>
      <c r="G497" t="str">
        <f t="shared" si="108"/>
        <v>451491349</v>
      </c>
      <c r="H497" t="str">
        <f t="shared" si="109"/>
        <v>Tracking</v>
      </c>
      <c r="I497">
        <f t="shared" si="110"/>
        <v>0</v>
      </c>
      <c r="J497">
        <f t="shared" si="111"/>
        <v>48</v>
      </c>
      <c r="K497" s="4">
        <f t="shared" si="114"/>
        <v>3.5000000000000001E-3</v>
      </c>
      <c r="L497">
        <f t="shared" si="115"/>
        <v>0.02</v>
      </c>
      <c r="M497" s="4">
        <f t="shared" si="112"/>
        <v>0.16800000000000001</v>
      </c>
      <c r="N497" s="4">
        <f t="shared" si="113"/>
        <v>0.96</v>
      </c>
    </row>
    <row r="498" spans="1:14">
      <c r="A498" t="str">
        <f t="shared" si="102"/>
        <v>MK|BR_CN|CIDADESDOFUTURO_MN|NONE_YQ|19Q4_CP|5020004441_SP|N/A_AC|CMKT_OB|AWA</v>
      </c>
      <c r="B498" t="str">
        <f t="shared" si="103"/>
        <v>instagram.com</v>
      </c>
      <c r="C498" t="str">
        <f t="shared" si="104"/>
        <v>MK|BR_CH|PSD_DT|CROSS_PB|INST_FM|STRY_RT|CPM_PD|CidadesdoFuturo_TG|NON_ST|NON_TS|NONE_SZ|1X1_AD|CM1_IT|SOC_U1|BARRETOS_U2|AzulEscuro</v>
      </c>
      <c r="D498" t="str">
        <f t="shared" si="105"/>
        <v>255146006</v>
      </c>
      <c r="E498" t="str">
        <f t="shared" si="106"/>
        <v>Dynamic Click</v>
      </c>
      <c r="F498" t="str">
        <f t="shared" si="107"/>
        <v>MK|BR_CH|PSD_DT|CROSS_PB|INST_FM|STRY_RT|CPM_PD|CidadesdoFuturo_TG|NON_ST|NON_TS|NONE_SZ|1X1_AD|CM1_IT|SOC_U1|BARRETOS_U2|AzulEscuro</v>
      </c>
      <c r="G498" t="str">
        <f t="shared" si="108"/>
        <v>451491373</v>
      </c>
      <c r="H498" t="str">
        <f t="shared" si="109"/>
        <v>Tracking</v>
      </c>
      <c r="I498">
        <f t="shared" si="110"/>
        <v>0</v>
      </c>
      <c r="J498">
        <f t="shared" si="111"/>
        <v>37</v>
      </c>
      <c r="K498" s="4">
        <f t="shared" si="114"/>
        <v>3.5000000000000001E-3</v>
      </c>
      <c r="L498">
        <f t="shared" si="115"/>
        <v>0.02</v>
      </c>
      <c r="M498" s="4">
        <f t="shared" si="112"/>
        <v>0.1295</v>
      </c>
      <c r="N498" s="4">
        <f t="shared" si="113"/>
        <v>0.74</v>
      </c>
    </row>
    <row r="499" spans="1:14">
      <c r="A499" t="str">
        <f t="shared" si="102"/>
        <v>MK|BR_CN|CIDADESDOFUTURO_MN|NONE_YQ|19Q4_CP|5020004441_SP|N/A_AC|CMKT_OB|AWA</v>
      </c>
      <c r="B499" t="str">
        <f t="shared" si="103"/>
        <v>instagram.com</v>
      </c>
      <c r="C499" t="str">
        <f t="shared" si="104"/>
        <v>MK|BR_CH|PSD_DT|CROSS_PB|INST_FM|STRY_RT|CPM_PD|CidadesdoFuturo_TG|NON_ST|NON_TS|NONE_SZ|1X1_AD|CM1_IT|SOC_U1|BELEM_U2|AzulEscuro</v>
      </c>
      <c r="D499" t="str">
        <f t="shared" si="105"/>
        <v>255471070</v>
      </c>
      <c r="E499" t="str">
        <f t="shared" si="106"/>
        <v>Dynamic Click</v>
      </c>
      <c r="F499" t="str">
        <f t="shared" si="107"/>
        <v>MK|BR_CH|PSD_DT|CROSS_PB|INST_FM|STRY_RT|CPM_PD|CidadesdoFuturo_TG|NON_ST|NON_TS|NONE_SZ|1X1_AD|CM1_IT|SOC_U1|BELEM_U2|AzulEscuro</v>
      </c>
      <c r="G499" t="str">
        <f t="shared" si="108"/>
        <v>451397532</v>
      </c>
      <c r="H499" t="str">
        <f t="shared" si="109"/>
        <v>Tracking</v>
      </c>
      <c r="I499">
        <f t="shared" si="110"/>
        <v>0</v>
      </c>
      <c r="J499">
        <f t="shared" si="111"/>
        <v>229</v>
      </c>
      <c r="K499" s="4">
        <f t="shared" si="114"/>
        <v>3.5000000000000001E-3</v>
      </c>
      <c r="L499">
        <f t="shared" si="115"/>
        <v>0.02</v>
      </c>
      <c r="M499" s="4">
        <f t="shared" si="112"/>
        <v>0.80149999999999999</v>
      </c>
      <c r="N499" s="4">
        <f t="shared" si="113"/>
        <v>4.58</v>
      </c>
    </row>
    <row r="500" spans="1:14">
      <c r="A500" t="str">
        <f t="shared" si="102"/>
        <v>MK|BR_CN|CIDADESDOFUTURO_MN|NONE_YQ|19Q4_CP|5020004441_SP|N/A_AC|CMKT_OB|AWA</v>
      </c>
      <c r="B500" t="str">
        <f t="shared" si="103"/>
        <v>instagram.com</v>
      </c>
      <c r="C500" t="str">
        <f t="shared" si="104"/>
        <v>MK|BR_CH|PSD_DT|CROSS_PB|INST_FM|STRY_RT|CPM_PD|CidadesdoFuturo_TG|NON_ST|NON_TS|NONE_SZ|1X1_AD|CM1_IT|SOC_U1|BOAVISTA_U2|AzulEscuro</v>
      </c>
      <c r="D500" t="str">
        <f t="shared" si="105"/>
        <v>255145994</v>
      </c>
      <c r="E500" t="str">
        <f t="shared" si="106"/>
        <v>Dynamic Click</v>
      </c>
      <c r="F500" t="str">
        <f t="shared" si="107"/>
        <v>MK|BR_CH|PSD_DT|CROSS_PB|INST_FM|STRY_RT|CPM_PD|CidadesdoFuturo_TG|NON_ST|NON_TS|NONE_SZ|1X1_AD|CM1_IT|SOC_U1|BOAVISTA_U2|AzulEscuro</v>
      </c>
      <c r="G500" t="str">
        <f t="shared" si="108"/>
        <v>451491400</v>
      </c>
      <c r="H500" t="str">
        <f t="shared" si="109"/>
        <v>Tracking</v>
      </c>
      <c r="I500">
        <f t="shared" si="110"/>
        <v>0</v>
      </c>
      <c r="J500">
        <f t="shared" si="111"/>
        <v>101</v>
      </c>
      <c r="K500" s="4">
        <f t="shared" si="114"/>
        <v>3.5000000000000001E-3</v>
      </c>
      <c r="L500">
        <f t="shared" si="115"/>
        <v>0.02</v>
      </c>
      <c r="M500" s="4">
        <f t="shared" si="112"/>
        <v>0.35349999999999998</v>
      </c>
      <c r="N500" s="4">
        <f t="shared" si="113"/>
        <v>2.02</v>
      </c>
    </row>
    <row r="501" spans="1:14">
      <c r="A501" t="str">
        <f t="shared" si="102"/>
        <v>MK|BR_CN|CIDADESDOFUTURO_MN|NONE_YQ|19Q4_CP|5020004441_SP|N/A_AC|CMKT_OB|AWA</v>
      </c>
      <c r="B501" t="str">
        <f t="shared" si="103"/>
        <v>instagram.com</v>
      </c>
      <c r="C501" t="str">
        <f t="shared" si="104"/>
        <v>MK|BR_CH|PSD_DT|CROSS_PB|INST_FM|STRY_RT|CPM_PD|CidadesdoFuturo_TG|NON_ST|NON_TS|NONE_SZ|1X1_AD|CM1_IT|SOC_U1|CABOFRIO_U2|AzulEscuro</v>
      </c>
      <c r="D501" t="str">
        <f t="shared" si="105"/>
        <v>255145970</v>
      </c>
      <c r="E501" t="str">
        <f t="shared" si="106"/>
        <v>Dynamic Click</v>
      </c>
      <c r="F501" t="str">
        <f t="shared" si="107"/>
        <v>MK|BR_CH|PSD_DT|CROSS_PB|INST_FM|STRY_RT|CPM_PD|CidadesdoFuturo_TG|NON_ST|NON_TS|NONE_SZ|1X1_AD|CM1_IT|SOC_U1|CABOFRIO_U2|AzulEscuro</v>
      </c>
      <c r="G501" t="str">
        <f t="shared" si="108"/>
        <v>451491451</v>
      </c>
      <c r="H501" t="str">
        <f t="shared" si="109"/>
        <v>Tracking</v>
      </c>
      <c r="I501">
        <f t="shared" si="110"/>
        <v>0</v>
      </c>
      <c r="J501">
        <f t="shared" si="111"/>
        <v>47</v>
      </c>
      <c r="K501" s="4">
        <f t="shared" si="114"/>
        <v>3.5000000000000001E-3</v>
      </c>
      <c r="L501">
        <f t="shared" si="115"/>
        <v>0.02</v>
      </c>
      <c r="M501" s="4">
        <f t="shared" si="112"/>
        <v>0.16450000000000001</v>
      </c>
      <c r="N501" s="4">
        <f t="shared" si="113"/>
        <v>0.94000000000000006</v>
      </c>
    </row>
    <row r="502" spans="1:14">
      <c r="A502" t="str">
        <f t="shared" si="102"/>
        <v>MK|BR_CN|CIDADESDOFUTURO_MN|NONE_YQ|19Q4_CP|5020004441_SP|N/A_AC|CMKT_OB|AWA</v>
      </c>
      <c r="B502" t="str">
        <f t="shared" si="103"/>
        <v>instagram.com</v>
      </c>
      <c r="C502" t="str">
        <f t="shared" si="104"/>
        <v>MK|BR_CH|PSD_DT|CROSS_PB|INST_FM|STRY_RT|CPM_PD|CidadesdoFuturo_TG|NON_ST|NON_TS|NONE_SZ|1X1_AD|CM1_IT|SOC_U1|CACHOEIRODEITAPEMIRIM_U2|AzulEscuro</v>
      </c>
      <c r="D502" t="str">
        <f t="shared" si="105"/>
        <v>255145958</v>
      </c>
      <c r="E502" t="str">
        <f t="shared" si="106"/>
        <v>Dynamic Click</v>
      </c>
      <c r="F502" t="str">
        <f t="shared" si="107"/>
        <v>MK|BR_CH|PSD_DT|CROSS_PB|INST_FM|STRY_RT|CPM_PD|CidadesdoFuturo_TG|NON_ST|NON_TS|NONE_SZ|1X1_AD|CM1_IT|SOC_U1|CACHOEIRODEITAPEMIRIM_U2|AzulEscuro</v>
      </c>
      <c r="G502" t="str">
        <f t="shared" si="108"/>
        <v>451491475</v>
      </c>
      <c r="H502" t="str">
        <f t="shared" si="109"/>
        <v>Tracking</v>
      </c>
      <c r="I502">
        <f t="shared" si="110"/>
        <v>0</v>
      </c>
      <c r="J502">
        <f t="shared" si="111"/>
        <v>60</v>
      </c>
      <c r="K502" s="4">
        <f t="shared" si="114"/>
        <v>3.5000000000000001E-3</v>
      </c>
      <c r="L502">
        <f t="shared" si="115"/>
        <v>0.02</v>
      </c>
      <c r="M502" s="4">
        <f t="shared" si="112"/>
        <v>0.21</v>
      </c>
      <c r="N502" s="4">
        <f t="shared" si="113"/>
        <v>1.2</v>
      </c>
    </row>
    <row r="503" spans="1:14">
      <c r="A503" t="str">
        <f t="shared" si="102"/>
        <v>MK|BR_CN|CIDADESDOFUTURO_MN|NONE_YQ|19Q4_CP|5020004441_SP|N/A_AC|CMKT_OB|AWA</v>
      </c>
      <c r="B503" t="str">
        <f t="shared" si="103"/>
        <v>instagram.com</v>
      </c>
      <c r="C503" t="str">
        <f t="shared" si="104"/>
        <v>MK|BR_CH|PSD_DT|CROSS_PB|INST_FM|STRY_RT|CPM_PD|CidadesdoFuturo_TG|NON_ST|NON_TS|NONE_SZ|1X1_AD|CM1_IT|SOC_U1|CAMPINAGRANDE_U2|AzulEscuro</v>
      </c>
      <c r="D503" t="str">
        <f t="shared" si="105"/>
        <v>255145946</v>
      </c>
      <c r="E503" t="str">
        <f t="shared" si="106"/>
        <v>Dynamic Click</v>
      </c>
      <c r="F503" t="str">
        <f t="shared" si="107"/>
        <v>MK|BR_CH|PSD_DT|CROSS_PB|INST_FM|STRY_RT|CPM_PD|CidadesdoFuturo_TG|NON_ST|NON_TS|NONE_SZ|1X1_AD|CM1_IT|SOC_U1|CAMPINAGRANDE_U2|AzulEscuro</v>
      </c>
      <c r="G503" t="str">
        <f t="shared" si="108"/>
        <v>451491502</v>
      </c>
      <c r="H503" t="str">
        <f t="shared" si="109"/>
        <v>Tracking</v>
      </c>
      <c r="I503">
        <f t="shared" si="110"/>
        <v>0</v>
      </c>
      <c r="J503">
        <f t="shared" si="111"/>
        <v>173</v>
      </c>
      <c r="K503" s="4">
        <f t="shared" si="114"/>
        <v>3.5000000000000001E-3</v>
      </c>
      <c r="L503">
        <f t="shared" si="115"/>
        <v>0.02</v>
      </c>
      <c r="M503" s="4">
        <f t="shared" si="112"/>
        <v>0.60550000000000004</v>
      </c>
      <c r="N503" s="4">
        <f t="shared" si="113"/>
        <v>3.46</v>
      </c>
    </row>
    <row r="504" spans="1:14">
      <c r="A504" t="str">
        <f t="shared" si="102"/>
        <v>MK|BR_CN|CIDADESDOFUTURO_MN|NONE_YQ|19Q4_CP|5020004441_SP|N/A_AC|CMKT_OB|AWA</v>
      </c>
      <c r="B504" t="str">
        <f t="shared" si="103"/>
        <v>instagram.com</v>
      </c>
      <c r="C504" t="str">
        <f t="shared" si="104"/>
        <v>MK|BR_CH|PSD_DT|CROSS_PB|INST_FM|STRY_RT|CPM_PD|CidadesdoFuturo_TG|NON_ST|NON_TS|NONE_SZ|1X1_AD|CM1_IT|SOC_U1|CARUARU_U2|AzulEscuro</v>
      </c>
      <c r="D504" t="str">
        <f t="shared" si="105"/>
        <v>255145922</v>
      </c>
      <c r="E504" t="str">
        <f t="shared" si="106"/>
        <v>Dynamic Click</v>
      </c>
      <c r="F504" t="str">
        <f t="shared" si="107"/>
        <v>MK|BR_CH|PSD_DT|CROSS_PB|INST_FM|STRY_RT|CPM_PD|CidadesdoFuturo_TG|NON_ST|NON_TS|NONE_SZ|1X1_AD|CM1_IT|SOC_U1|CARUARU_U2|AzulEscuro</v>
      </c>
      <c r="G504" t="str">
        <f t="shared" si="108"/>
        <v>451491553</v>
      </c>
      <c r="H504" t="str">
        <f t="shared" si="109"/>
        <v>Tracking</v>
      </c>
      <c r="I504">
        <f t="shared" si="110"/>
        <v>0</v>
      </c>
      <c r="J504">
        <f t="shared" si="111"/>
        <v>144</v>
      </c>
      <c r="K504" s="4">
        <f t="shared" si="114"/>
        <v>3.5000000000000001E-3</v>
      </c>
      <c r="L504">
        <f t="shared" si="115"/>
        <v>0.02</v>
      </c>
      <c r="M504" s="4">
        <f t="shared" si="112"/>
        <v>0.504</v>
      </c>
      <c r="N504" s="4">
        <f t="shared" si="113"/>
        <v>2.88</v>
      </c>
    </row>
    <row r="505" spans="1:14">
      <c r="A505" t="str">
        <f t="shared" si="102"/>
        <v>MK|BR_CN|CIDADESDOFUTURO_MN|NONE_YQ|19Q4_CP|5020004441_SP|N/A_AC|CMKT_OB|AWA</v>
      </c>
      <c r="B505" t="str">
        <f t="shared" si="103"/>
        <v>instagram.com</v>
      </c>
      <c r="C505" t="str">
        <f t="shared" si="104"/>
        <v>MK|BR_CH|PSD_DT|CROSS_PB|INST_FM|STRY_RT|CPM_PD|CidadesdoFuturo_TG|NON_ST|NON_TS|NONE_SZ|1X1_AD|CM1_IT|SOC_U1|CASCAVEL_U2|AzulEscuro</v>
      </c>
      <c r="D505" t="str">
        <f t="shared" si="105"/>
        <v>255145910</v>
      </c>
      <c r="E505" t="str">
        <f t="shared" si="106"/>
        <v>Dynamic Click</v>
      </c>
      <c r="F505" t="str">
        <f t="shared" si="107"/>
        <v>MK|BR_CH|PSD_DT|CROSS_PB|INST_FM|STRY_RT|CPM_PD|CidadesdoFuturo_TG|NON_ST|NON_TS|NONE_SZ|1X1_AD|CM1_IT|SOC_U1|CASCAVEL_U2|AzulEscuro</v>
      </c>
      <c r="G505" t="str">
        <f t="shared" si="108"/>
        <v>451396512</v>
      </c>
      <c r="H505" t="str">
        <f t="shared" si="109"/>
        <v>Tracking</v>
      </c>
      <c r="I505">
        <f t="shared" si="110"/>
        <v>0</v>
      </c>
      <c r="J505">
        <f t="shared" si="111"/>
        <v>48</v>
      </c>
      <c r="K505" s="4">
        <f t="shared" si="114"/>
        <v>3.5000000000000001E-3</v>
      </c>
      <c r="L505">
        <f t="shared" si="115"/>
        <v>0.02</v>
      </c>
      <c r="M505" s="4">
        <f t="shared" si="112"/>
        <v>0.16800000000000001</v>
      </c>
      <c r="N505" s="4">
        <f t="shared" si="113"/>
        <v>0.96</v>
      </c>
    </row>
    <row r="506" spans="1:14">
      <c r="A506" t="str">
        <f t="shared" si="102"/>
        <v>MK|BR_CN|CIDADESDOFUTURO_MN|NONE_YQ|19Q4_CP|5020004441_SP|N/A_AC|CMKT_OB|AWA</v>
      </c>
      <c r="B506" t="str">
        <f t="shared" si="103"/>
        <v>instagram.com</v>
      </c>
      <c r="C506" t="str">
        <f t="shared" si="104"/>
        <v>MK|BR_CH|PSD_DT|CROSS_PB|INST_FM|STRY_RT|CPM_PD|CidadesdoFuturo_TG|NON_ST|NON_TS|NONE_SZ|1X1_AD|CM1_IT|SOC_U1|CATANDUVA_U2|AzulEscuro</v>
      </c>
      <c r="D506" t="str">
        <f t="shared" si="105"/>
        <v>255145898</v>
      </c>
      <c r="E506" t="str">
        <f t="shared" si="106"/>
        <v>Dynamic Click</v>
      </c>
      <c r="F506" t="str">
        <f t="shared" si="107"/>
        <v>MK|BR_CH|PSD_DT|CROSS_PB|INST_FM|STRY_RT|CPM_PD|CidadesdoFuturo_TG|NON_ST|NON_TS|NONE_SZ|1X1_AD|CM1_IT|SOC_U1|CATANDUVA_U2|AzulEscuro</v>
      </c>
      <c r="G506" t="str">
        <f t="shared" si="108"/>
        <v>451396536</v>
      </c>
      <c r="H506" t="str">
        <f t="shared" si="109"/>
        <v>Tracking</v>
      </c>
      <c r="I506">
        <f t="shared" si="110"/>
        <v>0</v>
      </c>
      <c r="J506">
        <f t="shared" si="111"/>
        <v>160</v>
      </c>
      <c r="K506" s="4">
        <f t="shared" si="114"/>
        <v>3.5000000000000001E-3</v>
      </c>
      <c r="L506">
        <f t="shared" si="115"/>
        <v>0.02</v>
      </c>
      <c r="M506" s="4">
        <f t="shared" si="112"/>
        <v>0.56000000000000005</v>
      </c>
      <c r="N506" s="4">
        <f t="shared" si="113"/>
        <v>3.2</v>
      </c>
    </row>
    <row r="507" spans="1:14">
      <c r="A507" t="str">
        <f t="shared" si="102"/>
        <v>MK|BR_CN|CIDADESDOFUTURO_MN|NONE_YQ|19Q4_CP|5020004441_SP|N/A_AC|CMKT_OB|AWA</v>
      </c>
      <c r="B507" t="str">
        <f t="shared" si="103"/>
        <v>instagram.com</v>
      </c>
      <c r="C507" t="str">
        <f t="shared" si="104"/>
        <v>MK|BR_CH|PSD_DT|CROSS_PB|INST_FM|STRY_RT|CPM_PD|CidadesdoFuturo_TG|NON_ST|NON_TS|NONE_SZ|1X1_AD|CM1_IT|SOC_U1|COLATINA_U2|AzulEscuro</v>
      </c>
      <c r="D507" t="str">
        <f t="shared" si="105"/>
        <v>255145886</v>
      </c>
      <c r="E507" t="str">
        <f t="shared" si="106"/>
        <v>Dynamic Click</v>
      </c>
      <c r="F507" t="str">
        <f t="shared" si="107"/>
        <v>MK|BR_CH|PSD_DT|CROSS_PB|INST_FM|STRY_RT|CPM_PD|CidadesdoFuturo_TG|NON_ST|NON_TS|NONE_SZ|1X1_AD|CM1_IT|SOC_U1|COLATINA_U2|AzulEscuro</v>
      </c>
      <c r="G507" t="str">
        <f t="shared" si="108"/>
        <v>451396563</v>
      </c>
      <c r="H507" t="str">
        <f t="shared" si="109"/>
        <v>Tracking</v>
      </c>
      <c r="I507">
        <f t="shared" si="110"/>
        <v>0</v>
      </c>
      <c r="J507">
        <f t="shared" si="111"/>
        <v>32</v>
      </c>
      <c r="K507" s="4">
        <f t="shared" si="114"/>
        <v>3.5000000000000001E-3</v>
      </c>
      <c r="L507">
        <f t="shared" si="115"/>
        <v>0.02</v>
      </c>
      <c r="M507" s="4">
        <f t="shared" si="112"/>
        <v>0.112</v>
      </c>
      <c r="N507" s="4">
        <f t="shared" si="113"/>
        <v>0.64</v>
      </c>
    </row>
    <row r="508" spans="1:14">
      <c r="A508" t="str">
        <f t="shared" si="102"/>
        <v>MK|BR_CN|CIDADESDOFUTURO_MN|NONE_YQ|19Q4_CP|5020004441_SP|N/A_AC|CMKT_OB|AWA</v>
      </c>
      <c r="B508" t="str">
        <f t="shared" si="103"/>
        <v>instagram.com</v>
      </c>
      <c r="C508" t="str">
        <f t="shared" si="104"/>
        <v>MK|BR_CH|PSD_DT|CROSS_PB|INST_FM|STRY_RT|CPM_PD|CidadesdoFuturo_TG|NON_ST|NON_TS|NONE_SZ|1X1_AD|CM1_IT|SOC_U1|CONSELHEIROLAFAIETE_U2|AzulEscuro</v>
      </c>
      <c r="D508" t="str">
        <f t="shared" si="105"/>
        <v>255476614</v>
      </c>
      <c r="E508" t="str">
        <f t="shared" si="106"/>
        <v>Dynamic Click</v>
      </c>
      <c r="F508" t="str">
        <f t="shared" si="107"/>
        <v>MK|BR_CH|PSD_DT|CROSS_PB|INST_FM|STRY_RT|CPM_PD|CidadesdoFuturo_TG|NON_ST|NON_TS|NONE_SZ|1X1_AD|CM1_IT|SOC_U1|CONSELHEIROLAFAIETE_U2|AzulEscuro</v>
      </c>
      <c r="G508" t="str">
        <f t="shared" si="108"/>
        <v>451396587</v>
      </c>
      <c r="H508" t="str">
        <f t="shared" si="109"/>
        <v>Tracking</v>
      </c>
      <c r="I508">
        <f t="shared" si="110"/>
        <v>0</v>
      </c>
      <c r="J508">
        <f t="shared" si="111"/>
        <v>47</v>
      </c>
      <c r="K508" s="4">
        <f t="shared" si="114"/>
        <v>3.5000000000000001E-3</v>
      </c>
      <c r="L508">
        <f t="shared" si="115"/>
        <v>0.02</v>
      </c>
      <c r="M508" s="4">
        <f t="shared" si="112"/>
        <v>0.16450000000000001</v>
      </c>
      <c r="N508" s="4">
        <f t="shared" si="113"/>
        <v>0.94000000000000006</v>
      </c>
    </row>
    <row r="509" spans="1:14">
      <c r="A509" t="str">
        <f t="shared" si="102"/>
        <v>MK|BR_CN|CIDADESDOFUTURO_MN|NONE_YQ|19Q4_CP|5020004441_SP|N/A_AC|CMKT_OB|AWA</v>
      </c>
      <c r="B509" t="str">
        <f t="shared" si="103"/>
        <v>instagram.com</v>
      </c>
      <c r="C509" t="str">
        <f t="shared" si="104"/>
        <v>MK|BR_CH|PSD_DT|CROSS_PB|INST_FM|STRY_RT|CPM_PD|CidadesdoFuturo_TG|NON_ST|NON_TS|NONE_SZ|1X1_AD|CM1_IT|SOC_U1|CORUMBA_U2|AzulEscuro</v>
      </c>
      <c r="D509" t="str">
        <f t="shared" si="105"/>
        <v>255476602</v>
      </c>
      <c r="E509" t="str">
        <f t="shared" si="106"/>
        <v>Dynamic Click</v>
      </c>
      <c r="F509" t="str">
        <f t="shared" si="107"/>
        <v>MK|BR_CH|PSD_DT|CROSS_PB|INST_FM|STRY_RT|CPM_PD|CidadesdoFuturo_TG|NON_ST|NON_TS|NONE_SZ|1X1_AD|CM1_IT|SOC_U1|CORUMBA_U2|AzulEscuro</v>
      </c>
      <c r="G509" t="str">
        <f t="shared" si="108"/>
        <v>451396614</v>
      </c>
      <c r="H509" t="str">
        <f t="shared" si="109"/>
        <v>Tracking</v>
      </c>
      <c r="I509">
        <f t="shared" si="110"/>
        <v>0</v>
      </c>
      <c r="J509">
        <f t="shared" si="111"/>
        <v>13</v>
      </c>
      <c r="K509" s="4">
        <f t="shared" si="114"/>
        <v>3.5000000000000001E-3</v>
      </c>
      <c r="L509">
        <f t="shared" si="115"/>
        <v>0.02</v>
      </c>
      <c r="M509" s="4">
        <f t="shared" si="112"/>
        <v>4.5499999999999999E-2</v>
      </c>
      <c r="N509" s="4">
        <f t="shared" si="113"/>
        <v>0.26</v>
      </c>
    </row>
    <row r="510" spans="1:14">
      <c r="A510" t="str">
        <f t="shared" si="102"/>
        <v>MK|BR_CN|CIDADESDOFUTURO_MN|NONE_YQ|19Q4_CP|5020004441_SP|N/A_AC|CMKT_OB|AWA</v>
      </c>
      <c r="B510" t="str">
        <f t="shared" si="103"/>
        <v>instagram.com</v>
      </c>
      <c r="C510" t="str">
        <f t="shared" si="104"/>
        <v>MK|BR_CH|PSD_DT|CROSS_PB|INST_FM|STRY_RT|CPM_PD|CidadesdoFuturo_TG|NON_ST|NON_TS|NONE_SZ|1X1_AD|CM1_IT|SOC_U1|DIVINOPOLIS_U2|AzulEscuro</v>
      </c>
      <c r="D510" t="str">
        <f t="shared" si="105"/>
        <v>255476590</v>
      </c>
      <c r="E510" t="str">
        <f t="shared" si="106"/>
        <v>Dynamic Click</v>
      </c>
      <c r="F510" t="str">
        <f t="shared" si="107"/>
        <v>MK|BR_CH|PSD_DT|CROSS_PB|INST_FM|STRY_RT|CPM_PD|CidadesdoFuturo_TG|NON_ST|NON_TS|NONE_SZ|1X1_AD|CM1_IT|SOC_U1|DIVINOPOLIS_U2|AzulEscuro</v>
      </c>
      <c r="G510" t="str">
        <f t="shared" si="108"/>
        <v>451396638</v>
      </c>
      <c r="H510" t="str">
        <f t="shared" si="109"/>
        <v>Tracking</v>
      </c>
      <c r="I510">
        <f t="shared" si="110"/>
        <v>0</v>
      </c>
      <c r="J510">
        <f t="shared" si="111"/>
        <v>63</v>
      </c>
      <c r="K510" s="4">
        <f t="shared" si="114"/>
        <v>3.5000000000000001E-3</v>
      </c>
      <c r="L510">
        <f t="shared" si="115"/>
        <v>0.02</v>
      </c>
      <c r="M510" s="4">
        <f t="shared" si="112"/>
        <v>0.2205</v>
      </c>
      <c r="N510" s="4">
        <f t="shared" si="113"/>
        <v>1.26</v>
      </c>
    </row>
    <row r="511" spans="1:14">
      <c r="A511" t="str">
        <f t="shared" si="102"/>
        <v>MK|BR_CN|CIDADESDOFUTURO_MN|NONE_YQ|19Q4_CP|5020004441_SP|N/A_AC|CMKT_OB|AWA</v>
      </c>
      <c r="B511" t="str">
        <f t="shared" si="103"/>
        <v>instagram.com</v>
      </c>
      <c r="C511" t="str">
        <f t="shared" si="104"/>
        <v>MK|BR_CH|PSD_DT|CROSS_PB|INST_FM|STRY_RT|CPM_PD|CidadesdoFuturo_TG|NON_ST|NON_TS|NONE_SZ|1X1_AD|CM1_IT|SOC_U1|FEIRADESANTANA_U2|AzulEscuro</v>
      </c>
      <c r="D511" t="str">
        <f t="shared" si="105"/>
        <v>255471058</v>
      </c>
      <c r="E511" t="str">
        <f t="shared" si="106"/>
        <v>Dynamic Click</v>
      </c>
      <c r="F511" t="str">
        <f t="shared" si="107"/>
        <v>MK|BR_CH|PSD_DT|CROSS_PB|INST_FM|STRY_RT|CPM_PD|CidadesdoFuturo_TG|NON_ST|NON_TS|NONE_SZ|1X1_AD|CM1_IT|SOC_U1|FEIRADESANTANA_U2|AzulEscuro</v>
      </c>
      <c r="G511" t="str">
        <f t="shared" si="108"/>
        <v>451397553</v>
      </c>
      <c r="H511" t="str">
        <f t="shared" si="109"/>
        <v>Tracking</v>
      </c>
      <c r="I511">
        <f t="shared" si="110"/>
        <v>0</v>
      </c>
      <c r="J511">
        <f t="shared" si="111"/>
        <v>211</v>
      </c>
      <c r="K511" s="4">
        <f t="shared" si="114"/>
        <v>3.5000000000000001E-3</v>
      </c>
      <c r="L511">
        <f t="shared" si="115"/>
        <v>0.02</v>
      </c>
      <c r="M511" s="4">
        <f t="shared" si="112"/>
        <v>0.73850000000000005</v>
      </c>
      <c r="N511" s="4">
        <f t="shared" si="113"/>
        <v>4.22</v>
      </c>
    </row>
    <row r="512" spans="1:14">
      <c r="A512" t="str">
        <f t="shared" si="102"/>
        <v>MK|BR_CN|CIDADESDOFUTURO_MN|NONE_YQ|19Q4_CP|5020004441_SP|N/A_AC|CMKT_OB|AWA</v>
      </c>
      <c r="B512" t="str">
        <f t="shared" si="103"/>
        <v>instagram.com</v>
      </c>
      <c r="C512" t="str">
        <f t="shared" si="104"/>
        <v>MK|BR_CH|PSD_DT|CROSS_PB|INST_FM|STRY_RT|CPM_PD|CidadesdoFuturo_TG|NON_ST|NON_TS|NONE_SZ|1X1_AD|CM1_IT|SOC_U1|GOVERNADORVALADARES_U2|AzulEscuro</v>
      </c>
      <c r="D512" t="str">
        <f t="shared" si="105"/>
        <v>255476578</v>
      </c>
      <c r="E512" t="str">
        <f t="shared" si="106"/>
        <v>Dynamic Click</v>
      </c>
      <c r="F512" t="str">
        <f t="shared" si="107"/>
        <v>MK|BR_CH|PSD_DT|CROSS_PB|INST_FM|STRY_RT|CPM_PD|CidadesdoFuturo_TG|NON_ST|NON_TS|NONE_SZ|1X1_AD|CM1_IT|SOC_U1|GOVERNADORVALADARES_U2|AzulEscuro</v>
      </c>
      <c r="G512" t="str">
        <f t="shared" si="108"/>
        <v>451396665</v>
      </c>
      <c r="H512" t="str">
        <f t="shared" si="109"/>
        <v>Tracking</v>
      </c>
      <c r="I512">
        <f t="shared" si="110"/>
        <v>0</v>
      </c>
      <c r="J512">
        <f t="shared" si="111"/>
        <v>96</v>
      </c>
      <c r="K512" s="4">
        <f t="shared" si="114"/>
        <v>3.5000000000000001E-3</v>
      </c>
      <c r="L512">
        <f t="shared" si="115"/>
        <v>0.02</v>
      </c>
      <c r="M512" s="4">
        <f t="shared" si="112"/>
        <v>0.33600000000000002</v>
      </c>
      <c r="N512" s="4">
        <f t="shared" si="113"/>
        <v>1.92</v>
      </c>
    </row>
    <row r="513" spans="1:14">
      <c r="A513" t="str">
        <f t="shared" si="102"/>
        <v>MK|BR_CN|CIDADESDOFUTURO_MN|NONE_YQ|19Q4_CP|5020004441_SP|N/A_AC|CMKT_OB|AWA</v>
      </c>
      <c r="B513" t="str">
        <f t="shared" si="103"/>
        <v>instagram.com</v>
      </c>
      <c r="C513" t="str">
        <f t="shared" si="104"/>
        <v>MK|BR_CH|PSD_DT|CROSS_PB|INST_FM|STRY_RT|CPM_PD|CidadesdoFuturo_TG|NON_ST|NON_TS|NONE_SZ|1X1_AD|CM1_IT|SOC_U1|GUARAPUAVA_U2|AzulEscuro</v>
      </c>
      <c r="D513" t="str">
        <f t="shared" si="105"/>
        <v>255476566</v>
      </c>
      <c r="E513" t="str">
        <f t="shared" si="106"/>
        <v>Dynamic Click</v>
      </c>
      <c r="F513" t="str">
        <f t="shared" si="107"/>
        <v>MK|BR_CH|PSD_DT|CROSS_PB|INST_FM|STRY_RT|CPM_PD|CidadesdoFuturo_TG|NON_ST|NON_TS|NONE_SZ|1X1_AD|CM1_IT|SOC_U1|GUARAPUAVA_U2|AzulEscuro</v>
      </c>
      <c r="G513" t="str">
        <f t="shared" si="108"/>
        <v>451396689</v>
      </c>
      <c r="H513" t="str">
        <f t="shared" si="109"/>
        <v>Tracking</v>
      </c>
      <c r="I513">
        <f t="shared" si="110"/>
        <v>0</v>
      </c>
      <c r="J513">
        <f t="shared" si="111"/>
        <v>37</v>
      </c>
      <c r="K513" s="4">
        <f t="shared" si="114"/>
        <v>3.5000000000000001E-3</v>
      </c>
      <c r="L513">
        <f t="shared" si="115"/>
        <v>0.02</v>
      </c>
      <c r="M513" s="4">
        <f t="shared" si="112"/>
        <v>0.1295</v>
      </c>
      <c r="N513" s="4">
        <f t="shared" si="113"/>
        <v>0.74</v>
      </c>
    </row>
    <row r="514" spans="1:14">
      <c r="A514" t="str">
        <f t="shared" ref="A514:A577" si="116">bd_campaign</f>
        <v>MK|BR_CN|CIDADESDOFUTURO_MN|NONE_YQ|19Q4_CP|5020004441_SP|N/A_AC|CMKT_OB|AWA</v>
      </c>
      <c r="B514" t="str">
        <f t="shared" ref="B514:B577" si="117">bd_site</f>
        <v>instagram.com</v>
      </c>
      <c r="C514" t="str">
        <f t="shared" ref="C514:C577" si="118">bd_placement</f>
        <v>MK|BR_CH|PSD_DT|CROSS_PB|INST_FM|STRY_RT|CPM_PD|CidadesdoFuturo_TG|NON_ST|NON_TS|NONE_SZ|1X1_AD|CM1_IT|SOC_U1|IMPERATRIZ_U2|AzulEscuro</v>
      </c>
      <c r="D514" t="str">
        <f t="shared" ref="D514:D577" si="119">bd_placementID</f>
        <v>255476554</v>
      </c>
      <c r="E514" t="str">
        <f t="shared" ref="E514:E577" si="120">VLOOKUP(CONCATENATE(bd_adtype,"_",bd_creativetype),tabela,2,FALSE)</f>
        <v>Dynamic Click</v>
      </c>
      <c r="F514" t="str">
        <f t="shared" ref="F514:F577" si="121">bd_ad</f>
        <v>MK|BR_CH|PSD_DT|CROSS_PB|INST_FM|STRY_RT|CPM_PD|CidadesdoFuturo_TG|NON_ST|NON_TS|NONE_SZ|1X1_AD|CM1_IT|SOC_U1|IMPERATRIZ_U2|AzulEscuro</v>
      </c>
      <c r="G514" t="str">
        <f t="shared" ref="G514:G577" si="122">bd_adid</f>
        <v>451396716</v>
      </c>
      <c r="H514" t="str">
        <f t="shared" ref="H514:H577" si="123">bd_creativetype</f>
        <v>Tracking</v>
      </c>
      <c r="I514">
        <f t="shared" ref="I514:I577" si="124">bd_impression</f>
        <v>0</v>
      </c>
      <c r="J514">
        <f t="shared" ref="J514:J577" si="125">bd_clicks</f>
        <v>95</v>
      </c>
      <c r="K514" s="4">
        <f t="shared" si="114"/>
        <v>3.5000000000000001E-3</v>
      </c>
      <c r="L514">
        <f t="shared" si="115"/>
        <v>0.02</v>
      </c>
      <c r="M514" s="4">
        <f t="shared" si="112"/>
        <v>0.33250000000000002</v>
      </c>
      <c r="N514" s="4">
        <f t="shared" si="113"/>
        <v>1.9000000000000001</v>
      </c>
    </row>
    <row r="515" spans="1:14">
      <c r="A515" t="str">
        <f t="shared" si="116"/>
        <v>MK|BR_CN|CIDADESDOFUTURO_MN|NONE_YQ|19Q4_CP|5020004441_SP|N/A_AC|CMKT_OB|AWA</v>
      </c>
      <c r="B515" t="str">
        <f t="shared" si="117"/>
        <v>instagram.com</v>
      </c>
      <c r="C515" t="str">
        <f t="shared" si="118"/>
        <v>MK|BR_CH|PSD_DT|CROSS_PB|INST_FM|STRY_RT|CPM_PD|CidadesdoFuturo_TG|NON_ST|NON_TS|NONE_SZ|1X1_AD|CM1_IT|SOC_U1|ITABIARA_U2|AzulEscuro</v>
      </c>
      <c r="D515" t="str">
        <f t="shared" si="119"/>
        <v>255476542</v>
      </c>
      <c r="E515" t="str">
        <f t="shared" si="120"/>
        <v>Dynamic Click</v>
      </c>
      <c r="F515" t="str">
        <f t="shared" si="121"/>
        <v>MK|BR_CH|PSD_DT|CROSS_PB|INST_FM|STRY_RT|CPM_PD|CidadesdoFuturo_TG|NON_ST|NON_TS|NONE_SZ|1X1_AD|CM1_IT|SOC_U1|ITABIARA_U2|AzulEscuro</v>
      </c>
      <c r="G515" t="str">
        <f t="shared" si="122"/>
        <v>451396740</v>
      </c>
      <c r="H515" t="str">
        <f t="shared" si="123"/>
        <v>Tracking</v>
      </c>
      <c r="I515">
        <f t="shared" si="124"/>
        <v>0</v>
      </c>
      <c r="J515">
        <f t="shared" si="125"/>
        <v>19</v>
      </c>
      <c r="K515" s="4">
        <f t="shared" si="114"/>
        <v>3.5000000000000001E-3</v>
      </c>
      <c r="L515">
        <f t="shared" si="115"/>
        <v>0.02</v>
      </c>
      <c r="M515" s="4">
        <f t="shared" si="112"/>
        <v>6.6500000000000004E-2</v>
      </c>
      <c r="N515" s="4">
        <f t="shared" si="113"/>
        <v>0.38</v>
      </c>
    </row>
    <row r="516" spans="1:14">
      <c r="A516" t="str">
        <f t="shared" si="116"/>
        <v>MK|BR_CN|CIDADESDOFUTURO_MN|NONE_YQ|19Q4_CP|5020004441_SP|N/A_AC|CMKT_OB|AWA</v>
      </c>
      <c r="B516" t="str">
        <f t="shared" si="117"/>
        <v>instagram.com</v>
      </c>
      <c r="C516" t="str">
        <f t="shared" si="118"/>
        <v>MK|BR_CH|PSD_DT|CROSS_PB|INST_FM|STRY_RT|CPM_PD|CidadesdoFuturo_TG|NON_ST|NON_TS|NONE_SZ|1X1_AD|CM1_IT|SOC_U1|ITAPETINIGA_U2|AzulEscuro</v>
      </c>
      <c r="D516" t="str">
        <f t="shared" si="119"/>
        <v>255476530</v>
      </c>
      <c r="E516" t="str">
        <f t="shared" si="120"/>
        <v>Dynamic Click</v>
      </c>
      <c r="F516" t="str">
        <f t="shared" si="121"/>
        <v>MK|BR_CH|PSD_DT|CROSS_PB|INST_FM|STRY_RT|CPM_PD|CidadesdoFuturo_TG|NON_ST|NON_TS|NONE_SZ|1X1_AD|CM1_IT|SOC_U1|ITAPETINIGA_U2|AzulEscuro</v>
      </c>
      <c r="G516" t="str">
        <f t="shared" si="122"/>
        <v>451396767</v>
      </c>
      <c r="H516" t="str">
        <f t="shared" si="123"/>
        <v>Tracking</v>
      </c>
      <c r="I516">
        <f t="shared" si="124"/>
        <v>0</v>
      </c>
      <c r="J516">
        <f t="shared" si="125"/>
        <v>33</v>
      </c>
      <c r="K516" s="4">
        <f t="shared" si="114"/>
        <v>3.5000000000000001E-3</v>
      </c>
      <c r="L516">
        <f t="shared" si="115"/>
        <v>0.02</v>
      </c>
      <c r="M516" s="4">
        <f t="shared" si="112"/>
        <v>0.11550000000000001</v>
      </c>
      <c r="N516" s="4">
        <f t="shared" si="113"/>
        <v>0.66</v>
      </c>
    </row>
    <row r="517" spans="1:14">
      <c r="A517" t="str">
        <f t="shared" si="116"/>
        <v>MK|BR_CN|CIDADESDOFUTURO_MN|NONE_YQ|19Q4_CP|5020004441_SP|N/A_AC|CMKT_OB|AWA</v>
      </c>
      <c r="B517" t="str">
        <f t="shared" si="117"/>
        <v>instagram.com</v>
      </c>
      <c r="C517" t="str">
        <f t="shared" si="118"/>
        <v>MK|BR_CH|PSD_DT|CROSS_PB|INST_FM|STRY_RT|CPM_PD|CidadesdoFuturo_TG|NON_ST|NON_TS|NONE_SZ|1X1_AD|CM1_IT|SOC_U1|ITUMBIARA_U2|AzulEscuro</v>
      </c>
      <c r="D517" t="str">
        <f t="shared" si="119"/>
        <v>255476518</v>
      </c>
      <c r="E517" t="str">
        <f t="shared" si="120"/>
        <v>Dynamic Click</v>
      </c>
      <c r="F517" t="str">
        <f t="shared" si="121"/>
        <v>MK|BR_CH|PSD_DT|CROSS_PB|INST_FM|STRY_RT|CPM_PD|CidadesdoFuturo_TG|NON_ST|NON_TS|NONE_SZ|1X1_AD|CM1_IT|SOC_U1|ITUMBIARA_U2|AzulEscuro</v>
      </c>
      <c r="G517" t="str">
        <f t="shared" si="122"/>
        <v>451396791</v>
      </c>
      <c r="H517" t="str">
        <f t="shared" si="123"/>
        <v>Tracking</v>
      </c>
      <c r="I517">
        <f t="shared" si="124"/>
        <v>0</v>
      </c>
      <c r="J517">
        <f t="shared" si="125"/>
        <v>32</v>
      </c>
      <c r="K517" s="4">
        <f t="shared" si="114"/>
        <v>3.5000000000000001E-3</v>
      </c>
      <c r="L517">
        <f t="shared" si="115"/>
        <v>0.02</v>
      </c>
      <c r="M517" s="4">
        <f t="shared" si="112"/>
        <v>0.112</v>
      </c>
      <c r="N517" s="4">
        <f t="shared" si="113"/>
        <v>0.64</v>
      </c>
    </row>
    <row r="518" spans="1:14">
      <c r="A518" t="str">
        <f t="shared" si="116"/>
        <v>MK|BR_CN|CIDADESDOFUTURO_MN|NONE_YQ|19Q4_CP|5020004441_SP|N/A_AC|CMKT_OB|AWA</v>
      </c>
      <c r="B518" t="str">
        <f t="shared" si="117"/>
        <v>instagram.com</v>
      </c>
      <c r="C518" t="str">
        <f t="shared" si="118"/>
        <v>MK|BR_CH|PSD_DT|CROSS_PB|INST_FM|STRY_RT|CPM_PD|CidadesdoFuturo_TG|NON_ST|NON_TS|NONE_SZ|1X1_AD|CM1_IT|SOC_U1|JAU_U2|AzulEscuro</v>
      </c>
      <c r="D518" t="str">
        <f t="shared" si="119"/>
        <v>255476506</v>
      </c>
      <c r="E518" t="str">
        <f t="shared" si="120"/>
        <v>Dynamic Click</v>
      </c>
      <c r="F518" t="str">
        <f t="shared" si="121"/>
        <v>MK|BR_CH|PSD_DT|CROSS_PB|INST_FM|STRY_RT|CPM_PD|CidadesdoFuturo_TG|NON_ST|NON_TS|NONE_SZ|1X1_AD|CM1_IT|SOC_U1|JAU_U2|AzulEscuro</v>
      </c>
      <c r="G518" t="str">
        <f t="shared" si="122"/>
        <v>451493086</v>
      </c>
      <c r="H518" t="str">
        <f t="shared" si="123"/>
        <v>Tracking</v>
      </c>
      <c r="I518">
        <f t="shared" si="124"/>
        <v>0</v>
      </c>
      <c r="J518">
        <f t="shared" si="125"/>
        <v>30</v>
      </c>
      <c r="K518" s="4">
        <f t="shared" si="114"/>
        <v>3.5000000000000001E-3</v>
      </c>
      <c r="L518">
        <f t="shared" si="115"/>
        <v>0.02</v>
      </c>
      <c r="M518" s="4">
        <f t="shared" si="112"/>
        <v>0.105</v>
      </c>
      <c r="N518" s="4">
        <f t="shared" si="113"/>
        <v>0.6</v>
      </c>
    </row>
    <row r="519" spans="1:14">
      <c r="A519" t="str">
        <f t="shared" si="116"/>
        <v>MK|BR_CN|CIDADESDOFUTURO_MN|NONE_YQ|19Q4_CP|5020004441_SP|N/A_AC|CMKT_OB|AWA</v>
      </c>
      <c r="B519" t="str">
        <f t="shared" si="117"/>
        <v>instagram.com</v>
      </c>
      <c r="C519" t="str">
        <f t="shared" si="118"/>
        <v>MK|BR_CH|PSD_DT|CROSS_PB|INST_FM|STRY_RT|CPM_PD|CidadesdoFuturo_TG|NON_ST|NON_TS|NONE_SZ|1X1_AD|CM1_IT|SOC_U1|JUAZEIRODONORTE_U2|AzulEscuro</v>
      </c>
      <c r="D519" t="str">
        <f t="shared" si="119"/>
        <v>255476494</v>
      </c>
      <c r="E519" t="str">
        <f t="shared" si="120"/>
        <v>Dynamic Click</v>
      </c>
      <c r="F519" t="str">
        <f t="shared" si="121"/>
        <v>MK|BR_CH|PSD_DT|CROSS_PB|INST_FM|STRY_RT|CPM_PD|CidadesdoFuturo_TG|NON_ST|NON_TS|NONE_SZ|1X1_AD|CM1_IT|SOC_U1|JUAZEIRODONORTE_U2|AzulEscuro</v>
      </c>
      <c r="G519" t="str">
        <f t="shared" si="122"/>
        <v>451493113</v>
      </c>
      <c r="H519" t="str">
        <f t="shared" si="123"/>
        <v>Tracking</v>
      </c>
      <c r="I519">
        <f t="shared" si="124"/>
        <v>0</v>
      </c>
      <c r="J519">
        <f t="shared" si="125"/>
        <v>80</v>
      </c>
      <c r="K519" s="4">
        <f t="shared" si="114"/>
        <v>3.5000000000000001E-3</v>
      </c>
      <c r="L519">
        <f t="shared" si="115"/>
        <v>0.02</v>
      </c>
      <c r="M519" s="4">
        <f t="shared" si="112"/>
        <v>0.28000000000000003</v>
      </c>
      <c r="N519" s="4">
        <f t="shared" si="113"/>
        <v>1.6</v>
      </c>
    </row>
    <row r="520" spans="1:14">
      <c r="A520" t="str">
        <f t="shared" si="116"/>
        <v>MK|BR_CN|CIDADESDOFUTURO_MN|NONE_YQ|19Q4_CP|5020004441_SP|N/A_AC|CMKT_OB|AWA</v>
      </c>
      <c r="B520" t="str">
        <f t="shared" si="117"/>
        <v>instagram.com</v>
      </c>
      <c r="C520" t="str">
        <f t="shared" si="118"/>
        <v>MK|BR_CH|PSD_DT|CROSS_PB|INST_FM|STRY_RT|CPM_PD|CidadesdoFuturo_TG|NON_ST|NON_TS|NONE_SZ|1X1_AD|CM1_IT|SOC_U1|JUIZDEFORA_U2|AzulEscuro</v>
      </c>
      <c r="D520" t="str">
        <f t="shared" si="119"/>
        <v>255471046</v>
      </c>
      <c r="E520" t="str">
        <f t="shared" si="120"/>
        <v>Dynamic Click</v>
      </c>
      <c r="F520" t="str">
        <f t="shared" si="121"/>
        <v>MK|BR_CH|PSD_DT|CROSS_PB|INST_FM|STRY_RT|CPM_PD|CidadesdoFuturo_TG|NON_ST|NON_TS|NONE_SZ|1X1_AD|CM1_IT|SOC_U1|JUIZDEFORA_U2|AzulEscuro</v>
      </c>
      <c r="G520" t="str">
        <f t="shared" si="122"/>
        <v>451397565</v>
      </c>
      <c r="H520" t="str">
        <f t="shared" si="123"/>
        <v>Tracking</v>
      </c>
      <c r="I520">
        <f t="shared" si="124"/>
        <v>0</v>
      </c>
      <c r="J520">
        <f t="shared" si="125"/>
        <v>152</v>
      </c>
      <c r="K520" s="4">
        <f t="shared" si="114"/>
        <v>3.5000000000000001E-3</v>
      </c>
      <c r="L520">
        <f t="shared" si="115"/>
        <v>0.02</v>
      </c>
      <c r="M520" s="4">
        <f t="shared" si="112"/>
        <v>0.53200000000000003</v>
      </c>
      <c r="N520" s="4">
        <f t="shared" si="113"/>
        <v>3.04</v>
      </c>
    </row>
    <row r="521" spans="1:14">
      <c r="A521" t="str">
        <f t="shared" si="116"/>
        <v>MK|BR_CN|CIDADESDOFUTURO_MN|NONE_YQ|19Q4_CP|5020004441_SP|N/A_AC|CMKT_OB|AWA</v>
      </c>
      <c r="B521" t="str">
        <f t="shared" si="117"/>
        <v>instagram.com</v>
      </c>
      <c r="C521" t="str">
        <f t="shared" si="118"/>
        <v>MK|BR_CH|PSD_DT|CROSS_PB|INST_FM|STRY_RT|CPM_PD|CidadesdoFuturo_TG|NON_ST|NON_TS|NONE_SZ|1X1_AD|CM1_IT|SOC_U1|LINHARES_U2|AzulEscuro</v>
      </c>
      <c r="D521" t="str">
        <f t="shared" si="119"/>
        <v>255476482</v>
      </c>
      <c r="E521" t="str">
        <f t="shared" si="120"/>
        <v>Dynamic Click</v>
      </c>
      <c r="F521" t="str">
        <f t="shared" si="121"/>
        <v>MK|BR_CH|PSD_DT|CROSS_PB|INST_FM|STRY_RT|CPM_PD|CidadesdoFuturo_TG|NON_ST|NON_TS|NONE_SZ|1X1_AD|CM1_IT|SOC_U1|LINHARES_U2|AzulEscuro</v>
      </c>
      <c r="G521" t="str">
        <f t="shared" si="122"/>
        <v>451493137</v>
      </c>
      <c r="H521" t="str">
        <f t="shared" si="123"/>
        <v>Tracking</v>
      </c>
      <c r="I521">
        <f t="shared" si="124"/>
        <v>0</v>
      </c>
      <c r="J521">
        <f t="shared" si="125"/>
        <v>62</v>
      </c>
      <c r="K521" s="4">
        <f t="shared" si="114"/>
        <v>3.5000000000000001E-3</v>
      </c>
      <c r="L521">
        <f t="shared" si="115"/>
        <v>0.02</v>
      </c>
      <c r="M521" s="4">
        <f t="shared" si="112"/>
        <v>0.217</v>
      </c>
      <c r="N521" s="4">
        <f t="shared" si="113"/>
        <v>1.24</v>
      </c>
    </row>
    <row r="522" spans="1:14">
      <c r="A522" t="str">
        <f t="shared" si="116"/>
        <v>MK|BR_CN|CIDADESDOFUTURO_MN|NONE_YQ|19Q4_CP|5020004441_SP|N/A_AC|CMKT_OB|AWA</v>
      </c>
      <c r="B522" t="str">
        <f t="shared" si="117"/>
        <v>instagram.com</v>
      </c>
      <c r="C522" t="str">
        <f t="shared" si="118"/>
        <v>MK|BR_CH|PSD_DT|CROSS_PB|INST_FM|STRY_RT|CPM_PD|CidadesdoFuturo_TG|NON_ST|NON_TS|NONE_SZ|1X1_AD|CM1_IT|SOC_U1|LUZIANIA_U2|AzulEscuro</v>
      </c>
      <c r="D522" t="str">
        <f t="shared" si="119"/>
        <v>255476470</v>
      </c>
      <c r="E522" t="str">
        <f t="shared" si="120"/>
        <v>Dynamic Click</v>
      </c>
      <c r="F522" t="str">
        <f t="shared" si="121"/>
        <v>MK|BR_CH|PSD_DT|CROSS_PB|INST_FM|STRY_RT|CPM_PD|CidadesdoFuturo_TG|NON_ST|NON_TS|NONE_SZ|1X1_AD|CM1_IT|SOC_U1|LUZIANIA_U2|AzulEscuro</v>
      </c>
      <c r="G522" t="str">
        <f t="shared" si="122"/>
        <v>451493161</v>
      </c>
      <c r="H522" t="str">
        <f t="shared" si="123"/>
        <v>Tracking</v>
      </c>
      <c r="I522">
        <f t="shared" si="124"/>
        <v>0</v>
      </c>
      <c r="J522">
        <f t="shared" si="125"/>
        <v>37</v>
      </c>
      <c r="K522" s="4">
        <f t="shared" si="114"/>
        <v>3.5000000000000001E-3</v>
      </c>
      <c r="L522">
        <f t="shared" si="115"/>
        <v>0.02</v>
      </c>
      <c r="M522" s="4">
        <f t="shared" si="112"/>
        <v>0.1295</v>
      </c>
      <c r="N522" s="4">
        <f t="shared" si="113"/>
        <v>0.74</v>
      </c>
    </row>
    <row r="523" spans="1:14">
      <c r="A523" t="str">
        <f t="shared" si="116"/>
        <v>MK|BR_CN|CIDADESDOFUTURO_MN|NONE_YQ|19Q4_CP|5020004441_SP|N/A_AC|CMKT_OB|AWA</v>
      </c>
      <c r="B523" t="str">
        <f t="shared" si="117"/>
        <v>instagram.com</v>
      </c>
      <c r="C523" t="str">
        <f t="shared" si="118"/>
        <v>MK|BR_CH|PSD_DT|CROSS_PB|INST_FM|STRY_RT|CPM_PD|CidadesdoFuturo_TG|NON_ST|NON_TS|NONE_SZ|1X1_AD|CM1_IT|SOC_U1|MACAPA_U2|AzulEscuro</v>
      </c>
      <c r="D523" t="str">
        <f t="shared" si="119"/>
        <v>255476458</v>
      </c>
      <c r="E523" t="str">
        <f t="shared" si="120"/>
        <v>Dynamic Click</v>
      </c>
      <c r="F523" t="str">
        <f t="shared" si="121"/>
        <v>MK|BR_CH|PSD_DT|CROSS_PB|INST_FM|STRY_RT|CPM_PD|CidadesdoFuturo_TG|NON_ST|NON_TS|NONE_SZ|1X1_AD|CM1_IT|SOC_U1|MACAPA_U2|AzulEscuro</v>
      </c>
      <c r="G523" t="str">
        <f t="shared" si="122"/>
        <v>451493185</v>
      </c>
      <c r="H523" t="str">
        <f t="shared" si="123"/>
        <v>Tracking</v>
      </c>
      <c r="I523">
        <f t="shared" si="124"/>
        <v>0</v>
      </c>
      <c r="J523">
        <f t="shared" si="125"/>
        <v>87</v>
      </c>
      <c r="K523" s="4">
        <f t="shared" si="114"/>
        <v>3.5000000000000001E-3</v>
      </c>
      <c r="L523">
        <f t="shared" si="115"/>
        <v>0.02</v>
      </c>
      <c r="M523" s="4">
        <f t="shared" si="112"/>
        <v>0.30449999999999999</v>
      </c>
      <c r="N523" s="4">
        <f t="shared" si="113"/>
        <v>1.74</v>
      </c>
    </row>
    <row r="524" spans="1:14">
      <c r="A524" t="str">
        <f t="shared" si="116"/>
        <v>MK|BR_CN|CIDADESDOFUTURO_MN|NONE_YQ|19Q4_CP|5020004441_SP|N/A_AC|CMKT_OB|AWA</v>
      </c>
      <c r="B524" t="str">
        <f t="shared" si="117"/>
        <v>instagram.com</v>
      </c>
      <c r="C524" t="str">
        <f t="shared" si="118"/>
        <v>MK|BR_CH|PSD_DT|CROSS_PB|INST_FM|STRY_RT|CPM_PD|CidadesdoFuturo_TG|NON_ST|NON_TS|NONE_SZ|1X1_AD|CM1_IT|SOC_U1|MACEIO_U2|AzulEscuro</v>
      </c>
      <c r="D524" t="str">
        <f t="shared" si="119"/>
        <v>255471034</v>
      </c>
      <c r="E524" t="str">
        <f t="shared" si="120"/>
        <v>Dynamic Click</v>
      </c>
      <c r="F524" t="str">
        <f t="shared" si="121"/>
        <v>MK|BR_CH|PSD_DT|CROSS_PB|INST_FM|STRY_RT|CPM_PD|CidadesdoFuturo_TG|NON_ST|NON_TS|NONE_SZ|1X1_AD|CM1_IT|SOC_U1|MACEIO_U2|AzulEscuro</v>
      </c>
      <c r="G524" t="str">
        <f t="shared" si="122"/>
        <v>451397577</v>
      </c>
      <c r="H524" t="str">
        <f t="shared" si="123"/>
        <v>Tracking</v>
      </c>
      <c r="I524">
        <f t="shared" si="124"/>
        <v>0</v>
      </c>
      <c r="J524">
        <f t="shared" si="125"/>
        <v>459</v>
      </c>
      <c r="K524" s="4">
        <f t="shared" si="114"/>
        <v>3.5000000000000001E-3</v>
      </c>
      <c r="L524">
        <f t="shared" si="115"/>
        <v>0.02</v>
      </c>
      <c r="M524" s="4">
        <f t="shared" si="112"/>
        <v>1.6065</v>
      </c>
      <c r="N524" s="4">
        <f t="shared" si="113"/>
        <v>9.18</v>
      </c>
    </row>
    <row r="525" spans="1:14">
      <c r="A525" t="str">
        <f t="shared" si="116"/>
        <v>MK|BR_CN|CIDADESDOFUTURO_MN|NONE_YQ|19Q4_CP|5020004441_SP|N/A_AC|CMKT_OB|AWA</v>
      </c>
      <c r="B525" t="str">
        <f t="shared" si="117"/>
        <v>instagram.com</v>
      </c>
      <c r="C525" t="str">
        <f t="shared" si="118"/>
        <v>MK|BR_CH|PSD_DT|CROSS_PB|INST_FM|STRY_RT|CPM_PD|CidadesdoFuturo_TG|NON_ST|NON_TS|NONE_SZ|1X1_AD|CM1_IT|SOC_U1|MANAUS_U2|AzulEscuro</v>
      </c>
      <c r="D525" t="str">
        <f t="shared" si="119"/>
        <v>255471022</v>
      </c>
      <c r="E525" t="str">
        <f t="shared" si="120"/>
        <v>Dynamic Click</v>
      </c>
      <c r="F525" t="str">
        <f t="shared" si="121"/>
        <v>MK|BR_CH|PSD_DT|CROSS_PB|INST_FM|STRY_RT|CPM_PD|CidadesdoFuturo_TG|NON_ST|NON_TS|NONE_SZ|1X1_AD|CM1_IT|SOC_U1|MANAUS_U2|AzulEscuro</v>
      </c>
      <c r="G525" t="str">
        <f t="shared" si="122"/>
        <v>451397589</v>
      </c>
      <c r="H525" t="str">
        <f t="shared" si="123"/>
        <v>Tracking</v>
      </c>
      <c r="I525">
        <f t="shared" si="124"/>
        <v>0</v>
      </c>
      <c r="J525">
        <f t="shared" si="125"/>
        <v>398</v>
      </c>
      <c r="K525" s="4">
        <f t="shared" si="114"/>
        <v>3.5000000000000001E-3</v>
      </c>
      <c r="L525">
        <f t="shared" si="115"/>
        <v>0.02</v>
      </c>
      <c r="M525" s="4">
        <f t="shared" si="112"/>
        <v>1.393</v>
      </c>
      <c r="N525" s="4">
        <f t="shared" si="113"/>
        <v>7.96</v>
      </c>
    </row>
    <row r="526" spans="1:14">
      <c r="A526" t="str">
        <f t="shared" si="116"/>
        <v>MK|BR_CN|CIDADESDOFUTURO_MN|NONE_YQ|19Q4_CP|5020004441_SP|N/A_AC|CMKT_OB|AWA</v>
      </c>
      <c r="B526" t="str">
        <f t="shared" si="117"/>
        <v>instagram.com</v>
      </c>
      <c r="C526" t="str">
        <f t="shared" si="118"/>
        <v>MK|BR_CH|PSD_DT|CROSS_PB|INST_FM|STRY_RT|CPM_PD|CidadesdoFuturo_TG|NON_ST|NON_TS|NONE_SZ|1X1_AD|CM1_IT|SOC_U1|MARABA_U2|AzulEscuro</v>
      </c>
      <c r="D526" t="str">
        <f t="shared" si="119"/>
        <v>255476446</v>
      </c>
      <c r="E526" t="str">
        <f t="shared" si="120"/>
        <v>Dynamic Click</v>
      </c>
      <c r="F526" t="str">
        <f t="shared" si="121"/>
        <v>MK|BR_CH|PSD_DT|CROSS_PB|INST_FM|STRY_RT|CPM_PD|CidadesdoFuturo_TG|NON_ST|NON_TS|NONE_SZ|1X1_AD|CM1_IT|SOC_U1|MARABA_U2|AzulEscuro</v>
      </c>
      <c r="G526" t="str">
        <f t="shared" si="122"/>
        <v>451493212</v>
      </c>
      <c r="H526" t="str">
        <f t="shared" si="123"/>
        <v>Tracking</v>
      </c>
      <c r="I526">
        <f t="shared" si="124"/>
        <v>0</v>
      </c>
      <c r="J526">
        <f t="shared" si="125"/>
        <v>51</v>
      </c>
      <c r="K526" s="4">
        <f t="shared" si="114"/>
        <v>3.5000000000000001E-3</v>
      </c>
      <c r="L526">
        <f t="shared" si="115"/>
        <v>0.02</v>
      </c>
      <c r="M526" s="4">
        <f t="shared" si="112"/>
        <v>0.17849999999999999</v>
      </c>
      <c r="N526" s="4">
        <f t="shared" si="113"/>
        <v>1.02</v>
      </c>
    </row>
    <row r="527" spans="1:14">
      <c r="A527" t="str">
        <f t="shared" si="116"/>
        <v>MK|BR_CN|CIDADESDOFUTURO_MN|NONE_YQ|19Q4_CP|5020004441_SP|N/A_AC|CMKT_OB|AWA</v>
      </c>
      <c r="B527" t="str">
        <f t="shared" si="117"/>
        <v>instagram.com</v>
      </c>
      <c r="C527" t="str">
        <f t="shared" si="118"/>
        <v>MK|BR_CH|PSD_DT|CROSS_PB|INST_FM|STRY_RT|CPM_PD|CidadesdoFuturo_TG|NON_ST|NON_TS|NONE_SZ|1X1_AD|CM1_IT|SOC_U1|MARINGA_U2|AzulEscuro</v>
      </c>
      <c r="D527" t="str">
        <f t="shared" si="119"/>
        <v>255476434</v>
      </c>
      <c r="E527" t="str">
        <f t="shared" si="120"/>
        <v>Dynamic Click</v>
      </c>
      <c r="F527" t="str">
        <f t="shared" si="121"/>
        <v>MK|BR_CH|PSD_DT|CROSS_PB|INST_FM|STRY_RT|CPM_PD|CidadesdoFuturo_TG|NON_ST|NON_TS|NONE_SZ|1X1_AD|CM1_IT|SOC_U1|MARINGA_U2|AzulEscuro</v>
      </c>
      <c r="G527" t="str">
        <f t="shared" si="122"/>
        <v>451493236</v>
      </c>
      <c r="H527" t="str">
        <f t="shared" si="123"/>
        <v>Tracking</v>
      </c>
      <c r="I527">
        <f t="shared" si="124"/>
        <v>0</v>
      </c>
      <c r="J527">
        <f t="shared" si="125"/>
        <v>119</v>
      </c>
      <c r="K527" s="4">
        <f t="shared" si="114"/>
        <v>3.5000000000000001E-3</v>
      </c>
      <c r="L527">
        <f t="shared" si="115"/>
        <v>0.02</v>
      </c>
      <c r="M527" s="4">
        <f t="shared" si="112"/>
        <v>0.41649999999999998</v>
      </c>
      <c r="N527" s="4">
        <f t="shared" si="113"/>
        <v>2.38</v>
      </c>
    </row>
    <row r="528" spans="1:14">
      <c r="A528" t="str">
        <f t="shared" si="116"/>
        <v>MK|BR_CN|CIDADESDOFUTURO_MN|NONE_YQ|19Q4_CP|5020004441_SP|N/A_AC|CMKT_OB|AWA</v>
      </c>
      <c r="B528" t="str">
        <f t="shared" si="117"/>
        <v>instagram.com</v>
      </c>
      <c r="C528" t="str">
        <f t="shared" si="118"/>
        <v>MK|BR_CH|PSD_DT|CROSS_PB|INST_FM|STRY_RT|CPM_PD|CidadesdoFuturo_TG|NON_ST|NON_TS|NONE_SZ|1X1_AD|CM1_IT|SOC_U1|MOGIGUAÇU_U2|AzulEscuro</v>
      </c>
      <c r="D528" t="str">
        <f t="shared" si="119"/>
        <v>255476422</v>
      </c>
      <c r="E528" t="str">
        <f t="shared" si="120"/>
        <v>Dynamic Click</v>
      </c>
      <c r="F528" t="str">
        <f t="shared" si="121"/>
        <v>MK|BR_CH|PSD_DT|CROSS_PB|INST_FM|STRY_RT|CPM_PD|CidadesdoFuturo_TG|NON_ST|NON_TS|NONE_SZ|1X1_AD|CM1_IT|SOC_U1|MOGIGUAÇU_U2|AzulEscuro</v>
      </c>
      <c r="G528" t="str">
        <f t="shared" si="122"/>
        <v>451493263</v>
      </c>
      <c r="H528" t="str">
        <f t="shared" si="123"/>
        <v>Tracking</v>
      </c>
      <c r="I528">
        <f t="shared" si="124"/>
        <v>0</v>
      </c>
      <c r="J528">
        <f t="shared" si="125"/>
        <v>29</v>
      </c>
      <c r="K528" s="4">
        <f t="shared" si="114"/>
        <v>3.5000000000000001E-3</v>
      </c>
      <c r="L528">
        <f t="shared" si="115"/>
        <v>0.02</v>
      </c>
      <c r="M528" s="4">
        <f t="shared" si="112"/>
        <v>0.10150000000000001</v>
      </c>
      <c r="N528" s="4">
        <f t="shared" si="113"/>
        <v>0.57999999999999996</v>
      </c>
    </row>
    <row r="529" spans="1:14">
      <c r="A529" t="str">
        <f t="shared" si="116"/>
        <v>MK|BR_CN|CIDADESDOFUTURO_MN|NONE_YQ|19Q4_CP|5020004441_SP|N/A_AC|CMKT_OB|AWA</v>
      </c>
      <c r="B529" t="str">
        <f t="shared" si="117"/>
        <v>instagram.com</v>
      </c>
      <c r="C529" t="str">
        <f t="shared" si="118"/>
        <v>MK|BR_CH|PSD_DT|CROSS_PB|INST_FM|STRY_RT|CPM_PD|CidadesdoFuturo_TG|NON_ST|NON_TS|NONE_SZ|1X1_AD|CM1_IT|SOC_U1|MOGIGUAÇU_U2|AzulEscuro</v>
      </c>
      <c r="D529" t="str">
        <f t="shared" si="119"/>
        <v>256665549</v>
      </c>
      <c r="E529" t="str">
        <f t="shared" si="120"/>
        <v>Dynamic Click</v>
      </c>
      <c r="F529" t="str">
        <f t="shared" si="121"/>
        <v>MK|BR_CH|PSD_DT|CROSS_PB|INST_FM|STRY_RT|CPM_PD|CidadesdoFuturo_TG|NON_ST|NON_TS|NONE_SZ|1X1_AD|CM1_IT|SOC_U1|MOGIGUAÇU_U2|AzulEscuro</v>
      </c>
      <c r="G529" t="str">
        <f t="shared" si="122"/>
        <v>452411456</v>
      </c>
      <c r="H529" t="str">
        <f t="shared" si="123"/>
        <v>Tracking</v>
      </c>
      <c r="I529">
        <f t="shared" si="124"/>
        <v>0</v>
      </c>
      <c r="J529">
        <f t="shared" si="125"/>
        <v>1</v>
      </c>
      <c r="K529" s="4">
        <f t="shared" si="114"/>
        <v>3.5000000000000001E-3</v>
      </c>
      <c r="L529">
        <f t="shared" si="115"/>
        <v>0.02</v>
      </c>
      <c r="M529" s="4">
        <f t="shared" si="112"/>
        <v>3.5000000000000001E-3</v>
      </c>
      <c r="N529" s="4">
        <f t="shared" si="113"/>
        <v>0.02</v>
      </c>
    </row>
    <row r="530" spans="1:14">
      <c r="A530" t="str">
        <f t="shared" si="116"/>
        <v>MK|BR_CN|CIDADESDOFUTURO_MN|NONE_YQ|19Q4_CP|5020004441_SP|N/A_AC|CMKT_OB|AWA</v>
      </c>
      <c r="B530" t="str">
        <f t="shared" si="117"/>
        <v>instagram.com</v>
      </c>
      <c r="C530" t="str">
        <f t="shared" si="118"/>
        <v>MK|BR_CH|PSD_DT|CROSS_PB|INST_FM|STRY_RT|CPM_PD|CidadesdoFuturo_TG|NON_ST|NON_TS|NONE_SZ|1X1_AD|CM1_IT|SOC_U1|MONTESCLAROS_U2|AzulEscuro</v>
      </c>
      <c r="D530" t="str">
        <f t="shared" si="119"/>
        <v>255476410</v>
      </c>
      <c r="E530" t="str">
        <f t="shared" si="120"/>
        <v>Dynamic Click</v>
      </c>
      <c r="F530" t="str">
        <f t="shared" si="121"/>
        <v>MK|BR_CH|PSD_DT|CROSS_PB|INST_FM|STRY_RT|CPM_PD|CidadesdoFuturo_TG|NON_ST|NON_TS|NONE_SZ|1X1_AD|CM1_IT|SOC_U1|MONTESCLAROS_U2|AzulEscuro</v>
      </c>
      <c r="G530" t="str">
        <f t="shared" si="122"/>
        <v>451493287</v>
      </c>
      <c r="H530" t="str">
        <f t="shared" si="123"/>
        <v>Tracking</v>
      </c>
      <c r="I530">
        <f t="shared" si="124"/>
        <v>0</v>
      </c>
      <c r="J530">
        <f t="shared" si="125"/>
        <v>124</v>
      </c>
      <c r="K530" s="4">
        <f t="shared" si="114"/>
        <v>3.5000000000000001E-3</v>
      </c>
      <c r="L530">
        <f t="shared" si="115"/>
        <v>0.02</v>
      </c>
      <c r="M530" s="4">
        <f t="shared" si="112"/>
        <v>0.434</v>
      </c>
      <c r="N530" s="4">
        <f t="shared" si="113"/>
        <v>2.48</v>
      </c>
    </row>
    <row r="531" spans="1:14">
      <c r="A531" t="str">
        <f t="shared" si="116"/>
        <v>MK|BR_CN|CIDADESDOFUTURO_MN|NONE_YQ|19Q4_CP|5020004441_SP|N/A_AC|CMKT_OB|AWA</v>
      </c>
      <c r="B531" t="str">
        <f t="shared" si="117"/>
        <v>instagram.com</v>
      </c>
      <c r="C531" t="str">
        <f t="shared" si="118"/>
        <v>MK|BR_CH|PSD_DT|CROSS_PB|INST_FM|STRY_RT|CPM_PD|CidadesdoFuturo_TG|NON_ST|NON_TS|NONE_SZ|1X1_AD|CM1_IT|SOC_U1|MOSSORO_U2|AzulEscuro</v>
      </c>
      <c r="D531" t="str">
        <f t="shared" si="119"/>
        <v>255476398</v>
      </c>
      <c r="E531" t="str">
        <f t="shared" si="120"/>
        <v>Dynamic Click</v>
      </c>
      <c r="F531" t="str">
        <f t="shared" si="121"/>
        <v>MK|BR_CH|PSD_DT|CROSS_PB|INST_FM|STRY_RT|CPM_PD|CidadesdoFuturo_TG|NON_ST|NON_TS|NONE_SZ|1X1_AD|CM1_IT|SOC_U1|MOSSORO_U2|AzulEscuro</v>
      </c>
      <c r="G531" t="str">
        <f t="shared" si="122"/>
        <v>451493314</v>
      </c>
      <c r="H531" t="str">
        <f t="shared" si="123"/>
        <v>Tracking</v>
      </c>
      <c r="I531">
        <f t="shared" si="124"/>
        <v>0</v>
      </c>
      <c r="J531">
        <f t="shared" si="125"/>
        <v>103</v>
      </c>
      <c r="K531" s="4">
        <f t="shared" si="114"/>
        <v>3.5000000000000001E-3</v>
      </c>
      <c r="L531">
        <f t="shared" si="115"/>
        <v>0.02</v>
      </c>
      <c r="M531" s="4">
        <f t="shared" si="112"/>
        <v>0.36049999999999999</v>
      </c>
      <c r="N531" s="4">
        <f t="shared" si="113"/>
        <v>2.06</v>
      </c>
    </row>
    <row r="532" spans="1:14">
      <c r="A532" t="str">
        <f t="shared" si="116"/>
        <v>MK|BR_CN|CIDADESDOFUTURO_MN|NONE_YQ|19Q4_CP|5020004441_SP|N/A_AC|CMKT_OB|AWA</v>
      </c>
      <c r="B532" t="str">
        <f t="shared" si="117"/>
        <v>instagram.com</v>
      </c>
      <c r="C532" t="str">
        <f t="shared" si="118"/>
        <v>MK|BR_CH|PSD_DT|CROSS_PB|INST_FM|STRY_RT|CPM_PD|CidadesdoFuturo_TG|NON_ST|NON_TS|NONE_SZ|1X1_AD|CM1_IT|SOC_U1|NOVAFRIBURGO_U2|AzulEscuro</v>
      </c>
      <c r="D532" t="str">
        <f t="shared" si="119"/>
        <v>255476386</v>
      </c>
      <c r="E532" t="str">
        <f t="shared" si="120"/>
        <v>Dynamic Click</v>
      </c>
      <c r="F532" t="str">
        <f t="shared" si="121"/>
        <v>MK|BR_CH|PSD_DT|CROSS_PB|INST_FM|STRY_RT|CPM_PD|CidadesdoFuturo_TG|NON_ST|NON_TS|NONE_SZ|1X1_AD|CM1_IT|SOC_U1|NOVAFRIBURGO_U2|AzulEscuro</v>
      </c>
      <c r="G532" t="str">
        <f t="shared" si="122"/>
        <v>451493338</v>
      </c>
      <c r="H532" t="str">
        <f t="shared" si="123"/>
        <v>Tracking</v>
      </c>
      <c r="I532">
        <f t="shared" si="124"/>
        <v>0</v>
      </c>
      <c r="J532">
        <f t="shared" si="125"/>
        <v>47</v>
      </c>
      <c r="K532" s="4">
        <f t="shared" si="114"/>
        <v>3.5000000000000001E-3</v>
      </c>
      <c r="L532">
        <f t="shared" si="115"/>
        <v>0.02</v>
      </c>
      <c r="M532" s="4">
        <f t="shared" si="112"/>
        <v>0.16450000000000001</v>
      </c>
      <c r="N532" s="4">
        <f t="shared" si="113"/>
        <v>0.94000000000000006</v>
      </c>
    </row>
    <row r="533" spans="1:14">
      <c r="A533" t="str">
        <f t="shared" si="116"/>
        <v>MK|BR_CN|CIDADESDOFUTURO_MN|NONE_YQ|19Q4_CP|5020004441_SP|N/A_AC|CMKT_OB|AWA</v>
      </c>
      <c r="B533" t="str">
        <f t="shared" si="117"/>
        <v>instagram.com</v>
      </c>
      <c r="C533" t="str">
        <f t="shared" si="118"/>
        <v>MK|BR_CH|PSD_DT|CROSS_PB|INST_FM|STRY_RT|CPM_PD|CidadesdoFuturo_TG|NON_ST|NON_TS|NONE_SZ|1X1_AD|CM1_IT|SOC_U1|PARANAGUA_U2|AzulEscuro</v>
      </c>
      <c r="D533" t="str">
        <f t="shared" si="119"/>
        <v>255476374</v>
      </c>
      <c r="E533" t="str">
        <f t="shared" si="120"/>
        <v>Dynamic Click</v>
      </c>
      <c r="F533" t="str">
        <f t="shared" si="121"/>
        <v>MK|BR_CH|PSD_DT|CROSS_PB|INST_FM|STRY_RT|CPM_PD|CidadesdoFuturo_TG|NON_ST|NON_TS|NONE_SZ|1X1_AD|CM1_IT|SOC_U1|PARANAGUA_U2|AzulEscuro</v>
      </c>
      <c r="G533" t="str">
        <f t="shared" si="122"/>
        <v>451493365</v>
      </c>
      <c r="H533" t="str">
        <f t="shared" si="123"/>
        <v>Tracking</v>
      </c>
      <c r="I533">
        <f t="shared" si="124"/>
        <v>0</v>
      </c>
      <c r="J533">
        <f t="shared" si="125"/>
        <v>26</v>
      </c>
      <c r="K533" s="4">
        <f t="shared" si="114"/>
        <v>3.5000000000000001E-3</v>
      </c>
      <c r="L533">
        <f t="shared" si="115"/>
        <v>0.02</v>
      </c>
      <c r="M533" s="4">
        <f t="shared" si="112"/>
        <v>9.0999999999999998E-2</v>
      </c>
      <c r="N533" s="4">
        <f t="shared" si="113"/>
        <v>0.52</v>
      </c>
    </row>
    <row r="534" spans="1:14">
      <c r="A534" t="str">
        <f t="shared" si="116"/>
        <v>MK|BR_CN|CIDADESDOFUTURO_MN|NONE_YQ|19Q4_CP|5020004441_SP|N/A_AC|CMKT_OB|AWA</v>
      </c>
      <c r="B534" t="str">
        <f t="shared" si="117"/>
        <v>instagram.com</v>
      </c>
      <c r="C534" t="str">
        <f t="shared" si="118"/>
        <v>MK|BR_CH|PSD_DT|CROSS_PB|INST_FM|STRY_RT|CPM_PD|CidadesdoFuturo_TG|NON_ST|NON_TS|NONE_SZ|1X1_AD|CM1_IT|SOC_U1|PARAUAPEBAS_U2|AzulEscuro</v>
      </c>
      <c r="D534" t="str">
        <f t="shared" si="119"/>
        <v>255476362</v>
      </c>
      <c r="E534" t="str">
        <f t="shared" si="120"/>
        <v>Dynamic Click</v>
      </c>
      <c r="F534" t="str">
        <f t="shared" si="121"/>
        <v>MK|BR_CH|PSD_DT|CROSS_PB|INST_FM|STRY_RT|CPM_PD|CidadesdoFuturo_TG|NON_ST|NON_TS|NONE_SZ|1X1_AD|CM1_IT|SOC_U1|PARAUAPEBAS_U2|AzulEscuro</v>
      </c>
      <c r="G534" t="str">
        <f t="shared" si="122"/>
        <v>451397124</v>
      </c>
      <c r="H534" t="str">
        <f t="shared" si="123"/>
        <v>Tracking</v>
      </c>
      <c r="I534">
        <f t="shared" si="124"/>
        <v>0</v>
      </c>
      <c r="J534">
        <f t="shared" si="125"/>
        <v>38</v>
      </c>
      <c r="K534" s="4">
        <f t="shared" si="114"/>
        <v>3.5000000000000001E-3</v>
      </c>
      <c r="L534">
        <f t="shared" si="115"/>
        <v>0.02</v>
      </c>
      <c r="M534" s="4">
        <f t="shared" si="112"/>
        <v>0.13300000000000001</v>
      </c>
      <c r="N534" s="4">
        <f t="shared" si="113"/>
        <v>0.76</v>
      </c>
    </row>
    <row r="535" spans="1:14">
      <c r="A535" t="str">
        <f t="shared" si="116"/>
        <v>MK|BR_CN|CIDADESDOFUTURO_MN|NONE_YQ|19Q4_CP|5020004441_SP|N/A_AC|CMKT_OB|AWA</v>
      </c>
      <c r="B535" t="str">
        <f t="shared" si="117"/>
        <v>instagram.com</v>
      </c>
      <c r="C535" t="str">
        <f t="shared" si="118"/>
        <v>MK|BR_CH|PSD_DT|CROSS_PB|INST_FM|STRY_RT|CPM_PD|CidadesdoFuturo_TG|NON_ST|NON_TS|NONE_SZ|1X1_AD|CM1_IT|SOC_U1|PATOSDEMINAS_U2|AzulEscuro</v>
      </c>
      <c r="D535" t="str">
        <f t="shared" si="119"/>
        <v>255476350</v>
      </c>
      <c r="E535" t="str">
        <f t="shared" si="120"/>
        <v>Dynamic Click</v>
      </c>
      <c r="F535" t="str">
        <f t="shared" si="121"/>
        <v>MK|BR_CH|PSD_DT|CROSS_PB|INST_FM|STRY_RT|CPM_PD|CidadesdoFuturo_TG|NON_ST|NON_TS|NONE_SZ|1X1_AD|CM1_IT|SOC_U1|PATOSDEMINAS_U2|AzulEscuro</v>
      </c>
      <c r="G535" t="str">
        <f t="shared" si="122"/>
        <v>451397148</v>
      </c>
      <c r="H535" t="str">
        <f t="shared" si="123"/>
        <v>Tracking</v>
      </c>
      <c r="I535">
        <f t="shared" si="124"/>
        <v>0</v>
      </c>
      <c r="J535">
        <f t="shared" si="125"/>
        <v>46</v>
      </c>
      <c r="K535" s="4">
        <f t="shared" si="114"/>
        <v>3.5000000000000001E-3</v>
      </c>
      <c r="L535">
        <f t="shared" si="115"/>
        <v>0.02</v>
      </c>
      <c r="M535" s="4">
        <f t="shared" si="112"/>
        <v>0.161</v>
      </c>
      <c r="N535" s="4">
        <f t="shared" si="113"/>
        <v>0.92</v>
      </c>
    </row>
    <row r="536" spans="1:14">
      <c r="A536" t="str">
        <f t="shared" si="116"/>
        <v>MK|BR_CN|CIDADESDOFUTURO_MN|NONE_YQ|19Q4_CP|5020004441_SP|N/A_AC|CMKT_OB|AWA</v>
      </c>
      <c r="B536" t="str">
        <f t="shared" si="117"/>
        <v>instagram.com</v>
      </c>
      <c r="C536" t="str">
        <f t="shared" si="118"/>
        <v>MK|BR_CH|PSD_DT|CROSS_PB|INST_FM|STRY_RT|CPM_PD|CidadesdoFuturo_TG|NON_ST|NON_TS|NONE_SZ|1X1_AD|CM1_IT|SOC_U1|PELOTAS_U2|AzulEscuro</v>
      </c>
      <c r="D536" t="str">
        <f t="shared" si="119"/>
        <v>255476338</v>
      </c>
      <c r="E536" t="str">
        <f t="shared" si="120"/>
        <v>Dynamic Click</v>
      </c>
      <c r="F536" t="str">
        <f t="shared" si="121"/>
        <v>MK|BR_CH|PSD_DT|CROSS_PB|INST_FM|STRY_RT|CPM_PD|CidadesdoFuturo_TG|NON_ST|NON_TS|NONE_SZ|1X1_AD|CM1_IT|SOC_U1|PELOTAS_U2|AzulEscuro</v>
      </c>
      <c r="G536" t="str">
        <f t="shared" si="122"/>
        <v>451397175</v>
      </c>
      <c r="H536" t="str">
        <f t="shared" si="123"/>
        <v>Tracking</v>
      </c>
      <c r="I536">
        <f t="shared" si="124"/>
        <v>0</v>
      </c>
      <c r="J536">
        <f t="shared" si="125"/>
        <v>75</v>
      </c>
      <c r="K536" s="4">
        <f t="shared" si="114"/>
        <v>3.5000000000000001E-3</v>
      </c>
      <c r="L536">
        <f t="shared" si="115"/>
        <v>0.02</v>
      </c>
      <c r="M536" s="4">
        <f t="shared" si="112"/>
        <v>0.26250000000000001</v>
      </c>
      <c r="N536" s="4">
        <f t="shared" si="113"/>
        <v>1.5</v>
      </c>
    </row>
    <row r="537" spans="1:14">
      <c r="A537" t="str">
        <f t="shared" si="116"/>
        <v>MK|BR_CN|CIDADESDOFUTURO_MN|NONE_YQ|19Q4_CP|5020004441_SP|N/A_AC|CMKT_OB|AWA</v>
      </c>
      <c r="B537" t="str">
        <f t="shared" si="117"/>
        <v>instagram.com</v>
      </c>
      <c r="C537" t="str">
        <f t="shared" si="118"/>
        <v>MK|BR_CH|PSD_DT|CROSS_PB|INST_FM|STRY_RT|CPM_PD|CidadesdoFuturo_TG|NON_ST|NON_TS|NONE_SZ|1X1_AD|CM1_IT|SOC_U1|PETROLINA_U2|AzulEscuro</v>
      </c>
      <c r="D537" t="str">
        <f t="shared" si="119"/>
        <v>255476326</v>
      </c>
      <c r="E537" t="str">
        <f t="shared" si="120"/>
        <v>Dynamic Click</v>
      </c>
      <c r="F537" t="str">
        <f t="shared" si="121"/>
        <v>MK|BR_CH|PSD_DT|CROSS_PB|INST_FM|STRY_RT|CPM_PD|CidadesdoFuturo_TG|NON_ST|NON_TS|NONE_SZ|1X1_AD|CM1_IT|SOC_U1|PETROLINA_U2|AzulEscuro</v>
      </c>
      <c r="G537" t="str">
        <f t="shared" si="122"/>
        <v>451397199</v>
      </c>
      <c r="H537" t="str">
        <f t="shared" si="123"/>
        <v>Tracking</v>
      </c>
      <c r="I537">
        <f t="shared" si="124"/>
        <v>0</v>
      </c>
      <c r="J537">
        <f t="shared" si="125"/>
        <v>114</v>
      </c>
      <c r="K537" s="4">
        <f t="shared" si="114"/>
        <v>3.5000000000000001E-3</v>
      </c>
      <c r="L537">
        <f t="shared" si="115"/>
        <v>0.02</v>
      </c>
      <c r="M537" s="4">
        <f t="shared" si="112"/>
        <v>0.39900000000000002</v>
      </c>
      <c r="N537" s="4">
        <f t="shared" si="113"/>
        <v>2.2800000000000002</v>
      </c>
    </row>
    <row r="538" spans="1:14">
      <c r="A538" t="str">
        <f t="shared" si="116"/>
        <v>MK|BR_CN|CIDADESDOFUTURO_MN|NONE_YQ|19Q4_CP|5020004441_SP|N/A_AC|CMKT_OB|AWA</v>
      </c>
      <c r="B538" t="str">
        <f t="shared" si="117"/>
        <v>instagram.com</v>
      </c>
      <c r="C538" t="str">
        <f t="shared" si="118"/>
        <v>MK|BR_CH|PSD_DT|CROSS_PB|INST_FM|STRY_RT|CPM_PD|CidadesdoFuturo_TG|NON_ST|NON_TS|NONE_SZ|1X1_AD|CM1_IT|SOC_U1|PETROPOLIS_U2|AzulEscuro</v>
      </c>
      <c r="D538" t="str">
        <f t="shared" si="119"/>
        <v>255471214</v>
      </c>
      <c r="E538" t="str">
        <f t="shared" si="120"/>
        <v>Dynamic Click</v>
      </c>
      <c r="F538" t="str">
        <f t="shared" si="121"/>
        <v>MK|BR_CH|PSD_DT|CROSS_PB|INST_FM|STRY_RT|CPM_PD|CidadesdoFuturo_TG|NON_ST|NON_TS|NONE_SZ|1X1_AD|CM1_IT|SOC_U1|PETROPOLIS_U2|AzulEscuro</v>
      </c>
      <c r="G538" t="str">
        <f t="shared" si="122"/>
        <v>451397223</v>
      </c>
      <c r="H538" t="str">
        <f t="shared" si="123"/>
        <v>Tracking</v>
      </c>
      <c r="I538">
        <f t="shared" si="124"/>
        <v>0</v>
      </c>
      <c r="J538">
        <f t="shared" si="125"/>
        <v>162</v>
      </c>
      <c r="K538" s="4">
        <f t="shared" si="114"/>
        <v>3.5000000000000001E-3</v>
      </c>
      <c r="L538">
        <f t="shared" si="115"/>
        <v>0.02</v>
      </c>
      <c r="M538" s="4">
        <f t="shared" si="112"/>
        <v>0.56700000000000006</v>
      </c>
      <c r="N538" s="4">
        <f t="shared" si="113"/>
        <v>3.24</v>
      </c>
    </row>
    <row r="539" spans="1:14">
      <c r="A539" t="str">
        <f t="shared" si="116"/>
        <v>MK|BR_CN|CIDADESDOFUTURO_MN|NONE_YQ|19Q4_CP|5020004441_SP|N/A_AC|CMKT_OB|AWA</v>
      </c>
      <c r="B539" t="str">
        <f t="shared" si="117"/>
        <v>instagram.com</v>
      </c>
      <c r="C539" t="str">
        <f t="shared" si="118"/>
        <v>MK|BR_CH|PSD_DT|CROSS_PB|INST_FM|STRY_RT|CPM_PD|CidadesdoFuturo_TG|NON_ST|NON_TS|NONE_SZ|1X1_AD|CM1_IT|SOC_U1|POCOSDECALDAS_U2|AzulEscuro</v>
      </c>
      <c r="D539" t="str">
        <f t="shared" si="119"/>
        <v>255471202</v>
      </c>
      <c r="E539" t="str">
        <f t="shared" si="120"/>
        <v>Dynamic Click</v>
      </c>
      <c r="F539" t="str">
        <f t="shared" si="121"/>
        <v>MK|BR_CH|PSD_DT|CROSS_PB|INST_FM|STRY_RT|CPM_PD|CidadesdoFuturo_TG|NON_ST|NON_TS|NONE_SZ|1X1_AD|CM1_IT|SOC_U1|POCOSDECALDAS_U2|AzulEscuro</v>
      </c>
      <c r="G539" t="str">
        <f t="shared" si="122"/>
        <v>451397250</v>
      </c>
      <c r="H539" t="str">
        <f t="shared" si="123"/>
        <v>Tracking</v>
      </c>
      <c r="I539">
        <f t="shared" si="124"/>
        <v>0</v>
      </c>
      <c r="J539">
        <f t="shared" si="125"/>
        <v>72</v>
      </c>
      <c r="K539" s="4">
        <f t="shared" si="114"/>
        <v>3.5000000000000001E-3</v>
      </c>
      <c r="L539">
        <f t="shared" si="115"/>
        <v>0.02</v>
      </c>
      <c r="M539" s="4">
        <f t="shared" si="112"/>
        <v>0.252</v>
      </c>
      <c r="N539" s="4">
        <f t="shared" si="113"/>
        <v>1.44</v>
      </c>
    </row>
    <row r="540" spans="1:14">
      <c r="A540" t="str">
        <f t="shared" si="116"/>
        <v>MK|BR_CN|CIDADESDOFUTURO_MN|NONE_YQ|19Q4_CP|5020004441_SP|N/A_AC|CMKT_OB|AWA</v>
      </c>
      <c r="B540" t="str">
        <f t="shared" si="117"/>
        <v>instagram.com</v>
      </c>
      <c r="C540" t="str">
        <f t="shared" si="118"/>
        <v>MK|BR_CH|PSD_DT|CROSS_PB|INST_FM|STRY_RT|CPM_PD|CidadesdoFuturo_TG|NON_ST|NON_TS|NONE_SZ|1X1_AD|CM1_IT|SOC_U1|RIOCLARO_U2|AzulEscuro</v>
      </c>
      <c r="D540" t="str">
        <f t="shared" si="119"/>
        <v>255471190</v>
      </c>
      <c r="E540" t="str">
        <f t="shared" si="120"/>
        <v>Dynamic Click</v>
      </c>
      <c r="F540" t="str">
        <f t="shared" si="121"/>
        <v>MK|BR_CH|PSD_DT|CROSS_PB|INST_FM|STRY_RT|CPM_PD|CidadesdoFuturo_TG|NON_ST|NON_TS|NONE_SZ|1X1_AD|CM1_IT|SOC_U1|RIOCLARO_U2|AzulEscuro</v>
      </c>
      <c r="G540" t="str">
        <f t="shared" si="122"/>
        <v>451397274</v>
      </c>
      <c r="H540" t="str">
        <f t="shared" si="123"/>
        <v>Tracking</v>
      </c>
      <c r="I540">
        <f t="shared" si="124"/>
        <v>0</v>
      </c>
      <c r="J540">
        <f t="shared" si="125"/>
        <v>762</v>
      </c>
      <c r="K540" s="4">
        <f t="shared" si="114"/>
        <v>3.5000000000000001E-3</v>
      </c>
      <c r="L540">
        <f t="shared" si="115"/>
        <v>0.02</v>
      </c>
      <c r="M540" s="4">
        <f t="shared" si="112"/>
        <v>2.6670000000000003</v>
      </c>
      <c r="N540" s="4">
        <f t="shared" si="113"/>
        <v>15.24</v>
      </c>
    </row>
    <row r="541" spans="1:14">
      <c r="A541" t="str">
        <f t="shared" si="116"/>
        <v>MK|BR_CN|CIDADESDOFUTURO_MN|NONE_YQ|19Q4_CP|5020004441_SP|N/A_AC|CMKT_OB|AWA</v>
      </c>
      <c r="B541" t="str">
        <f t="shared" si="117"/>
        <v>instagram.com</v>
      </c>
      <c r="C541" t="str">
        <f t="shared" si="118"/>
        <v>MK|BR_CH|PSD_DT|CROSS_PB|INST_FM|STRY_RT|CPM_PD|CidadesdoFuturo_TG|NON_ST|NON_TS|NONE_SZ|1X1_AD|CM1_IT|SOC_U1|RIOVERDE_U2|AzulEscuro</v>
      </c>
      <c r="D541" t="str">
        <f t="shared" si="119"/>
        <v>255471178</v>
      </c>
      <c r="E541" t="str">
        <f t="shared" si="120"/>
        <v>Dynamic Click</v>
      </c>
      <c r="F541" t="str">
        <f t="shared" si="121"/>
        <v>MK|BR_CH|PSD_DT|CROSS_PB|INST_FM|STRY_RT|CPM_PD|CidadesdoFuturo_TG|NON_ST|NON_TS|NONE_SZ|1X1_AD|CM1_IT|SOC_U1|RIOVERDE_U2|AzulEscuro</v>
      </c>
      <c r="G541" t="str">
        <f t="shared" si="122"/>
        <v>451397301</v>
      </c>
      <c r="H541" t="str">
        <f t="shared" si="123"/>
        <v>Tracking</v>
      </c>
      <c r="I541">
        <f t="shared" si="124"/>
        <v>0</v>
      </c>
      <c r="J541">
        <f t="shared" si="125"/>
        <v>54</v>
      </c>
      <c r="K541" s="4">
        <f t="shared" si="114"/>
        <v>3.5000000000000001E-3</v>
      </c>
      <c r="L541">
        <f t="shared" si="115"/>
        <v>0.02</v>
      </c>
      <c r="M541" s="4">
        <f t="shared" si="112"/>
        <v>0.189</v>
      </c>
      <c r="N541" s="4">
        <f t="shared" si="113"/>
        <v>1.08</v>
      </c>
    </row>
    <row r="542" spans="1:14">
      <c r="A542" t="str">
        <f t="shared" si="116"/>
        <v>MK|BR_CN|CIDADESDOFUTURO_MN|NONE_YQ|19Q4_CP|5020004441_SP|N/A_AC|CMKT_OB|AWA</v>
      </c>
      <c r="B542" t="str">
        <f t="shared" si="117"/>
        <v>instagram.com</v>
      </c>
      <c r="C542" t="str">
        <f t="shared" si="118"/>
        <v>MK|BR_CH|PSD_DT|CROSS_PB|INST_FM|STRY_RT|CPM_PD|CidadesdoFuturo_TG|NON_ST|NON_TS|NONE_SZ|1X1_AD|CM1_IT|SOC_U1|SANTACRUZDOSUL_U2|AzulEscuro</v>
      </c>
      <c r="D542" t="str">
        <f t="shared" si="119"/>
        <v>255471166</v>
      </c>
      <c r="E542" t="str">
        <f t="shared" si="120"/>
        <v>Dynamic Click</v>
      </c>
      <c r="F542" t="str">
        <f t="shared" si="121"/>
        <v>MK|BR_CH|PSD_DT|CROSS_PB|INST_FM|STRY_RT|CPM_PD|CidadesdoFuturo_TG|NON_ST|NON_TS|NONE_SZ|1X1_AD|CM1_IT|SOC_U1|SANTACRUZDOSUL_U2|AzulEscuro</v>
      </c>
      <c r="G542" t="str">
        <f t="shared" si="122"/>
        <v>451397328</v>
      </c>
      <c r="H542" t="str">
        <f t="shared" si="123"/>
        <v>Tracking</v>
      </c>
      <c r="I542">
        <f t="shared" si="124"/>
        <v>0</v>
      </c>
      <c r="J542">
        <f t="shared" si="125"/>
        <v>37</v>
      </c>
      <c r="K542" s="4">
        <f t="shared" si="114"/>
        <v>3.5000000000000001E-3</v>
      </c>
      <c r="L542">
        <f t="shared" si="115"/>
        <v>0.02</v>
      </c>
      <c r="M542" s="4">
        <f t="shared" si="112"/>
        <v>0.1295</v>
      </c>
      <c r="N542" s="4">
        <f t="shared" si="113"/>
        <v>0.74</v>
      </c>
    </row>
    <row r="543" spans="1:14">
      <c r="A543" t="str">
        <f t="shared" si="116"/>
        <v>MK|BR_CN|CIDADESDOFUTURO_MN|NONE_YQ|19Q4_CP|5020004441_SP|N/A_AC|CMKT_OB|AWA</v>
      </c>
      <c r="B543" t="str">
        <f t="shared" si="117"/>
        <v>instagram.com</v>
      </c>
      <c r="C543" t="str">
        <f t="shared" si="118"/>
        <v>MK|BR_CH|PSD_DT|CROSS_PB|INST_FM|STRY_RT|CPM_PD|CidadesdoFuturo_TG|NON_ST|NON_TS|NONE_SZ|1X1_AD|CM1_IT|SOC_U1|SAOLUIZ_U2|AzulEscuro</v>
      </c>
      <c r="D543" t="str">
        <f t="shared" si="119"/>
        <v>255471010</v>
      </c>
      <c r="E543" t="str">
        <f t="shared" si="120"/>
        <v>Dynamic Click</v>
      </c>
      <c r="F543" t="str">
        <f t="shared" si="121"/>
        <v>MK|BR_CH|PSD_DT|CROSS_PB|INST_FM|STRY_RT|CPM_PD|CidadesdoFuturo_TG|NON_ST|NON_TS|NONE_SZ|1X1_AD|CM1_IT|SOC_U1|SAOLUIZ_U2|AzulEscuro</v>
      </c>
      <c r="G543" t="str">
        <f t="shared" si="122"/>
        <v>451397601</v>
      </c>
      <c r="H543" t="str">
        <f t="shared" si="123"/>
        <v>Tracking</v>
      </c>
      <c r="I543">
        <f t="shared" si="124"/>
        <v>0</v>
      </c>
      <c r="J543">
        <f t="shared" si="125"/>
        <v>385</v>
      </c>
      <c r="K543" s="4">
        <f t="shared" si="114"/>
        <v>3.5000000000000001E-3</v>
      </c>
      <c r="L543">
        <f t="shared" si="115"/>
        <v>0.02</v>
      </c>
      <c r="M543" s="4">
        <f t="shared" si="112"/>
        <v>1.3474999999999999</v>
      </c>
      <c r="N543" s="4">
        <f t="shared" si="113"/>
        <v>7.7</v>
      </c>
    </row>
    <row r="544" spans="1:14">
      <c r="A544" t="str">
        <f t="shared" si="116"/>
        <v>MK|BR_CN|CIDADESDOFUTURO_MN|NONE_YQ|19Q4_CP|5020004441_SP|N/A_AC|CMKT_OB|AWA</v>
      </c>
      <c r="B544" t="str">
        <f t="shared" si="117"/>
        <v>instagram.com</v>
      </c>
      <c r="C544" t="str">
        <f t="shared" si="118"/>
        <v>MK|BR_CH|PSD_DT|CROSS_PB|INST_FM|STRY_RT|CPM_PD|CidadesdoFuturo_TG|NON_ST|NON_TS|NONE_SZ|1X1_AD|CM1_IT|SOC_U1|SAOMATEUS_U2|AzulEscuro</v>
      </c>
      <c r="D544" t="str">
        <f t="shared" si="119"/>
        <v>255471154</v>
      </c>
      <c r="E544" t="str">
        <f t="shared" si="120"/>
        <v>Dynamic Click</v>
      </c>
      <c r="F544" t="str">
        <f t="shared" si="121"/>
        <v>MK|BR_CH|PSD_DT|CROSS_PB|INST_FM|STRY_RT|CPM_PD|CidadesdoFuturo_TG|NON_ST|NON_TS|NONE_SZ|1X1_AD|CM1_IT|SOC_U1|SAOMATEUS_U2|AzulEscuro</v>
      </c>
      <c r="G544" t="str">
        <f t="shared" si="122"/>
        <v>451397352</v>
      </c>
      <c r="H544" t="str">
        <f t="shared" si="123"/>
        <v>Tracking</v>
      </c>
      <c r="I544">
        <f t="shared" si="124"/>
        <v>0</v>
      </c>
      <c r="J544">
        <f t="shared" si="125"/>
        <v>35</v>
      </c>
      <c r="K544" s="4">
        <f t="shared" si="114"/>
        <v>3.5000000000000001E-3</v>
      </c>
      <c r="L544">
        <f t="shared" si="115"/>
        <v>0.02</v>
      </c>
      <c r="M544" s="4">
        <f t="shared" si="112"/>
        <v>0.1225</v>
      </c>
      <c r="N544" s="4">
        <f t="shared" si="113"/>
        <v>0.70000000000000007</v>
      </c>
    </row>
    <row r="545" spans="1:14">
      <c r="A545" t="str">
        <f t="shared" si="116"/>
        <v>MK|BR_CN|CIDADESDOFUTURO_MN|NONE_YQ|19Q4_CP|5020004441_SP|N/A_AC|CMKT_OB|AWA</v>
      </c>
      <c r="B545" t="str">
        <f t="shared" si="117"/>
        <v>instagram.com</v>
      </c>
      <c r="C545" t="str">
        <f t="shared" si="118"/>
        <v>MK|BR_CH|PSD_DT|CROSS_PB|INST_FM|STRY_RT|CPM_PD|CidadesdoFuturo_TG|NON_ST|NON_TS|NONE_SZ|1X1_AD|CM1_IT|SOC_U1|SETELAGOAS_U2|AzulEscuro</v>
      </c>
      <c r="D545" t="str">
        <f t="shared" si="119"/>
        <v>255471142</v>
      </c>
      <c r="E545" t="str">
        <f t="shared" si="120"/>
        <v>Dynamic Click</v>
      </c>
      <c r="F545" t="str">
        <f t="shared" si="121"/>
        <v>MK|BR_CH|PSD_DT|CROSS_PB|INST_FM|STRY_RT|CPM_PD|CidadesdoFuturo_TG|NON_ST|NON_TS|NONE_SZ|1X1_AD|CM1_IT|SOC_U1|SETELAGOAS_U2|AzulEscuro</v>
      </c>
      <c r="G545" t="str">
        <f t="shared" si="122"/>
        <v>451397379</v>
      </c>
      <c r="H545" t="str">
        <f t="shared" si="123"/>
        <v>Tracking</v>
      </c>
      <c r="I545">
        <f t="shared" si="124"/>
        <v>0</v>
      </c>
      <c r="J545">
        <f t="shared" si="125"/>
        <v>65</v>
      </c>
      <c r="K545" s="4">
        <f t="shared" si="114"/>
        <v>3.5000000000000001E-3</v>
      </c>
      <c r="L545">
        <f t="shared" si="115"/>
        <v>0.02</v>
      </c>
      <c r="M545" s="4">
        <f t="shared" si="112"/>
        <v>0.22750000000000001</v>
      </c>
      <c r="N545" s="4">
        <f t="shared" si="113"/>
        <v>1.3</v>
      </c>
    </row>
    <row r="546" spans="1:14">
      <c r="A546" t="str">
        <f t="shared" si="116"/>
        <v>MK|BR_CN|CIDADESDOFUTURO_MN|NONE_YQ|19Q4_CP|5020004441_SP|N/A_AC|CMKT_OB|AWA</v>
      </c>
      <c r="B546" t="str">
        <f t="shared" si="117"/>
        <v>instagram.com</v>
      </c>
      <c r="C546" t="str">
        <f t="shared" si="118"/>
        <v>MK|BR_CH|PSD_DT|CROSS_PB|INST_FM|STRY_RT|CPM_PD|CidadesdoFuturo_TG|NON_ST|NON_TS|NONE_SZ|1X1_AD|CM1_IT|SOC_U1|TEOFILOOTONI_U2|AzulEscuro</v>
      </c>
      <c r="D546" t="str">
        <f t="shared" si="119"/>
        <v>255471130</v>
      </c>
      <c r="E546" t="str">
        <f t="shared" si="120"/>
        <v>Dynamic Click</v>
      </c>
      <c r="F546" t="str">
        <f t="shared" si="121"/>
        <v>MK|BR_CH|PSD_DT|CROSS_PB|INST_FM|STRY_RT|CPM_PD|CidadesdoFuturo_TG|NON_ST|NON_TS|NONE_SZ|1X1_AD|CM1_IT|SOC_U1|TEOFILOOTONI_U2|AzulEscuro</v>
      </c>
      <c r="G546" t="str">
        <f t="shared" si="122"/>
        <v>451397403</v>
      </c>
      <c r="H546" t="str">
        <f t="shared" si="123"/>
        <v>Tracking</v>
      </c>
      <c r="I546">
        <f t="shared" si="124"/>
        <v>0</v>
      </c>
      <c r="J546">
        <f t="shared" si="125"/>
        <v>28</v>
      </c>
      <c r="K546" s="4">
        <f t="shared" si="114"/>
        <v>3.5000000000000001E-3</v>
      </c>
      <c r="L546">
        <f t="shared" si="115"/>
        <v>0.02</v>
      </c>
      <c r="M546" s="4">
        <f t="shared" ref="M546:M609" si="126">IF(E546="Dynamic Click",J546*K546,K546*$I546/1000)</f>
        <v>9.8000000000000004E-2</v>
      </c>
      <c r="N546" s="4">
        <f t="shared" ref="N546:N609" si="127">IF(E546="Dynamic Click",J546*L546,L546*$I546/1000)</f>
        <v>0.56000000000000005</v>
      </c>
    </row>
    <row r="547" spans="1:14">
      <c r="A547" t="str">
        <f t="shared" si="116"/>
        <v>MK|BR_CN|CIDADESDOFUTURO_MN|NONE_YQ|19Q4_CP|5020004441_SP|N/A_AC|CMKT_OB|AWA</v>
      </c>
      <c r="B547" t="str">
        <f t="shared" si="117"/>
        <v>instagram.com</v>
      </c>
      <c r="C547" t="str">
        <f t="shared" si="118"/>
        <v>MK|BR_CH|PSD_DT|CROSS_PB|INST_FM|STRY_RT|CPM_PD|CidadesdoFuturo_TG|NON_ST|NON_TS|NONE_SZ|1X1_AD|CM1_IT|SOC_U1|TERESINA_U2|AzulEscuro</v>
      </c>
      <c r="D547" t="str">
        <f t="shared" si="119"/>
        <v>255470998</v>
      </c>
      <c r="E547" t="str">
        <f t="shared" si="120"/>
        <v>Dynamic Click</v>
      </c>
      <c r="F547" t="str">
        <f t="shared" si="121"/>
        <v>MK|BR_CH|PSD_DT|CROSS_PB|INST_FM|STRY_RT|CPM_PD|CidadesdoFuturo_TG|NON_ST|NON_TS|NONE_SZ|1X1_AD|CM1_IT|SOC_U1|TERESINA_U2|AzulEscuro</v>
      </c>
      <c r="G547" t="str">
        <f t="shared" si="122"/>
        <v>451397613</v>
      </c>
      <c r="H547" t="str">
        <f t="shared" si="123"/>
        <v>Tracking</v>
      </c>
      <c r="I547">
        <f t="shared" si="124"/>
        <v>0</v>
      </c>
      <c r="J547">
        <f t="shared" si="125"/>
        <v>325</v>
      </c>
      <c r="K547" s="4">
        <f t="shared" si="114"/>
        <v>3.5000000000000001E-3</v>
      </c>
      <c r="L547">
        <f t="shared" si="115"/>
        <v>0.02</v>
      </c>
      <c r="M547" s="4">
        <f t="shared" si="126"/>
        <v>1.1375</v>
      </c>
      <c r="N547" s="4">
        <f t="shared" si="127"/>
        <v>6.5</v>
      </c>
    </row>
    <row r="548" spans="1:14">
      <c r="A548" t="str">
        <f t="shared" si="116"/>
        <v>MK|BR_CN|CIDADESDOFUTURO_MN|NONE_YQ|19Q4_CP|5020004441_SP|N/A_AC|CMKT_OB|AWA</v>
      </c>
      <c r="B548" t="str">
        <f t="shared" si="117"/>
        <v>instagram.com</v>
      </c>
      <c r="C548" t="str">
        <f t="shared" si="118"/>
        <v>MK|BR_CH|PSD_DT|CROSS_PB|INST_FM|STRY_RT|CPM_PD|CidadesdoFuturo_TG|NON_ST|NON_TS|NONE_SZ|1X1_AD|CM1_IT|SOC_U1|TOLEDO_U2|AzulEscuro</v>
      </c>
      <c r="D548" t="str">
        <f t="shared" si="119"/>
        <v>255471106</v>
      </c>
      <c r="E548" t="str">
        <f t="shared" si="120"/>
        <v>Dynamic Click</v>
      </c>
      <c r="F548" t="str">
        <f t="shared" si="121"/>
        <v>MK|BR_CH|PSD_DT|CROSS_PB|INST_FM|STRY_RT|CPM_PD|CidadesdoFuturo_TG|NON_ST|NON_TS|NONE_SZ|1X1_AD|CM1_IT|SOC_U1|TOLEDO_U2|AzulEscuro</v>
      </c>
      <c r="G548" t="str">
        <f t="shared" si="122"/>
        <v>451397454</v>
      </c>
      <c r="H548" t="str">
        <f t="shared" si="123"/>
        <v>Tracking</v>
      </c>
      <c r="I548">
        <f t="shared" si="124"/>
        <v>0</v>
      </c>
      <c r="J548">
        <f t="shared" si="125"/>
        <v>138</v>
      </c>
      <c r="K548" s="4">
        <f t="shared" si="114"/>
        <v>3.5000000000000001E-3</v>
      </c>
      <c r="L548">
        <f t="shared" si="115"/>
        <v>0.02</v>
      </c>
      <c r="M548" s="4">
        <f t="shared" si="126"/>
        <v>0.48299999999999998</v>
      </c>
      <c r="N548" s="4">
        <f t="shared" si="127"/>
        <v>2.7600000000000002</v>
      </c>
    </row>
    <row r="549" spans="1:14">
      <c r="A549" t="str">
        <f t="shared" si="116"/>
        <v>MK|BR_CN|CIDADESDOFUTURO_MN|NONE_YQ|19Q4_CP|5020004441_SP|N/A_AC|CMKT_OB|AWA</v>
      </c>
      <c r="B549" t="str">
        <f t="shared" si="117"/>
        <v>instagram.com</v>
      </c>
      <c r="C549" t="str">
        <f t="shared" si="118"/>
        <v>MK|BR_CH|PSD_DT|CROSS_PB|INST_FM|STRY_RT|CPM_PD|CidadesdoFuturo_TG|NON_ST|NON_TS|NONE_SZ|1X1_AD|CM1_IT|SOC_U1|URUGUAIANA_U2|AzulEscuro</v>
      </c>
      <c r="D549" t="str">
        <f t="shared" si="119"/>
        <v>255471094</v>
      </c>
      <c r="E549" t="str">
        <f t="shared" si="120"/>
        <v>Dynamic Click</v>
      </c>
      <c r="F549" t="str">
        <f t="shared" si="121"/>
        <v>MK|BR_CH|PSD_DT|CROSS_PB|INST_FM|STRY_RT|CPM_PD|CidadesdoFuturo_TG|NON_ST|NON_TS|NONE_SZ|1X1_AD|CM1_IT|SOC_U1|URUGUAIANA_U2|AzulEscuro</v>
      </c>
      <c r="G549" t="str">
        <f t="shared" si="122"/>
        <v>451397481</v>
      </c>
      <c r="H549" t="str">
        <f t="shared" si="123"/>
        <v>Tracking</v>
      </c>
      <c r="I549">
        <f t="shared" si="124"/>
        <v>0</v>
      </c>
      <c r="J549">
        <f t="shared" si="125"/>
        <v>30</v>
      </c>
      <c r="K549" s="4">
        <f t="shared" si="114"/>
        <v>3.5000000000000001E-3</v>
      </c>
      <c r="L549">
        <f t="shared" si="115"/>
        <v>0.02</v>
      </c>
      <c r="M549" s="4">
        <f t="shared" si="126"/>
        <v>0.105</v>
      </c>
      <c r="N549" s="4">
        <f t="shared" si="127"/>
        <v>0.6</v>
      </c>
    </row>
    <row r="550" spans="1:14">
      <c r="A550" t="str">
        <f t="shared" si="116"/>
        <v>MK|BR_CN|CIDADESDOFUTURO_MN|NONE_YQ|19Q4_CP|5020004441_SP|N/A_AC|CMKT_OB|AWA</v>
      </c>
      <c r="B550" t="str">
        <f t="shared" si="117"/>
        <v>instagram.com</v>
      </c>
      <c r="C550" t="str">
        <f t="shared" si="118"/>
        <v>MK|BR_CH|PSD_DT|CROSS_PB|INST_FM|STRY_RT|CPM_PD|CidadesdoFuturo_TG|NON_ST|NON_TS|NONE_SZ|1X1_AD|CM1_IT|SOC_U1|VITORIADACONQUISTA_U2|AzulEscuro</v>
      </c>
      <c r="D550" t="str">
        <f t="shared" si="119"/>
        <v>255471082</v>
      </c>
      <c r="E550" t="str">
        <f t="shared" si="120"/>
        <v>Dynamic Click</v>
      </c>
      <c r="F550" t="str">
        <f t="shared" si="121"/>
        <v>MK|BR_CH|PSD_DT|CROSS_PB|INST_FM|STRY_RT|CPM_PD|CidadesdoFuturo_TG|NON_ST|NON_TS|NONE_SZ|1X1_AD|CM1_IT|SOC_U1|VITORIADACONQUISTA_U2|AzulEscuro</v>
      </c>
      <c r="G550" t="str">
        <f t="shared" si="122"/>
        <v>451397505</v>
      </c>
      <c r="H550" t="str">
        <f t="shared" si="123"/>
        <v>Tracking</v>
      </c>
      <c r="I550">
        <f t="shared" si="124"/>
        <v>0</v>
      </c>
      <c r="J550">
        <f t="shared" si="125"/>
        <v>122</v>
      </c>
      <c r="K550" s="4">
        <f t="shared" si="114"/>
        <v>3.5000000000000001E-3</v>
      </c>
      <c r="L550">
        <f t="shared" si="115"/>
        <v>0.02</v>
      </c>
      <c r="M550" s="4">
        <f t="shared" si="126"/>
        <v>0.42699999999999999</v>
      </c>
      <c r="N550" s="4">
        <f t="shared" si="127"/>
        <v>2.44</v>
      </c>
    </row>
    <row r="551" spans="1:14">
      <c r="A551" t="str">
        <f t="shared" si="116"/>
        <v>MK|BR_CN|CIDADESDOFUTURO_MN|NONE_YQ|19Q4_CP|5020004441_SP|N/A_AC|CMKT_OB|AWA</v>
      </c>
      <c r="B551" t="str">
        <f t="shared" si="117"/>
        <v>instagram.com</v>
      </c>
      <c r="C551" t="str">
        <f t="shared" si="118"/>
        <v>MK|BR_CH|PSD_DT|CROSS_PB|INST_FM|STRY_RT|CPM_PD|CompraFora_TG|NON_ST|NON_TS|NONE_SZ|1X1_AD|CM1_IT|SOC_U1|POSSO_U2|FASHION_U3|FEMININO</v>
      </c>
      <c r="D551" t="str">
        <f t="shared" si="119"/>
        <v>253146650</v>
      </c>
      <c r="E551" t="str">
        <f t="shared" si="120"/>
        <v>Dynamic Click</v>
      </c>
      <c r="F551" t="str">
        <f t="shared" si="121"/>
        <v>MK|BR_CH|PSD_DT|CROSS_PB|INST_FM|STRY_RT|CPM_PD|CompraFora_TG|NON_ST|NON_TS|NONE_SZ|1X1_AD|CM1_IT|SOC_U1|POSSO_U2|FASHION_U3|FEMININO</v>
      </c>
      <c r="G551" t="str">
        <f t="shared" si="122"/>
        <v>449497449</v>
      </c>
      <c r="H551" t="str">
        <f t="shared" si="123"/>
        <v>Tracking</v>
      </c>
      <c r="I551">
        <f t="shared" si="124"/>
        <v>0</v>
      </c>
      <c r="J551">
        <f t="shared" si="125"/>
        <v>3</v>
      </c>
      <c r="K551" s="4">
        <f t="shared" si="114"/>
        <v>3.5000000000000001E-3</v>
      </c>
      <c r="L551">
        <f t="shared" si="115"/>
        <v>0.02</v>
      </c>
      <c r="M551" s="4">
        <f t="shared" si="126"/>
        <v>1.0500000000000001E-2</v>
      </c>
      <c r="N551" s="4">
        <f t="shared" si="127"/>
        <v>0.06</v>
      </c>
    </row>
    <row r="552" spans="1:14">
      <c r="A552" t="str">
        <f t="shared" si="116"/>
        <v>MK|BR_CN|VDV_MN|NONE_YQ|19Q1Q4_CP|PO5020004141_SP|N/A_AC|DE_OB|ACQ_U1|DCM</v>
      </c>
      <c r="B552" t="str">
        <f t="shared" si="117"/>
        <v>Ads Movil</v>
      </c>
      <c r="C552" t="str">
        <f t="shared" si="118"/>
        <v>MK|BR_CH|PD_DT|CROSS_PB|ADSM_FM|BAN_RT|CPM_PD|VDV-MERCHANT-NATURA_TG|NON_ST|NON_TS|NONE_SZ|300x50_AD|CM_IT|OO</v>
      </c>
      <c r="D552" t="str">
        <f t="shared" si="119"/>
        <v>242870616</v>
      </c>
      <c r="E552" t="str">
        <f t="shared" si="120"/>
        <v>Dynamic Click</v>
      </c>
      <c r="F552" t="str">
        <f t="shared" si="121"/>
        <v>MK|BR_CH|PD_DT|CROSS_PB|ADSM_FM|BAN_RT|CPM_PD|VDV-MERCHANT-NATURA_TG|NON_ST|NON_TS|NONE_SZ|300x50_AD|CM_IT|OO</v>
      </c>
      <c r="G552" t="str">
        <f t="shared" si="122"/>
        <v>439383361</v>
      </c>
      <c r="H552" t="str">
        <f t="shared" si="123"/>
        <v>Tracking</v>
      </c>
      <c r="I552">
        <f t="shared" si="124"/>
        <v>0</v>
      </c>
      <c r="J552">
        <f t="shared" si="125"/>
        <v>1</v>
      </c>
      <c r="K552" s="4">
        <f t="shared" si="114"/>
        <v>3.5000000000000001E-3</v>
      </c>
      <c r="L552">
        <f t="shared" si="115"/>
        <v>0.02</v>
      </c>
      <c r="M552" s="4">
        <f t="shared" si="126"/>
        <v>3.5000000000000001E-3</v>
      </c>
      <c r="N552" s="4">
        <f t="shared" si="127"/>
        <v>0.02</v>
      </c>
    </row>
    <row r="553" spans="1:14">
      <c r="A553" t="str">
        <f t="shared" si="116"/>
        <v>MK|BR_CN|VDV_MN|NONE_YQ|19Q1Q4_CP|PO5020004141_SP|N/A_AC|DE_OB|ACQ_U1|DCM</v>
      </c>
      <c r="B553" t="str">
        <f t="shared" si="117"/>
        <v>Facebook</v>
      </c>
      <c r="C553" t="str">
        <f t="shared" si="118"/>
        <v>MK|BR_CH|PSD_DT|CROSS_PB|FCBK_FM|CAR_RT|CPM_PD|VDV-MERCHANT-CAMICADO_TG|NON_ST|NON_TS|NONE_SZ|1X1_AD|CM1_IT|SOC</v>
      </c>
      <c r="D553" t="str">
        <f t="shared" si="119"/>
        <v>252293266</v>
      </c>
      <c r="E553" t="str">
        <f t="shared" si="120"/>
        <v>Dynamic Click</v>
      </c>
      <c r="F553" t="str">
        <f t="shared" si="121"/>
        <v>MK|BR_CH|PSD_DT|CROSS_PB|FCBK_FM|CAR_RT|CPM_PD|VDV-MERCHANT-CAMICADO_TG|NON_ST|NON_TS|NONE_SZ|1X1_AD|CM1_IT|SOC</v>
      </c>
      <c r="G553" t="str">
        <f t="shared" si="122"/>
        <v>448297662</v>
      </c>
      <c r="H553" t="str">
        <f t="shared" si="123"/>
        <v>Tracking</v>
      </c>
      <c r="I553">
        <f t="shared" si="124"/>
        <v>0</v>
      </c>
      <c r="J553">
        <f t="shared" si="125"/>
        <v>2</v>
      </c>
      <c r="K553" s="4">
        <f t="shared" si="114"/>
        <v>3.5000000000000001E-3</v>
      </c>
      <c r="L553">
        <f t="shared" si="115"/>
        <v>0.02</v>
      </c>
      <c r="M553" s="4">
        <f t="shared" si="126"/>
        <v>7.0000000000000001E-3</v>
      </c>
      <c r="N553" s="4">
        <f t="shared" si="127"/>
        <v>0.04</v>
      </c>
    </row>
    <row r="554" spans="1:14">
      <c r="A554" t="str">
        <f t="shared" si="116"/>
        <v>MK|BR_CN|VDV_MN|NONE_YQ|19Q1Q4_CP|PO5020004141_SP|N/A_AC|DE_OB|ACQ_U1|DCM</v>
      </c>
      <c r="B554" t="str">
        <f t="shared" si="117"/>
        <v>Facebook</v>
      </c>
      <c r="C554" t="str">
        <f t="shared" si="118"/>
        <v>MK|BR_CH|PSD_DT|CROSS_PB|FCBK_FM|CAR_RT|CPM_PD|VDV-MERCHANT-DECOLAR_TG|NON_ST|NON_TS|NONE_SZ|1X1_AD|CM1_IT|SOC_U1|MONTANHA</v>
      </c>
      <c r="D554" t="str">
        <f t="shared" si="119"/>
        <v>253832703</v>
      </c>
      <c r="E554" t="str">
        <f t="shared" si="120"/>
        <v>Dynamic Click</v>
      </c>
      <c r="F554" t="str">
        <f t="shared" si="121"/>
        <v>MK|BR_CH|PSD_DT|CROSS_PB|FCBK_FM|CAR_RT|CPM_PD|VDV-MERCHANT-DECOLAR_TG|NON_ST|NON_TS|NONE_SZ|1X1_AD|CM1_IT|SOC_U1|MONTANHA</v>
      </c>
      <c r="G554" t="str">
        <f t="shared" si="122"/>
        <v>449743806</v>
      </c>
      <c r="H554" t="str">
        <f t="shared" si="123"/>
        <v>Tracking</v>
      </c>
      <c r="I554">
        <f t="shared" si="124"/>
        <v>0</v>
      </c>
      <c r="J554">
        <f t="shared" si="125"/>
        <v>9</v>
      </c>
      <c r="K554" s="4">
        <f t="shared" si="114"/>
        <v>3.5000000000000001E-3</v>
      </c>
      <c r="L554">
        <f t="shared" si="115"/>
        <v>0.02</v>
      </c>
      <c r="M554" s="4">
        <f t="shared" si="126"/>
        <v>3.15E-2</v>
      </c>
      <c r="N554" s="4">
        <f t="shared" si="127"/>
        <v>0.18</v>
      </c>
    </row>
    <row r="555" spans="1:14">
      <c r="A555" t="str">
        <f t="shared" si="116"/>
        <v>MK|BR_CN|VDV_MN|NONE_YQ|19Q1Q4_CP|PO5020004141_SP|N/A_AC|DE_OB|ACQ_U1|DCM</v>
      </c>
      <c r="B555" t="str">
        <f t="shared" si="117"/>
        <v>Facebook</v>
      </c>
      <c r="C555" t="str">
        <f t="shared" si="118"/>
        <v>MK|BR_CH|PSD_DT|CROSS_PB|FCBK_FM|CAR_RT|CPM_PD|VDV-MERCHANT-DECOLAR_TG|NON_ST|NON_TS|NONE_SZ|1X1_AD|CM1_IT|SOC_U1|PRAIA</v>
      </c>
      <c r="D555" t="str">
        <f t="shared" si="119"/>
        <v>253832715</v>
      </c>
      <c r="E555" t="str">
        <f t="shared" si="120"/>
        <v>Dynamic Click</v>
      </c>
      <c r="F555" t="str">
        <f t="shared" si="121"/>
        <v>MK|BR_CH|PSD_DT|CROSS_PB|FCBK_FM|CAR_RT|CPM_PD|VDV-MERCHANT-DECOLAR_TG|NON_ST|NON_TS|NONE_SZ|1X1_AD|CM1_IT|SOC_U1|PRAIA</v>
      </c>
      <c r="G555" t="str">
        <f t="shared" si="122"/>
        <v>449743785</v>
      </c>
      <c r="H555" t="str">
        <f t="shared" si="123"/>
        <v>Tracking</v>
      </c>
      <c r="I555">
        <f t="shared" si="124"/>
        <v>0</v>
      </c>
      <c r="J555">
        <f t="shared" si="125"/>
        <v>1823</v>
      </c>
      <c r="K555" s="4">
        <f t="shared" si="114"/>
        <v>3.5000000000000001E-3</v>
      </c>
      <c r="L555">
        <f t="shared" si="115"/>
        <v>0.02</v>
      </c>
      <c r="M555" s="4">
        <f t="shared" si="126"/>
        <v>6.3805000000000005</v>
      </c>
      <c r="N555" s="4">
        <f t="shared" si="127"/>
        <v>36.46</v>
      </c>
    </row>
    <row r="556" spans="1:14">
      <c r="A556" t="str">
        <f t="shared" si="116"/>
        <v>MK|BR_CN|VDV_MN|NONE_YQ|19Q1Q4_CP|PO5020004141_SP|N/A_AC|DE_OB|ACQ_U1|DCM</v>
      </c>
      <c r="B556" t="str">
        <f t="shared" si="117"/>
        <v>Facebook</v>
      </c>
      <c r="C556" t="str">
        <f t="shared" si="118"/>
        <v>MK|BR_CH|PSD_DT|CROSS_PB|FCBK_FM|CAR_RT|CPM_PD|VDV-MERCHANT-GOL_TG|NON_ST|NON_TS|NONE_SZ|1X1_AD|CM1_IT|SOC</v>
      </c>
      <c r="D556" t="str">
        <f t="shared" si="119"/>
        <v>239028840</v>
      </c>
      <c r="E556" t="str">
        <f t="shared" si="120"/>
        <v>Dynamic Click</v>
      </c>
      <c r="F556" t="str">
        <f t="shared" si="121"/>
        <v>MK|BR_CH|PSD_DT|CROSS_PB|FCBK_FM|CAR_RT|CPM_PD|VDV-MERCHANT-GOL_TG|NON_ST|NON_TS|NONE_SZ|1X1_AD|CM1_IT|SOC</v>
      </c>
      <c r="G556" t="str">
        <f t="shared" si="122"/>
        <v>435947622</v>
      </c>
      <c r="H556" t="str">
        <f t="shared" si="123"/>
        <v>Tracking</v>
      </c>
      <c r="I556">
        <f t="shared" si="124"/>
        <v>0</v>
      </c>
      <c r="J556">
        <f t="shared" si="125"/>
        <v>1</v>
      </c>
      <c r="K556" s="4">
        <f t="shared" ref="K556:K619" si="128">IF(LEFT(B556,3)="DBM",0,VLOOKUP(E556,tabela,2,FALSE))</f>
        <v>3.5000000000000001E-3</v>
      </c>
      <c r="L556">
        <f t="shared" ref="L556:L619" si="129">VLOOKUP(E556,tabela,3,FALSE)</f>
        <v>0.02</v>
      </c>
      <c r="M556" s="4">
        <f t="shared" si="126"/>
        <v>3.5000000000000001E-3</v>
      </c>
      <c r="N556" s="4">
        <f t="shared" si="127"/>
        <v>0.02</v>
      </c>
    </row>
    <row r="557" spans="1:14">
      <c r="A557" t="str">
        <f t="shared" si="116"/>
        <v>MK|BR_CN|VDV_MN|NONE_YQ|19Q1Q4_CP|PO5020004141_SP|N/A_AC|DE_OB|ACQ_U1|DCM</v>
      </c>
      <c r="B557" t="str">
        <f t="shared" si="117"/>
        <v>Facebook</v>
      </c>
      <c r="C557" t="str">
        <f t="shared" si="118"/>
        <v>MK|BR_CH|PSD_DT|CROSS_PB|FCBK_FM|CAR_RT|CPM_PD|VDV-MERCHANT-MOVIDA_TG|NON_ST|NON_TS|NONE_SZ|1X1_AD|CM1_IT|SOC_U1|25OFF</v>
      </c>
      <c r="D557" t="str">
        <f t="shared" si="119"/>
        <v>256167696</v>
      </c>
      <c r="E557" t="str">
        <f t="shared" si="120"/>
        <v>Dynamic Click</v>
      </c>
      <c r="F557" t="str">
        <f t="shared" si="121"/>
        <v>MK|BR_CH|PSD_DT|CROSS_PB|FCBK_FM|CAR_RT|CPM_PD|VDV-MERCHANT-MOVIDA_TG|NON_ST|NON_TS|NONE_SZ|1X1_AD|CM1_IT|SOC_U1|25OFF</v>
      </c>
      <c r="G557" t="str">
        <f t="shared" si="122"/>
        <v>451881495</v>
      </c>
      <c r="H557" t="str">
        <f t="shared" si="123"/>
        <v>Tracking</v>
      </c>
      <c r="I557">
        <f t="shared" si="124"/>
        <v>0</v>
      </c>
      <c r="J557">
        <f t="shared" si="125"/>
        <v>1177</v>
      </c>
      <c r="K557" s="4">
        <f t="shared" si="128"/>
        <v>3.5000000000000001E-3</v>
      </c>
      <c r="L557">
        <f t="shared" si="129"/>
        <v>0.02</v>
      </c>
      <c r="M557" s="4">
        <f t="shared" si="126"/>
        <v>4.1195000000000004</v>
      </c>
      <c r="N557" s="4">
        <f t="shared" si="127"/>
        <v>23.54</v>
      </c>
    </row>
    <row r="558" spans="1:14">
      <c r="A558" t="str">
        <f t="shared" si="116"/>
        <v>MK|BR_CN|VDV_MN|NONE_YQ|19Q1Q4_CP|PO5020004141_SP|N/A_AC|DE_OB|ACQ_U1|DCM</v>
      </c>
      <c r="B558" t="str">
        <f t="shared" si="117"/>
        <v>Facebook</v>
      </c>
      <c r="C558" t="str">
        <f t="shared" si="118"/>
        <v>MK|BR_CH|PSD_DT|CROSS_PB|FCBK_FM|CAR_RT|CPM_PD|VDV-MERCHANT-MOVIDA_TG|NON_ST|NON_TS|NONE_SZ|1X1_AD|CM1_IT|SOC_U1|OFERTAEDUCACIONAL</v>
      </c>
      <c r="D558" t="str">
        <f t="shared" si="119"/>
        <v>248336396</v>
      </c>
      <c r="E558" t="str">
        <f t="shared" si="120"/>
        <v>Dynamic Click</v>
      </c>
      <c r="F558" t="str">
        <f t="shared" si="121"/>
        <v>MK|BR_CH|PSD_DT|CROSS_PB|FCBK_FM|CAR_RT|CPM_PD|VDV-MERCHANT-MOVIDA_TG|NON_ST|NON_TS|NONE_SZ|1X1_AD|CM1_IT|SOC_U1|OFERTAEDUCACIONAL</v>
      </c>
      <c r="G558" t="str">
        <f t="shared" si="122"/>
        <v>444858007</v>
      </c>
      <c r="H558" t="str">
        <f t="shared" si="123"/>
        <v>Tracking</v>
      </c>
      <c r="I558">
        <f t="shared" si="124"/>
        <v>0</v>
      </c>
      <c r="J558">
        <f t="shared" si="125"/>
        <v>6</v>
      </c>
      <c r="K558" s="4">
        <f t="shared" si="128"/>
        <v>3.5000000000000001E-3</v>
      </c>
      <c r="L558">
        <f t="shared" si="129"/>
        <v>0.02</v>
      </c>
      <c r="M558" s="4">
        <f t="shared" si="126"/>
        <v>2.1000000000000001E-2</v>
      </c>
      <c r="N558" s="4">
        <f t="shared" si="127"/>
        <v>0.12</v>
      </c>
    </row>
    <row r="559" spans="1:14">
      <c r="A559" t="str">
        <f t="shared" si="116"/>
        <v>MK|BR_CN|VDV_MN|NONE_YQ|19Q1Q4_CP|PO5020004141_SP|N/A_AC|DE_OB|ACQ_U1|DCM</v>
      </c>
      <c r="B559" t="str">
        <f t="shared" si="117"/>
        <v>Facebook</v>
      </c>
      <c r="C559" t="str">
        <f t="shared" si="118"/>
        <v>MK|BR_CH|PSD_DT|CROSS_PB|FCBK_FM|CAR_RT|CPM_PD|VDV-MERCHANT-MOVIDA_TG|NON_ST|NON_TS|NONE_SZ|1X1_AD|CM1_IT|SOC_U1|RETANGULAR_U2|20OFF</v>
      </c>
      <c r="D559" t="str">
        <f t="shared" si="119"/>
        <v>251270277</v>
      </c>
      <c r="E559" t="str">
        <f t="shared" si="120"/>
        <v>Dynamic Click</v>
      </c>
      <c r="F559" t="str">
        <f t="shared" si="121"/>
        <v>MK|BR_CH|PSD_DT|CROSS_PB|FCBK_FM|CAR_RT|CPM_PD|VDV-MERCHANT-MOVIDA_TG|NON_ST|NON_TS|NONE_SZ|1X1_AD|CM1_IT|SOC_U1|RETANGULAR_U2|20OFF</v>
      </c>
      <c r="G559" t="str">
        <f t="shared" si="122"/>
        <v>447378202</v>
      </c>
      <c r="H559" t="str">
        <f t="shared" si="123"/>
        <v>Tracking</v>
      </c>
      <c r="I559">
        <f t="shared" si="124"/>
        <v>0</v>
      </c>
      <c r="J559">
        <f t="shared" si="125"/>
        <v>6</v>
      </c>
      <c r="K559" s="4">
        <f t="shared" si="128"/>
        <v>3.5000000000000001E-3</v>
      </c>
      <c r="L559">
        <f t="shared" si="129"/>
        <v>0.02</v>
      </c>
      <c r="M559" s="4">
        <f t="shared" si="126"/>
        <v>2.1000000000000001E-2</v>
      </c>
      <c r="N559" s="4">
        <f t="shared" si="127"/>
        <v>0.12</v>
      </c>
    </row>
    <row r="560" spans="1:14">
      <c r="A560" t="str">
        <f t="shared" si="116"/>
        <v>MK|BR_CN|VDV_MN|NONE_YQ|19Q1Q4_CP|PO5020004141_SP|N/A_AC|DE_OB|ACQ_U1|DCM</v>
      </c>
      <c r="B560" t="str">
        <f t="shared" si="117"/>
        <v>Facebook</v>
      </c>
      <c r="C560" t="str">
        <f t="shared" si="118"/>
        <v>MK|BR_CH|PSD_DT|CROSS_PB|FCBK_FM|CAR_RT|CPM_PD|VDV-MERCHANT-NETSHOES_TG|NON_ST|NON_TS|NONE_SZ|1X1_AD|CM1_IT|SOC</v>
      </c>
      <c r="D560" t="str">
        <f t="shared" si="119"/>
        <v>249609130</v>
      </c>
      <c r="E560" t="str">
        <f t="shared" si="120"/>
        <v>Dynamic Click</v>
      </c>
      <c r="F560" t="str">
        <f t="shared" si="121"/>
        <v>MK|BR_CH|PSD_DT|CROSS_PB|FCBK_FM|CAR_RT|CPM_PD|VDV-MERCHANT-NETSHOES_TG|NON_ST|NON_TS|NONE_SZ|1X1_AD|CM1_IT|SOC</v>
      </c>
      <c r="G560" t="str">
        <f t="shared" si="122"/>
        <v>445806137</v>
      </c>
      <c r="H560" t="str">
        <f t="shared" si="123"/>
        <v>Tracking</v>
      </c>
      <c r="I560">
        <f t="shared" si="124"/>
        <v>0</v>
      </c>
      <c r="J560">
        <f t="shared" si="125"/>
        <v>4</v>
      </c>
      <c r="K560" s="4">
        <f t="shared" si="128"/>
        <v>3.5000000000000001E-3</v>
      </c>
      <c r="L560">
        <f t="shared" si="129"/>
        <v>0.02</v>
      </c>
      <c r="M560" s="4">
        <f t="shared" si="126"/>
        <v>1.4E-2</v>
      </c>
      <c r="N560" s="4">
        <f t="shared" si="127"/>
        <v>0.08</v>
      </c>
    </row>
    <row r="561" spans="1:14">
      <c r="A561" t="str">
        <f t="shared" si="116"/>
        <v>MK|BR_CN|VDV_MN|NONE_YQ|19Q1Q4_CP|PO5020004141_SP|N/A_AC|DE_OB|ACQ_U1|DCM</v>
      </c>
      <c r="B561" t="str">
        <f t="shared" si="117"/>
        <v>Facebook</v>
      </c>
      <c r="C561" t="str">
        <f t="shared" si="118"/>
        <v>MK|BR_CH|PSD_DT|CROSS_PB|FCBK_FM|CAR_RT|CPM_PD|VDV-MERCHANT-NETSHOES_TG|NON_ST|NON_TS|NONE_SZ|1X1_AD|CM1_IT|SOC_U1|15OFF</v>
      </c>
      <c r="D561" t="str">
        <f t="shared" si="119"/>
        <v>252412997</v>
      </c>
      <c r="E561" t="str">
        <f t="shared" si="120"/>
        <v>Dynamic Click</v>
      </c>
      <c r="F561" t="str">
        <f t="shared" si="121"/>
        <v>MK|BR_CH|PSD_DT|CROSS_PB|FCBK_FM|CAR_RT|CPM_PD|VDV-MERCHANT-NETSHOES_TG|NON_ST|NON_TS|NONE_SZ|1X1_AD|CM1_IT|SOC_U1|15OFF</v>
      </c>
      <c r="G561" t="str">
        <f t="shared" si="122"/>
        <v>448812344</v>
      </c>
      <c r="H561" t="str">
        <f t="shared" si="123"/>
        <v>Tracking</v>
      </c>
      <c r="I561">
        <f t="shared" si="124"/>
        <v>0</v>
      </c>
      <c r="J561">
        <f t="shared" si="125"/>
        <v>3</v>
      </c>
      <c r="K561" s="4">
        <f t="shared" si="128"/>
        <v>3.5000000000000001E-3</v>
      </c>
      <c r="L561">
        <f t="shared" si="129"/>
        <v>0.02</v>
      </c>
      <c r="M561" s="4">
        <f t="shared" si="126"/>
        <v>1.0500000000000001E-2</v>
      </c>
      <c r="N561" s="4">
        <f t="shared" si="127"/>
        <v>0.06</v>
      </c>
    </row>
    <row r="562" spans="1:14">
      <c r="A562" t="str">
        <f t="shared" si="116"/>
        <v>MK|BR_CN|VDV_MN|NONE_YQ|19Q1Q4_CP|PO5020004141_SP|N/A_AC|DE_OB|ACQ_U1|DCM</v>
      </c>
      <c r="B562" t="str">
        <f t="shared" si="117"/>
        <v>Facebook</v>
      </c>
      <c r="C562" t="str">
        <f t="shared" si="118"/>
        <v>MK|BR_CH|PSD_DT|CROSS_PB|FCBK_FM|CAR_RT|CPM_PD|VDV-MERCHANT-NETSHOES_TG|NON_ST|NON_TS|NONE_SZ|1X1_AD|CM1_IT|SOC_U1|FEMININO_U2|15OFF</v>
      </c>
      <c r="D562" t="str">
        <f t="shared" si="119"/>
        <v>254166006</v>
      </c>
      <c r="E562" t="str">
        <f t="shared" si="120"/>
        <v>Dynamic Click</v>
      </c>
      <c r="F562" t="str">
        <f t="shared" si="121"/>
        <v>MK|BR_CH|PSD_DT|CROSS_PB|FCBK_FM|CAR_RT|CPM_PD|VDV-MERCHANT-NETSHOES_TG|NON_ST|NON_TS|NONE_SZ|1X1_AD|CM1_IT|SOC_U1|FEMININO_U2|15OFF</v>
      </c>
      <c r="G562" t="str">
        <f t="shared" si="122"/>
        <v>450146029</v>
      </c>
      <c r="H562" t="str">
        <f t="shared" si="123"/>
        <v>Tracking</v>
      </c>
      <c r="I562">
        <f t="shared" si="124"/>
        <v>0</v>
      </c>
      <c r="J562">
        <f t="shared" si="125"/>
        <v>807</v>
      </c>
      <c r="K562" s="4">
        <f t="shared" si="128"/>
        <v>3.5000000000000001E-3</v>
      </c>
      <c r="L562">
        <f t="shared" si="129"/>
        <v>0.02</v>
      </c>
      <c r="M562" s="4">
        <f t="shared" si="126"/>
        <v>2.8245</v>
      </c>
      <c r="N562" s="4">
        <f t="shared" si="127"/>
        <v>16.14</v>
      </c>
    </row>
    <row r="563" spans="1:14">
      <c r="A563" t="str">
        <f t="shared" si="116"/>
        <v>MK|BR_CN|VDV_MN|NONE_YQ|19Q1Q4_CP|PO5020004141_SP|N/A_AC|DE_OB|ACQ_U1|DCM</v>
      </c>
      <c r="B563" t="str">
        <f t="shared" si="117"/>
        <v>Facebook</v>
      </c>
      <c r="C563" t="str">
        <f t="shared" si="118"/>
        <v>MK|BR_CH|PSD_DT|CROSS_PB|FCBK_FM|CAR_RT|CPM_PD|VDV-MERCHANT-RENNER_TG|NON_ST|NON_TS|NONE_SZ|1X1_AD|CM1_IT|SOC_U1|5-FRAMES_U2|HOMEM-E-MULHER_U3|MENSAGEM-ANTECIPADA</v>
      </c>
      <c r="D563" t="str">
        <f t="shared" si="119"/>
        <v>254095833</v>
      </c>
      <c r="E563" t="str">
        <f t="shared" si="120"/>
        <v>Dynamic Click</v>
      </c>
      <c r="F563" t="str">
        <f t="shared" si="121"/>
        <v>MK|BR_CH|PSD_DT|CROSS_PB|FCBK_FM|CAR_RT|CPM_PD|VDV-MERCHANT-RENNER_TG|NON_ST|NON_TS|NONE_SZ|1X1_AD|CM1_IT|SOC_U1|5-FRAMES_U2|HOMEM-E-MULHER_U3|MENSAGEM-ANTECIPADA</v>
      </c>
      <c r="G563" t="str">
        <f t="shared" si="122"/>
        <v>450078160</v>
      </c>
      <c r="H563" t="str">
        <f t="shared" si="123"/>
        <v>Tracking</v>
      </c>
      <c r="I563">
        <f t="shared" si="124"/>
        <v>0</v>
      </c>
      <c r="J563">
        <f t="shared" si="125"/>
        <v>1</v>
      </c>
      <c r="K563" s="4">
        <f t="shared" si="128"/>
        <v>3.5000000000000001E-3</v>
      </c>
      <c r="L563">
        <f t="shared" si="129"/>
        <v>0.02</v>
      </c>
      <c r="M563" s="4">
        <f t="shared" si="126"/>
        <v>3.5000000000000001E-3</v>
      </c>
      <c r="N563" s="4">
        <f t="shared" si="127"/>
        <v>0.02</v>
      </c>
    </row>
    <row r="564" spans="1:14">
      <c r="A564" t="str">
        <f t="shared" si="116"/>
        <v>MK|BR_CN|VDV_MN|NONE_YQ|19Q1Q4_CP|PO5020004141_SP|N/A_AC|DE_OB|ACQ_U1|DCM</v>
      </c>
      <c r="B564" t="str">
        <f t="shared" si="117"/>
        <v>Facebook</v>
      </c>
      <c r="C564" t="str">
        <f t="shared" si="118"/>
        <v>MK|BR_CH|PSD_DT|CROSS_PB|FCBK_FM|CAR_RT|CPM_PD|VDV-PROMONACIONAL_TG|NON_ST|NON_TS|NONE_SZ|1X1_AD|CM1_IT|SOC_U1|CHANCECHANCE_U2|BASEVDV_U3|VOZDEBEBE</v>
      </c>
      <c r="D564" t="str">
        <f t="shared" si="119"/>
        <v>255126054</v>
      </c>
      <c r="E564" t="str">
        <f t="shared" si="120"/>
        <v>Dynamic Click</v>
      </c>
      <c r="F564" t="str">
        <f t="shared" si="121"/>
        <v>MK|BR_CH|PSD_DT|CROSS_PB|FCBK_FM|CAR_RT|CPM_PD|VDV-PROMONACIONAL_TG|NON_ST|NON_TS|NONE_SZ|1X1_AD|CM1_IT|SOC_U1|CHANCECHANCE_U2|BASEVDV_U3|VOZDEBEBE</v>
      </c>
      <c r="G564" t="str">
        <f t="shared" si="122"/>
        <v>450991814</v>
      </c>
      <c r="H564" t="str">
        <f t="shared" si="123"/>
        <v>Tracking</v>
      </c>
      <c r="I564">
        <f t="shared" si="124"/>
        <v>0</v>
      </c>
      <c r="J564">
        <f t="shared" si="125"/>
        <v>597</v>
      </c>
      <c r="K564" s="4">
        <f t="shared" si="128"/>
        <v>3.5000000000000001E-3</v>
      </c>
      <c r="L564">
        <f t="shared" si="129"/>
        <v>0.02</v>
      </c>
      <c r="M564" s="4">
        <f t="shared" si="126"/>
        <v>2.0895000000000001</v>
      </c>
      <c r="N564" s="4">
        <f t="shared" si="127"/>
        <v>11.94</v>
      </c>
    </row>
    <row r="565" spans="1:14">
      <c r="A565" t="str">
        <f t="shared" si="116"/>
        <v>MK|BR_CN|VDV_MN|NONE_YQ|19Q1Q4_CP|PO5020004141_SP|N/A_AC|DE_OB|ACQ_U1|DCM</v>
      </c>
      <c r="B565" t="str">
        <f t="shared" si="117"/>
        <v>Facebook</v>
      </c>
      <c r="C565" t="str">
        <f t="shared" si="118"/>
        <v>MK|BR_CH|PSD_DT|CROSS_PB|FCBK_FM|CAR_RT|CPM_PD|VDV-PROMONACIONAL_TG|NON_ST|NON_TS|NONE_SZ|1X1_AD|CM1_IT|SOC_U1|CHANCECHANCE_U2|BOCEJO</v>
      </c>
      <c r="D565" t="str">
        <f t="shared" si="119"/>
        <v>254860524</v>
      </c>
      <c r="E565" t="str">
        <f t="shared" si="120"/>
        <v>Dynamic Click</v>
      </c>
      <c r="F565" t="str">
        <f t="shared" si="121"/>
        <v>MK|BR_CH|PSD_DT|CROSS_PB|FCBK_FM|CAR_RT|CPM_PD|VDV-PROMONACIONAL_TG|NON_ST|NON_TS|NONE_SZ|1X1_AD|CM1_IT|SOC_U1|CHANCECHANCE_U2|BOCEJO</v>
      </c>
      <c r="G565" t="str">
        <f t="shared" si="122"/>
        <v>450664557</v>
      </c>
      <c r="H565" t="str">
        <f t="shared" si="123"/>
        <v>Tracking</v>
      </c>
      <c r="I565">
        <f t="shared" si="124"/>
        <v>0</v>
      </c>
      <c r="J565">
        <f t="shared" si="125"/>
        <v>193</v>
      </c>
      <c r="K565" s="4">
        <f t="shared" si="128"/>
        <v>3.5000000000000001E-3</v>
      </c>
      <c r="L565">
        <f t="shared" si="129"/>
        <v>0.02</v>
      </c>
      <c r="M565" s="4">
        <f t="shared" si="126"/>
        <v>0.67549999999999999</v>
      </c>
      <c r="N565" s="4">
        <f t="shared" si="127"/>
        <v>3.86</v>
      </c>
    </row>
    <row r="566" spans="1:14">
      <c r="A566" t="str">
        <f t="shared" si="116"/>
        <v>MK|BR_CN|VDV_MN|NONE_YQ|19Q1Q4_CP|PO5020004141_SP|N/A_AC|DE_OB|ACQ_U1|DCM</v>
      </c>
      <c r="B566" t="str">
        <f t="shared" si="117"/>
        <v>Facebook</v>
      </c>
      <c r="C566" t="str">
        <f t="shared" si="118"/>
        <v>MK|BR_CH|PSD_DT|CROSS_PB|FCBK_FM|CAR_RT|CPM_PD|VDV-PROMONACIONAL_TG|NON_ST|NON_TS|NONE_SZ|1X1_AD|CM1_IT|SOC_U1|CHANCECHANCE_U2|VOZDEBEBE</v>
      </c>
      <c r="D566" t="str">
        <f t="shared" si="119"/>
        <v>254860521</v>
      </c>
      <c r="E566" t="str">
        <f t="shared" si="120"/>
        <v>Dynamic Click</v>
      </c>
      <c r="F566" t="str">
        <f t="shared" si="121"/>
        <v>MK|BR_CH|PSD_DT|CROSS_PB|FCBK_FM|CAR_RT|CPM_PD|VDV-PROMONACIONAL_TG|NON_ST|NON_TS|NONE_SZ|1X1_AD|CM1_IT|SOC_U1|CHANCECHANCE_U2|VOZDEBEBE</v>
      </c>
      <c r="G566" t="str">
        <f t="shared" si="122"/>
        <v>450664554</v>
      </c>
      <c r="H566" t="str">
        <f t="shared" si="123"/>
        <v>Tracking</v>
      </c>
      <c r="I566">
        <f t="shared" si="124"/>
        <v>0</v>
      </c>
      <c r="J566">
        <f t="shared" si="125"/>
        <v>129</v>
      </c>
      <c r="K566" s="4">
        <f t="shared" si="128"/>
        <v>3.5000000000000001E-3</v>
      </c>
      <c r="L566">
        <f t="shared" si="129"/>
        <v>0.02</v>
      </c>
      <c r="M566" s="4">
        <f t="shared" si="126"/>
        <v>0.45150000000000001</v>
      </c>
      <c r="N566" s="4">
        <f t="shared" si="127"/>
        <v>2.58</v>
      </c>
    </row>
    <row r="567" spans="1:14">
      <c r="A567" t="str">
        <f t="shared" si="116"/>
        <v>MK|BR_CN|VDV_MN|NONE_YQ|19Q1Q4_CP|PO5020004141_SP|N/A_AC|DE_OB|ACQ_U1|DCM</v>
      </c>
      <c r="B567" t="str">
        <f t="shared" si="117"/>
        <v>Facebook</v>
      </c>
      <c r="C567" t="str">
        <f t="shared" si="118"/>
        <v>MK|BR_CH|PSD_DT|CROSS_PB|FCBK_FM|CAR_RT|CPM_PD|VDV-PROMONACIONAL_TG|NON_ST|NON_TS|NONE_SZ|1X1_AD|CM1_IT|SOC_U1|DEBITO_U2|EXPECTATIVA-REALIDADE</v>
      </c>
      <c r="D567" t="str">
        <f t="shared" si="119"/>
        <v>254917979</v>
      </c>
      <c r="E567" t="str">
        <f t="shared" si="120"/>
        <v>Dynamic Click</v>
      </c>
      <c r="F567" t="str">
        <f t="shared" si="121"/>
        <v>MK|BR_CH|PSD_DT|CROSS_PB|FCBK_FM|CAR_RT|CPM_PD|VDV-PROMONACIONAL_TG|NON_ST|NON_TS|NONE_SZ|1X1_AD|CM1_IT|SOC_U1|DEBITO_U2|EXPECTATIVA-REALIDADE</v>
      </c>
      <c r="G567" t="str">
        <f t="shared" si="122"/>
        <v>451281745</v>
      </c>
      <c r="H567" t="str">
        <f t="shared" si="123"/>
        <v>Tracking</v>
      </c>
      <c r="I567">
        <f t="shared" si="124"/>
        <v>0</v>
      </c>
      <c r="J567">
        <f t="shared" si="125"/>
        <v>1673</v>
      </c>
      <c r="K567" s="4">
        <f t="shared" si="128"/>
        <v>3.5000000000000001E-3</v>
      </c>
      <c r="L567">
        <f t="shared" si="129"/>
        <v>0.02</v>
      </c>
      <c r="M567" s="4">
        <f t="shared" si="126"/>
        <v>5.8555000000000001</v>
      </c>
      <c r="N567" s="4">
        <f t="shared" si="127"/>
        <v>33.46</v>
      </c>
    </row>
    <row r="568" spans="1:14">
      <c r="A568" t="str">
        <f t="shared" si="116"/>
        <v>MK|BR_CN|VDV_MN|NONE_YQ|19Q1Q4_CP|PO5020004141_SP|N/A_AC|DE_OB|ACQ_U1|DCM</v>
      </c>
      <c r="B568" t="str">
        <f t="shared" si="117"/>
        <v>Facebook</v>
      </c>
      <c r="C568" t="str">
        <f t="shared" si="118"/>
        <v>MK|BR_CH|PSD_DT|CROSS_PB|FCBK_FM|CAR_RT|CPM_PD|VDV-PROMONACIONAL_TG|NON_ST|NON_TS|NONE_SZ|1X1_AD|CM1_IT|SOC_U1|DEBITO_U2|INVADINDO-TIMELINE_U3|CAFE</v>
      </c>
      <c r="D568" t="str">
        <f t="shared" si="119"/>
        <v>254917967</v>
      </c>
      <c r="E568" t="str">
        <f t="shared" si="120"/>
        <v>Dynamic Click</v>
      </c>
      <c r="F568" t="str">
        <f t="shared" si="121"/>
        <v>MK|BR_CH|PSD_DT|CROSS_PB|FCBK_FM|CAR_RT|CPM_PD|VDV-PROMONACIONAL_TG|NON_ST|NON_TS|NONE_SZ|1X1_AD|CM1_IT|SOC_U1|DEBITO_U2|INVADINDO-TIMELINE_U3|CAFE</v>
      </c>
      <c r="G568" t="str">
        <f t="shared" si="122"/>
        <v>451281733</v>
      </c>
      <c r="H568" t="str">
        <f t="shared" si="123"/>
        <v>Tracking</v>
      </c>
      <c r="I568">
        <f t="shared" si="124"/>
        <v>0</v>
      </c>
      <c r="J568">
        <f t="shared" si="125"/>
        <v>1463</v>
      </c>
      <c r="K568" s="4">
        <f t="shared" si="128"/>
        <v>3.5000000000000001E-3</v>
      </c>
      <c r="L568">
        <f t="shared" si="129"/>
        <v>0.02</v>
      </c>
      <c r="M568" s="4">
        <f t="shared" si="126"/>
        <v>5.1204999999999998</v>
      </c>
      <c r="N568" s="4">
        <f t="shared" si="127"/>
        <v>29.26</v>
      </c>
    </row>
    <row r="569" spans="1:14">
      <c r="A569" t="str">
        <f t="shared" si="116"/>
        <v>MK|BR_CN|VDV_MN|NONE_YQ|19Q1Q4_CP|PO5020004141_SP|N/A_AC|DE_OB|ACQ_U1|DCM</v>
      </c>
      <c r="B569" t="str">
        <f t="shared" si="117"/>
        <v>Facebook</v>
      </c>
      <c r="C569" t="str">
        <f t="shared" si="118"/>
        <v>MK|BR_CH|PSD_DT|CROSS_PB|FCBK_FM|CAR_RT|CPM_PD|VDV-PROMONACIONAL_TG|NON_ST|NON_TS|NONE_SZ|1X1_AD|CM1_IT|SOC_U1|DEBITO_U2|INVADINDO-TIMELINE_U3|DOCE</v>
      </c>
      <c r="D569" t="str">
        <f t="shared" si="119"/>
        <v>254917964</v>
      </c>
      <c r="E569" t="str">
        <f t="shared" si="120"/>
        <v>Dynamic Click</v>
      </c>
      <c r="F569" t="str">
        <f t="shared" si="121"/>
        <v>MK|BR_CH|PSD_DT|CROSS_PB|FCBK_FM|CAR_RT|CPM_PD|VDV-PROMONACIONAL_TG|NON_ST|NON_TS|NONE_SZ|1X1_AD|CM1_IT|SOC_U1|DEBITO_U2|INVADINDO-TIMELINE_U3|DOCE</v>
      </c>
      <c r="G569" t="str">
        <f t="shared" si="122"/>
        <v>451281730</v>
      </c>
      <c r="H569" t="str">
        <f t="shared" si="123"/>
        <v>Tracking</v>
      </c>
      <c r="I569">
        <f t="shared" si="124"/>
        <v>0</v>
      </c>
      <c r="J569">
        <f t="shared" si="125"/>
        <v>149</v>
      </c>
      <c r="K569" s="4">
        <f t="shared" si="128"/>
        <v>3.5000000000000001E-3</v>
      </c>
      <c r="L569">
        <f t="shared" si="129"/>
        <v>0.02</v>
      </c>
      <c r="M569" s="4">
        <f t="shared" si="126"/>
        <v>0.52149999999999996</v>
      </c>
      <c r="N569" s="4">
        <f t="shared" si="127"/>
        <v>2.98</v>
      </c>
    </row>
    <row r="570" spans="1:14">
      <c r="A570" t="str">
        <f t="shared" si="116"/>
        <v>MK|BR_CN|VDV_MN|NONE_YQ|19Q1Q4_CP|PO5020004141_SP|N/A_AC|DE_OB|ACQ_U1|DCM</v>
      </c>
      <c r="B570" t="str">
        <f t="shared" si="117"/>
        <v>Facebook</v>
      </c>
      <c r="C570" t="str">
        <f t="shared" si="118"/>
        <v>MK|BR_CH|PSD_DT|CROSS_PB|FCBK_FM|CAR_RT|CPM_PD|VDV-PROMONACIONAL_TG|NON_ST|NON_TS|NONE_SZ|1X1_AD|CM1_IT|SOC_U1|DIA-DOS-PAIS</v>
      </c>
      <c r="D570" t="str">
        <f t="shared" si="119"/>
        <v>252741885</v>
      </c>
      <c r="E570" t="str">
        <f t="shared" si="120"/>
        <v>Dynamic Click</v>
      </c>
      <c r="F570" t="str">
        <f t="shared" si="121"/>
        <v>MK|BR_CH|PSD_DT|CROSS_PB|FCBK_FM|CAR_RT|CPM_PD|VDV-PROMONACIONAL_TG|NON_ST|NON_TS|NONE_SZ|1X1_AD|CM1_IT|SOC_U1|DIA-DOS-PAIS</v>
      </c>
      <c r="G570" t="str">
        <f t="shared" si="122"/>
        <v>448794142</v>
      </c>
      <c r="H570" t="str">
        <f t="shared" si="123"/>
        <v>Tracking</v>
      </c>
      <c r="I570">
        <f t="shared" si="124"/>
        <v>0</v>
      </c>
      <c r="J570">
        <f t="shared" si="125"/>
        <v>1</v>
      </c>
      <c r="K570" s="4">
        <f t="shared" si="128"/>
        <v>3.5000000000000001E-3</v>
      </c>
      <c r="L570">
        <f t="shared" si="129"/>
        <v>0.02</v>
      </c>
      <c r="M570" s="4">
        <f t="shared" si="126"/>
        <v>3.5000000000000001E-3</v>
      </c>
      <c r="N570" s="4">
        <f t="shared" si="127"/>
        <v>0.02</v>
      </c>
    </row>
    <row r="571" spans="1:14">
      <c r="A571" t="str">
        <f t="shared" si="116"/>
        <v>MK|BR_CN|VDV_MN|NONE_YQ|19Q1Q4_CP|PO5020004141_SP|N/A_AC|DE_OB|ACQ_U1|DCM</v>
      </c>
      <c r="B571" t="str">
        <f t="shared" si="117"/>
        <v>Facebook</v>
      </c>
      <c r="C571" t="str">
        <f t="shared" si="118"/>
        <v>MK|BR_CH|PSD_DT|CROSS_PB|FCBK_FM|CAR_RT|CPM_PD|VDV-PROMONACIONAL_TG|NON_ST|NON_TS|NONE_SZ|1X1_AD|CM1_IT|SOC_U1|PARTICIPE</v>
      </c>
      <c r="D571" t="str">
        <f t="shared" si="119"/>
        <v>249651985</v>
      </c>
      <c r="E571" t="str">
        <f t="shared" si="120"/>
        <v>Dynamic Click</v>
      </c>
      <c r="F571" t="str">
        <f t="shared" si="121"/>
        <v>MK|BR_CH|PSD_DT|CROSS_PB|FCBK_FM|CAR_RT|CPM_PD|VDV-PROMONACIONAL_TG|NON_ST|NON_TS|NONE_SZ|1X1_AD|CM1_IT|SOC_U1|PARTICIPE</v>
      </c>
      <c r="G571" t="str">
        <f t="shared" si="122"/>
        <v>445759968</v>
      </c>
      <c r="H571" t="str">
        <f t="shared" si="123"/>
        <v>Tracking</v>
      </c>
      <c r="I571">
        <f t="shared" si="124"/>
        <v>0</v>
      </c>
      <c r="J571">
        <f t="shared" si="125"/>
        <v>4</v>
      </c>
      <c r="K571" s="4">
        <f t="shared" si="128"/>
        <v>3.5000000000000001E-3</v>
      </c>
      <c r="L571">
        <f t="shared" si="129"/>
        <v>0.02</v>
      </c>
      <c r="M571" s="4">
        <f t="shared" si="126"/>
        <v>1.4E-2</v>
      </c>
      <c r="N571" s="4">
        <f t="shared" si="127"/>
        <v>0.08</v>
      </c>
    </row>
    <row r="572" spans="1:14">
      <c r="A572" t="str">
        <f t="shared" si="116"/>
        <v>MK|BR_CN|VDV_MN|NONE_YQ|19Q1Q4_CP|PO5020004141_SP|N/A_AC|DE_OB|ACQ_U1|DCM</v>
      </c>
      <c r="B572" t="str">
        <f t="shared" si="117"/>
        <v>Facebook</v>
      </c>
      <c r="C572" t="str">
        <f t="shared" si="118"/>
        <v>MK|BR_CH|PSD_DT|CROSS_PB|FCBK_FM|CAR_RT|CPM_PD|VDV-PROMONACIONAL_TG|NON_ST|NON_TS|NONE_SZ|1X1_AD|CM1_IT|SOC_U1|PARTICIPE_U2|PAGUECOMVISA</v>
      </c>
      <c r="D572" t="str">
        <f t="shared" si="119"/>
        <v>252942147</v>
      </c>
      <c r="E572" t="str">
        <f t="shared" si="120"/>
        <v>Dynamic Click</v>
      </c>
      <c r="F572" t="str">
        <f t="shared" si="121"/>
        <v>MK|BR_CH|PSD_DT|CROSS_PB|FCBK_FM|CAR_RT|CPM_PD|VDV-PROMONACIONAL_TG|NON_ST|NON_TS|NONE_SZ|1X1_AD|CM1_IT|SOC_U1|PARTICIPE_U2|PAGUECOMVISA</v>
      </c>
      <c r="G572" t="str">
        <f t="shared" si="122"/>
        <v>448861443</v>
      </c>
      <c r="H572" t="str">
        <f t="shared" si="123"/>
        <v>Tracking</v>
      </c>
      <c r="I572">
        <f t="shared" si="124"/>
        <v>0</v>
      </c>
      <c r="J572">
        <f t="shared" si="125"/>
        <v>267</v>
      </c>
      <c r="K572" s="4">
        <f t="shared" si="128"/>
        <v>3.5000000000000001E-3</v>
      </c>
      <c r="L572">
        <f t="shared" si="129"/>
        <v>0.02</v>
      </c>
      <c r="M572" s="4">
        <f t="shared" si="126"/>
        <v>0.9345</v>
      </c>
      <c r="N572" s="4">
        <f t="shared" si="127"/>
        <v>5.34</v>
      </c>
    </row>
    <row r="573" spans="1:14">
      <c r="A573" t="str">
        <f t="shared" si="116"/>
        <v>MK|BR_CN|VDV_MN|NONE_YQ|19Q1Q4_CP|PO5020004141_SP|N/A_AC|DE_OB|ACQ_U1|DCM</v>
      </c>
      <c r="B573" t="str">
        <f t="shared" si="117"/>
        <v>Facebook</v>
      </c>
      <c r="C573" t="str">
        <f t="shared" si="118"/>
        <v>MK|BR_CH|PSD_DT|CROSS_PB|FCBK_FM|CAR_RT|CPM_PD|VDV-PROMONACIONAL_TG|NON_ST|NON_TS|NONE_SZ|1X1_AD|CM1_IT|SOC_U1|SEMANADOBRASIL</v>
      </c>
      <c r="D573" t="str">
        <f t="shared" si="119"/>
        <v>255051951</v>
      </c>
      <c r="E573" t="str">
        <f t="shared" si="120"/>
        <v>Dynamic Click</v>
      </c>
      <c r="F573" t="str">
        <f t="shared" si="121"/>
        <v>MK|BR_CH|PSD_DT|CROSS_PB|FCBK_FM|CAR_RT|CPM_PD|VDV-PROMONACIONAL_TG|NON_ST|NON_TS|NONE_SZ|1X1_AD|CM1_IT|SOC_U1|SEMANADOBRASIL</v>
      </c>
      <c r="G573" t="str">
        <f t="shared" si="122"/>
        <v>450915098</v>
      </c>
      <c r="H573" t="str">
        <f t="shared" si="123"/>
        <v>Tracking</v>
      </c>
      <c r="I573">
        <f t="shared" si="124"/>
        <v>0</v>
      </c>
      <c r="J573">
        <f t="shared" si="125"/>
        <v>3677</v>
      </c>
      <c r="K573" s="4">
        <f t="shared" si="128"/>
        <v>3.5000000000000001E-3</v>
      </c>
      <c r="L573">
        <f t="shared" si="129"/>
        <v>0.02</v>
      </c>
      <c r="M573" s="4">
        <f t="shared" si="126"/>
        <v>12.8695</v>
      </c>
      <c r="N573" s="4">
        <f t="shared" si="127"/>
        <v>73.540000000000006</v>
      </c>
    </row>
    <row r="574" spans="1:14">
      <c r="A574" t="str">
        <f t="shared" si="116"/>
        <v>MK|BR_CN|VDV_MN|NONE_YQ|19Q1Q4_CP|PO5020004141_SP|N/A_AC|DE_OB|ACQ_U1|DCM</v>
      </c>
      <c r="B574" t="str">
        <f t="shared" si="117"/>
        <v>Facebook</v>
      </c>
      <c r="C574" t="str">
        <f t="shared" si="118"/>
        <v>MK|BR_CH|PSD_DT|CROSS_PB|FCBK_FM|GIF_RT|CPM_PD|VDV-EDUCACIONAL_TG|NON_ST|NON_TS|NONE_SZ|1X1_AD|CM1_IT|SOC_U1|DEBITO_U2|COMPRAS_U3|MOBILE</v>
      </c>
      <c r="D574" t="str">
        <f t="shared" si="119"/>
        <v>252132775</v>
      </c>
      <c r="E574" t="str">
        <f t="shared" si="120"/>
        <v>Dynamic Click</v>
      </c>
      <c r="F574" t="str">
        <f t="shared" si="121"/>
        <v>MK|BR_CH|PSD_DT|CROSS_PB|FCBK_FM|GIF_RT|CPM_PD|VDV-EDUCACIONAL_TG|NON_ST|NON_TS|NONE_SZ|1X1_AD|CM1_IT|SOC_U1|DEBITO_U2|COMPRAS_U3|MOBILE</v>
      </c>
      <c r="G574" t="str">
        <f t="shared" si="122"/>
        <v>448185446</v>
      </c>
      <c r="H574" t="str">
        <f t="shared" si="123"/>
        <v>Tracking</v>
      </c>
      <c r="I574">
        <f t="shared" si="124"/>
        <v>0</v>
      </c>
      <c r="J574">
        <f t="shared" si="125"/>
        <v>8</v>
      </c>
      <c r="K574" s="4">
        <f t="shared" si="128"/>
        <v>3.5000000000000001E-3</v>
      </c>
      <c r="L574">
        <f t="shared" si="129"/>
        <v>0.02</v>
      </c>
      <c r="M574" s="4">
        <f t="shared" si="126"/>
        <v>2.8000000000000001E-2</v>
      </c>
      <c r="N574" s="4">
        <f t="shared" si="127"/>
        <v>0.16</v>
      </c>
    </row>
    <row r="575" spans="1:14">
      <c r="A575" t="str">
        <f t="shared" si="116"/>
        <v>MK|BR_CN|VDV_MN|NONE_YQ|19Q1Q4_CP|PO5020004141_SP|N/A_AC|DE_OB|ACQ_U1|DCM</v>
      </c>
      <c r="B575" t="str">
        <f t="shared" si="117"/>
        <v>Facebook</v>
      </c>
      <c r="C575" t="str">
        <f t="shared" si="118"/>
        <v>MK|BR_CH|PSD_DT|CROSS_PB|FCBK_FM|GIF_RT|CPM_PD|VDV-MERCHANT-DECOLAR_TG|NON_ST|NON_TS|NONE_SZ|1X1_AD|CM1_IT|SOC_U1|MONTANHA</v>
      </c>
      <c r="D575" t="str">
        <f t="shared" si="119"/>
        <v>253832700</v>
      </c>
      <c r="E575" t="str">
        <f t="shared" si="120"/>
        <v>Dynamic Click</v>
      </c>
      <c r="F575" t="str">
        <f t="shared" si="121"/>
        <v>MK|BR_CH|PSD_DT|CROSS_PB|FCBK_FM|GIF_RT|CPM_PD|VDV-MERCHANT-DECOLAR_TG|NON_ST|NON_TS|NONE_SZ|1X1_AD|CM1_IT|SOC_U1|MONTANHA</v>
      </c>
      <c r="G575" t="str">
        <f t="shared" si="122"/>
        <v>449743815</v>
      </c>
      <c r="H575" t="str">
        <f t="shared" si="123"/>
        <v>Tracking</v>
      </c>
      <c r="I575">
        <f t="shared" si="124"/>
        <v>0</v>
      </c>
      <c r="J575">
        <f t="shared" si="125"/>
        <v>36</v>
      </c>
      <c r="K575" s="4">
        <f t="shared" si="128"/>
        <v>3.5000000000000001E-3</v>
      </c>
      <c r="L575">
        <f t="shared" si="129"/>
        <v>0.02</v>
      </c>
      <c r="M575" s="4">
        <f t="shared" si="126"/>
        <v>0.126</v>
      </c>
      <c r="N575" s="4">
        <f t="shared" si="127"/>
        <v>0.72</v>
      </c>
    </row>
    <row r="576" spans="1:14">
      <c r="A576" t="str">
        <f t="shared" si="116"/>
        <v>MK|BR_CN|VDV_MN|NONE_YQ|19Q1Q4_CP|PO5020004141_SP|N/A_AC|DE_OB|ACQ_U1|DCM</v>
      </c>
      <c r="B576" t="str">
        <f t="shared" si="117"/>
        <v>Facebook</v>
      </c>
      <c r="C576" t="str">
        <f t="shared" si="118"/>
        <v>MK|BR_CH|PSD_DT|CROSS_PB|FCBK_FM|GIF_RT|CPM_PD|VDV-MERCHANT-DECOLAR_TG|NON_ST|NON_TS|NONE_SZ|1X1_AD|CM1_IT|SOC_U1|PISCINA_U2|OPORTUNIDADE</v>
      </c>
      <c r="D576" t="str">
        <f t="shared" si="119"/>
        <v>254746266</v>
      </c>
      <c r="E576" t="str">
        <f t="shared" si="120"/>
        <v>Dynamic Click</v>
      </c>
      <c r="F576" t="str">
        <f t="shared" si="121"/>
        <v>MK|BR_CH|PSD_DT|CROSS_PB|FCBK_FM|GIF_RT|CPM_PD|VDV-MERCHANT-DECOLAR_TG|NON_ST|NON_TS|NONE_SZ|1X1_AD|CM1_IT|SOC_U1|PISCINA_U2|OPORTUNIDADE</v>
      </c>
      <c r="G576" t="str">
        <f t="shared" si="122"/>
        <v>450673492</v>
      </c>
      <c r="H576" t="str">
        <f t="shared" si="123"/>
        <v>Tracking</v>
      </c>
      <c r="I576">
        <f t="shared" si="124"/>
        <v>0</v>
      </c>
      <c r="J576">
        <f t="shared" si="125"/>
        <v>884</v>
      </c>
      <c r="K576" s="4">
        <f t="shared" si="128"/>
        <v>3.5000000000000001E-3</v>
      </c>
      <c r="L576">
        <f t="shared" si="129"/>
        <v>0.02</v>
      </c>
      <c r="M576" s="4">
        <f t="shared" si="126"/>
        <v>3.0939999999999999</v>
      </c>
      <c r="N576" s="4">
        <f t="shared" si="127"/>
        <v>17.68</v>
      </c>
    </row>
    <row r="577" spans="1:14">
      <c r="A577" t="str">
        <f t="shared" si="116"/>
        <v>MK|BR_CN|VDV_MN|NONE_YQ|19Q1Q4_CP|PO5020004141_SP|N/A_AC|DE_OB|ACQ_U1|DCM</v>
      </c>
      <c r="B577" t="str">
        <f t="shared" si="117"/>
        <v>Facebook</v>
      </c>
      <c r="C577" t="str">
        <f t="shared" si="118"/>
        <v>MK|BR_CH|PSD_DT|CROSS_PB|FCBK_FM|GIF_RT|CPM_PD|VDV-MERCHANT-DECOLAR_TG|NON_ST|NON_TS|NONE_SZ|1X1_AD|CM1_IT|SOC_U1|PRAIA</v>
      </c>
      <c r="D577" t="str">
        <f t="shared" si="119"/>
        <v>253832712</v>
      </c>
      <c r="E577" t="str">
        <f t="shared" si="120"/>
        <v>Dynamic Click</v>
      </c>
      <c r="F577" t="str">
        <f t="shared" si="121"/>
        <v>MK|BR_CH|PSD_DT|CROSS_PB|FCBK_FM|GIF_RT|CPM_PD|VDV-MERCHANT-DECOLAR_TG|NON_ST|NON_TS|NONE_SZ|1X1_AD|CM1_IT|SOC_U1|PRAIA</v>
      </c>
      <c r="G577" t="str">
        <f t="shared" si="122"/>
        <v>449743788</v>
      </c>
      <c r="H577" t="str">
        <f t="shared" si="123"/>
        <v>Tracking</v>
      </c>
      <c r="I577">
        <f t="shared" si="124"/>
        <v>0</v>
      </c>
      <c r="J577">
        <f t="shared" si="125"/>
        <v>4765</v>
      </c>
      <c r="K577" s="4">
        <f t="shared" si="128"/>
        <v>3.5000000000000001E-3</v>
      </c>
      <c r="L577">
        <f t="shared" si="129"/>
        <v>0.02</v>
      </c>
      <c r="M577" s="4">
        <f t="shared" si="126"/>
        <v>16.677500000000002</v>
      </c>
      <c r="N577" s="4">
        <f t="shared" si="127"/>
        <v>95.3</v>
      </c>
    </row>
    <row r="578" spans="1:14">
      <c r="A578" t="str">
        <f t="shared" ref="A578:A641" si="130">bd_campaign</f>
        <v>MK|BR_CN|VDV_MN|NONE_YQ|19Q1Q4_CP|PO5020004141_SP|N/A_AC|DE_OB|ACQ_U1|DCM</v>
      </c>
      <c r="B578" t="str">
        <f t="shared" ref="B578:B641" si="131">bd_site</f>
        <v>Facebook</v>
      </c>
      <c r="C578" t="str">
        <f t="shared" ref="C578:C641" si="132">bd_placement</f>
        <v>MK|BR_CH|PSD_DT|CROSS_PB|FCBK_FM|GIF_RT|CPM_PD|VDV-MERCHANT-NETSHOES_TG|NON_ST|NON_TS|NONE_SZ|1X1_AD|CM1_IT|SOC_U1|FEMININO_U2|15OFF</v>
      </c>
      <c r="D578" t="str">
        <f t="shared" ref="D578:D641" si="133">bd_placementID</f>
        <v>254166003</v>
      </c>
      <c r="E578" t="str">
        <f t="shared" ref="E578:E641" si="134">VLOOKUP(CONCATENATE(bd_adtype,"_",bd_creativetype),tabela,2,FALSE)</f>
        <v>Dynamic Click</v>
      </c>
      <c r="F578" t="str">
        <f t="shared" ref="F578:F641" si="135">bd_ad</f>
        <v>MK|BR_CH|PSD_DT|CROSS_PB|FCBK_FM|GIF_RT|CPM_PD|VDV-MERCHANT-NETSHOES_TG|NON_ST|NON_TS|NONE_SZ|1X1_AD|CM1_IT|SOC_U1|FEMININO_U2|15OFF</v>
      </c>
      <c r="G578" t="str">
        <f t="shared" ref="G578:G641" si="136">bd_adid</f>
        <v>450146026</v>
      </c>
      <c r="H578" t="str">
        <f t="shared" ref="H578:H641" si="137">bd_creativetype</f>
        <v>Tracking</v>
      </c>
      <c r="I578">
        <f t="shared" ref="I578:I641" si="138">bd_impression</f>
        <v>0</v>
      </c>
      <c r="J578">
        <f t="shared" ref="J578:J641" si="139">bd_clicks</f>
        <v>551</v>
      </c>
      <c r="K578" s="4">
        <f t="shared" si="128"/>
        <v>3.5000000000000001E-3</v>
      </c>
      <c r="L578">
        <f t="shared" si="129"/>
        <v>0.02</v>
      </c>
      <c r="M578" s="4">
        <f t="shared" si="126"/>
        <v>1.9285000000000001</v>
      </c>
      <c r="N578" s="4">
        <f t="shared" si="127"/>
        <v>11.02</v>
      </c>
    </row>
    <row r="579" spans="1:14">
      <c r="A579" t="str">
        <f t="shared" si="130"/>
        <v>MK|BR_CN|VDV_MN|NONE_YQ|19Q1Q4_CP|PO5020004141_SP|N/A_AC|DE_OB|ACQ_U1|DCM</v>
      </c>
      <c r="B579" t="str">
        <f t="shared" si="131"/>
        <v>Facebook</v>
      </c>
      <c r="C579" t="str">
        <f t="shared" si="132"/>
        <v>MK|BR_CH|PSD_DT|CROSS_PB|FCBK_FM|GIF_RT|CPM_PD|VDV-PROMONACIONAL_TG|NON_ST|NON_TS|NONE_SZ|1X1_AD|CM1_IT|SOC_U1|CADASTRE-SE</v>
      </c>
      <c r="D579" t="str">
        <f t="shared" si="133"/>
        <v>249651991</v>
      </c>
      <c r="E579" t="str">
        <f t="shared" si="134"/>
        <v>Dynamic Click</v>
      </c>
      <c r="F579" t="str">
        <f t="shared" si="135"/>
        <v>MK|BR_CH|PSD_DT|CROSS_PB|FCBK_FM|GIF_RT|CPM_PD|VDV-PROMONACIONAL_TG|NON_ST|NON_TS|NONE_SZ|1X1_AD|CM1_IT|SOC_U1|CADASTRE-SE</v>
      </c>
      <c r="G579" t="str">
        <f t="shared" si="136"/>
        <v>445759974</v>
      </c>
      <c r="H579" t="str">
        <f t="shared" si="137"/>
        <v>Tracking</v>
      </c>
      <c r="I579">
        <f t="shared" si="138"/>
        <v>0</v>
      </c>
      <c r="J579">
        <f t="shared" si="139"/>
        <v>3</v>
      </c>
      <c r="K579" s="4">
        <f t="shared" si="128"/>
        <v>3.5000000000000001E-3</v>
      </c>
      <c r="L579">
        <f t="shared" si="129"/>
        <v>0.02</v>
      </c>
      <c r="M579" s="4">
        <f t="shared" si="126"/>
        <v>1.0500000000000001E-2</v>
      </c>
      <c r="N579" s="4">
        <f t="shared" si="127"/>
        <v>0.06</v>
      </c>
    </row>
    <row r="580" spans="1:14">
      <c r="A580" t="str">
        <f t="shared" si="130"/>
        <v>MK|BR_CN|VDV_MN|NONE_YQ|19Q1Q4_CP|PO5020004141_SP|N/A_AC|DE_OB|ACQ_U1|DCM</v>
      </c>
      <c r="B580" t="str">
        <f t="shared" si="131"/>
        <v>Facebook</v>
      </c>
      <c r="C580" t="str">
        <f t="shared" si="132"/>
        <v>MK|BR_CH|PSD_DT|CROSS_PB|FCBK_FM|GIF_RT|CPM_PD|VDV-PROMONACIONAL_TG|NON_ST|NON_TS|NONE_SZ|1X1_AD|CM1_IT|SOC_U1|CAMPING_U2|CADASTRE-SE</v>
      </c>
      <c r="D580" t="str">
        <f t="shared" si="133"/>
        <v>251011302</v>
      </c>
      <c r="E580" t="str">
        <f t="shared" si="134"/>
        <v>Dynamic Click</v>
      </c>
      <c r="F580" t="str">
        <f t="shared" si="135"/>
        <v>MK|BR_CH|PSD_DT|CROSS_PB|FCBK_FM|GIF_RT|CPM_PD|VDV-PROMONACIONAL_TG|NON_ST|NON_TS|NONE_SZ|1X1_AD|CM1_IT|SOC_U1|CAMPING_U2|CADASTRE-SE</v>
      </c>
      <c r="G580" t="str">
        <f t="shared" si="136"/>
        <v>447051956</v>
      </c>
      <c r="H580" t="str">
        <f t="shared" si="137"/>
        <v>Tracking</v>
      </c>
      <c r="I580">
        <f t="shared" si="138"/>
        <v>0</v>
      </c>
      <c r="J580">
        <f t="shared" si="139"/>
        <v>2</v>
      </c>
      <c r="K580" s="4">
        <f t="shared" si="128"/>
        <v>3.5000000000000001E-3</v>
      </c>
      <c r="L580">
        <f t="shared" si="129"/>
        <v>0.02</v>
      </c>
      <c r="M580" s="4">
        <f t="shared" si="126"/>
        <v>7.0000000000000001E-3</v>
      </c>
      <c r="N580" s="4">
        <f t="shared" si="127"/>
        <v>0.04</v>
      </c>
    </row>
    <row r="581" spans="1:14">
      <c r="A581" t="str">
        <f t="shared" si="130"/>
        <v>MK|BR_CN|VDV_MN|NONE_YQ|19Q1Q4_CP|PO5020004141_SP|N/A_AC|DE_OB|ACQ_U1|DCM</v>
      </c>
      <c r="B581" t="str">
        <f t="shared" si="131"/>
        <v>Facebook</v>
      </c>
      <c r="C581" t="str">
        <f t="shared" si="132"/>
        <v>MK|BR_CH|PSD_DT|CROSS_PB|FCBK_FM|GIF_RT|CPM_PD|VDV-PROMONACIONAL_TG|NON_ST|NON_TS|NONE_SZ|1X1_AD|CM1_IT|SOC_U1|CHANCECHANCE_U2|BASEVDV</v>
      </c>
      <c r="D581" t="str">
        <f t="shared" si="133"/>
        <v>255126051</v>
      </c>
      <c r="E581" t="str">
        <f t="shared" si="134"/>
        <v>Dynamic Click</v>
      </c>
      <c r="F581" t="str">
        <f t="shared" si="135"/>
        <v>MK|BR_CH|PSD_DT|CROSS_PB|FCBK_FM|GIF_RT|CPM_PD|VDV-PROMONACIONAL_TG|NON_ST|NON_TS|NONE_SZ|1X1_AD|CM1_IT|SOC_U1|CHANCECHANCE_U2|BASEVDV</v>
      </c>
      <c r="G581" t="str">
        <f t="shared" si="136"/>
        <v>450991811</v>
      </c>
      <c r="H581" t="str">
        <f t="shared" si="137"/>
        <v>Tracking</v>
      </c>
      <c r="I581">
        <f t="shared" si="138"/>
        <v>0</v>
      </c>
      <c r="J581">
        <f t="shared" si="139"/>
        <v>115</v>
      </c>
      <c r="K581" s="4">
        <f t="shared" si="128"/>
        <v>3.5000000000000001E-3</v>
      </c>
      <c r="L581">
        <f t="shared" si="129"/>
        <v>0.02</v>
      </c>
      <c r="M581" s="4">
        <f t="shared" si="126"/>
        <v>0.40250000000000002</v>
      </c>
      <c r="N581" s="4">
        <f t="shared" si="127"/>
        <v>2.3000000000000003</v>
      </c>
    </row>
    <row r="582" spans="1:14">
      <c r="A582" t="str">
        <f t="shared" si="130"/>
        <v>MK|BR_CN|VDV_MN|NONE_YQ|19Q1Q4_CP|PO5020004141_SP|N/A_AC|DE_OB|ACQ_U1|DCM</v>
      </c>
      <c r="B582" t="str">
        <f t="shared" si="131"/>
        <v>Facebook</v>
      </c>
      <c r="C582" t="str">
        <f t="shared" si="132"/>
        <v>MK|BR_CH|PSD_DT|CROSS_PB|FCBK_FM|GIF_RT|CPM_PD|VDV-PROMONACIONAL_TG|NON_ST|NON_TS|NONE_SZ|1X1_AD|CM1_IT|SOC_U1|CHANCECHANCE_U2|BASQUETE</v>
      </c>
      <c r="D582" t="str">
        <f t="shared" si="133"/>
        <v>254860518</v>
      </c>
      <c r="E582" t="str">
        <f t="shared" si="134"/>
        <v>Dynamic Click</v>
      </c>
      <c r="F582" t="str">
        <f t="shared" si="135"/>
        <v>MK|BR_CH|PSD_DT|CROSS_PB|FCBK_FM|GIF_RT|CPM_PD|VDV-PROMONACIONAL_TG|NON_ST|NON_TS|NONE_SZ|1X1_AD|CM1_IT|SOC_U1|CHANCECHANCE_U2|BASQUETE</v>
      </c>
      <c r="G582" t="str">
        <f t="shared" si="136"/>
        <v>450664551</v>
      </c>
      <c r="H582" t="str">
        <f t="shared" si="137"/>
        <v>Tracking</v>
      </c>
      <c r="I582">
        <f t="shared" si="138"/>
        <v>0</v>
      </c>
      <c r="J582">
        <f t="shared" si="139"/>
        <v>1153</v>
      </c>
      <c r="K582" s="4">
        <f t="shared" si="128"/>
        <v>3.5000000000000001E-3</v>
      </c>
      <c r="L582">
        <f t="shared" si="129"/>
        <v>0.02</v>
      </c>
      <c r="M582" s="4">
        <f t="shared" si="126"/>
        <v>4.0354999999999999</v>
      </c>
      <c r="N582" s="4">
        <f t="shared" si="127"/>
        <v>23.06</v>
      </c>
    </row>
    <row r="583" spans="1:14">
      <c r="A583" t="str">
        <f t="shared" si="130"/>
        <v>MK|BR_CN|VDV_MN|NONE_YQ|19Q1Q4_CP|PO5020004141_SP|N/A_AC|DE_OB|ACQ_U1|DCM</v>
      </c>
      <c r="B583" t="str">
        <f t="shared" si="131"/>
        <v>Facebook</v>
      </c>
      <c r="C583" t="str">
        <f t="shared" si="132"/>
        <v>MK|BR_CH|PSD_DT|CROSS_PB|FCBK_FM|GIF_RT|CPM_PD|VDV-PROMONACIONAL_TG|NON_ST|NON_TS|NONE_SZ|1X1_AD|CM1_IT|SOC_U1|GANHADORES</v>
      </c>
      <c r="D583" t="str">
        <f t="shared" si="133"/>
        <v>253118213</v>
      </c>
      <c r="E583" t="str">
        <f t="shared" si="134"/>
        <v>Dynamic Click</v>
      </c>
      <c r="F583" t="str">
        <f t="shared" si="135"/>
        <v>MK|BR_CH|PSD_DT|CROSS_PB|FCBK_FM|GIF_RT|CPM_PD|VDV-PROMONACIONAL_TG|NON_ST|NON_TS|NONE_SZ|1X1_AD|CM1_IT|SOC_U1|GANHADORES</v>
      </c>
      <c r="G583" t="str">
        <f t="shared" si="136"/>
        <v>449464854</v>
      </c>
      <c r="H583" t="str">
        <f t="shared" si="137"/>
        <v>Tracking</v>
      </c>
      <c r="I583">
        <f t="shared" si="138"/>
        <v>0</v>
      </c>
      <c r="J583">
        <f t="shared" si="139"/>
        <v>292</v>
      </c>
      <c r="K583" s="4">
        <f t="shared" si="128"/>
        <v>3.5000000000000001E-3</v>
      </c>
      <c r="L583">
        <f t="shared" si="129"/>
        <v>0.02</v>
      </c>
      <c r="M583" s="4">
        <f t="shared" si="126"/>
        <v>1.022</v>
      </c>
      <c r="N583" s="4">
        <f t="shared" si="127"/>
        <v>5.84</v>
      </c>
    </row>
    <row r="584" spans="1:14">
      <c r="A584" t="str">
        <f t="shared" si="130"/>
        <v>MK|BR_CN|VDV_MN|NONE_YQ|19Q1Q4_CP|PO5020004141_SP|N/A_AC|DE_OB|ACQ_U1|DCM</v>
      </c>
      <c r="B584" t="str">
        <f t="shared" si="131"/>
        <v>Facebook</v>
      </c>
      <c r="C584" t="str">
        <f t="shared" si="132"/>
        <v>MK|BR_CH|PSD_DT|CROSS_PB|FCBK_FM|GIF_RT|CPM_PD|VDV-PROMONACIONAL_TG|NON_ST|NON_TS|NONE_SZ|1X1_AD|CM1_IT|SOC_U1|GANHADORESATUALIZADOS</v>
      </c>
      <c r="D584" t="str">
        <f t="shared" si="133"/>
        <v>256237882</v>
      </c>
      <c r="E584" t="str">
        <f t="shared" si="134"/>
        <v>Dynamic Click</v>
      </c>
      <c r="F584" t="str">
        <f t="shared" si="135"/>
        <v>MK|BR_CH|PSD_DT|CROSS_PB|FCBK_FM|GIF_RT|CPM_PD|VDV-PROMONACIONAL_TG|NON_ST|NON_TS|NONE_SZ|1X1_AD|CM1_IT|SOC_U1|GANHADORESATUALIZADOS</v>
      </c>
      <c r="G584" t="str">
        <f t="shared" si="136"/>
        <v>452167463</v>
      </c>
      <c r="H584" t="str">
        <f t="shared" si="137"/>
        <v>Tracking</v>
      </c>
      <c r="I584">
        <f t="shared" si="138"/>
        <v>0</v>
      </c>
      <c r="J584">
        <f t="shared" si="139"/>
        <v>12658</v>
      </c>
      <c r="K584" s="4">
        <f t="shared" si="128"/>
        <v>3.5000000000000001E-3</v>
      </c>
      <c r="L584">
        <f t="shared" si="129"/>
        <v>0.02</v>
      </c>
      <c r="M584" s="4">
        <f t="shared" si="126"/>
        <v>44.303000000000004</v>
      </c>
      <c r="N584" s="4">
        <f t="shared" si="127"/>
        <v>253.16</v>
      </c>
    </row>
    <row r="585" spans="1:14">
      <c r="A585" t="str">
        <f t="shared" si="130"/>
        <v>MK|BR_CN|VDV_MN|NONE_YQ|19Q1Q4_CP|PO5020004141_SP|N/A_AC|DE_OB|ACQ_U1|DCM</v>
      </c>
      <c r="B585" t="str">
        <f t="shared" si="131"/>
        <v>Facebook</v>
      </c>
      <c r="C585" t="str">
        <f t="shared" si="132"/>
        <v>MK|BR_CH|PSD_DT|CROSS_PB|FCBK_FM|GIF_RT|CPM_PD|VDV-PROMONACIONAL_TG|NON_ST|NON_TS|NONE_SZ|1X1_AD|CM1_IT|SOC_U1|PARTICIPE_U2|PAGUECOMVISA</v>
      </c>
      <c r="D585" t="str">
        <f t="shared" si="133"/>
        <v>252515498</v>
      </c>
      <c r="E585" t="str">
        <f t="shared" si="134"/>
        <v>Dynamic Click</v>
      </c>
      <c r="F585" t="str">
        <f t="shared" si="135"/>
        <v>MK|BR_CH|PSD_DT|CROSS_PB|FCBK_FM|GIF_RT|CPM_PD|VDV-PROMONACIONAL_TG|NON_ST|NON_TS|NONE_SZ|1X1_AD|CM1_IT|SOC_U1|PARTICIPE_U2|PAGUECOMVISA</v>
      </c>
      <c r="G585" t="str">
        <f t="shared" si="136"/>
        <v>448888946</v>
      </c>
      <c r="H585" t="str">
        <f t="shared" si="137"/>
        <v>Tracking</v>
      </c>
      <c r="I585">
        <f t="shared" si="138"/>
        <v>0</v>
      </c>
      <c r="J585">
        <f t="shared" si="139"/>
        <v>1</v>
      </c>
      <c r="K585" s="4">
        <f t="shared" si="128"/>
        <v>3.5000000000000001E-3</v>
      </c>
      <c r="L585">
        <f t="shared" si="129"/>
        <v>0.02</v>
      </c>
      <c r="M585" s="4">
        <f t="shared" si="126"/>
        <v>3.5000000000000001E-3</v>
      </c>
      <c r="N585" s="4">
        <f t="shared" si="127"/>
        <v>0.02</v>
      </c>
    </row>
    <row r="586" spans="1:14">
      <c r="A586" t="str">
        <f t="shared" si="130"/>
        <v>MK|BR_CN|VDV_MN|NONE_YQ|19Q1Q4_CP|PO5020004141_SP|N/A_AC|DE_OB|ACQ_U1|DCM</v>
      </c>
      <c r="B586" t="str">
        <f t="shared" si="131"/>
        <v>Facebook</v>
      </c>
      <c r="C586" t="str">
        <f t="shared" si="132"/>
        <v>MK|BR_CH|PSD_DT|CROSS_PB|FCBK_FM|GIF_RT|CPM_PD|VDV-PROMONACIONAL_TG|NON_ST|NON_TS|NONE_SZ|1X1_AD|CM1_IT|SOC_U1|PRAIA_U2|PARTICIPE</v>
      </c>
      <c r="D586" t="str">
        <f t="shared" si="133"/>
        <v>251011278</v>
      </c>
      <c r="E586" t="str">
        <f t="shared" si="134"/>
        <v>Dynamic Click</v>
      </c>
      <c r="F586" t="str">
        <f t="shared" si="135"/>
        <v>MK|BR_CH|PSD_DT|CROSS_PB|FCBK_FM|GIF_RT|CPM_PD|VDV-PROMONACIONAL_TG|NON_ST|NON_TS|NONE_SZ|1X1_AD|CM1_IT|SOC_U1|PRAIA_U2|PARTICIPE</v>
      </c>
      <c r="G586" t="str">
        <f t="shared" si="136"/>
        <v>447051932</v>
      </c>
      <c r="H586" t="str">
        <f t="shared" si="137"/>
        <v>Tracking</v>
      </c>
      <c r="I586">
        <f t="shared" si="138"/>
        <v>0</v>
      </c>
      <c r="J586">
        <f t="shared" si="139"/>
        <v>1</v>
      </c>
      <c r="K586" s="4">
        <f t="shared" si="128"/>
        <v>3.5000000000000001E-3</v>
      </c>
      <c r="L586">
        <f t="shared" si="129"/>
        <v>0.02</v>
      </c>
      <c r="M586" s="4">
        <f t="shared" si="126"/>
        <v>3.5000000000000001E-3</v>
      </c>
      <c r="N586" s="4">
        <f t="shared" si="127"/>
        <v>0.02</v>
      </c>
    </row>
    <row r="587" spans="1:14">
      <c r="A587" t="str">
        <f t="shared" si="130"/>
        <v>MK|BR_CN|VDV_MN|NONE_YQ|19Q1Q4_CP|PO5020004141_SP|N/A_AC|DE_OB|ACQ_U1|DCM</v>
      </c>
      <c r="B587" t="str">
        <f t="shared" si="131"/>
        <v>Facebook</v>
      </c>
      <c r="C587" t="str">
        <f t="shared" si="132"/>
        <v>MK|BR_CH|PSD_DT|CROSS_PB|FCBK_FM|GIF_RT|CPM_PD|VDV-PROMONACIONAL_TG|NON_ST|NON_TS|NONE_SZ|1X1_AD|CM1_IT|SOC_U1|SEMANADOBRASIL</v>
      </c>
      <c r="D587" t="str">
        <f t="shared" si="133"/>
        <v>254925733</v>
      </c>
      <c r="E587" t="str">
        <f t="shared" si="134"/>
        <v>Dynamic Click</v>
      </c>
      <c r="F587" t="str">
        <f t="shared" si="135"/>
        <v>MK|BR_CH|PSD_DT|CROSS_PB|FCBK_FM|GIF_RT|CPM_PD|VDV-PROMONACIONAL_TG|NON_ST|NON_TS|NONE_SZ|1X1_AD|CM1_IT|SOC_U1|SEMANADOBRASIL</v>
      </c>
      <c r="G587" t="str">
        <f t="shared" si="136"/>
        <v>450914879</v>
      </c>
      <c r="H587" t="str">
        <f t="shared" si="137"/>
        <v>Tracking</v>
      </c>
      <c r="I587">
        <f t="shared" si="138"/>
        <v>0</v>
      </c>
      <c r="J587">
        <f t="shared" si="139"/>
        <v>36776</v>
      </c>
      <c r="K587" s="4">
        <f t="shared" si="128"/>
        <v>3.5000000000000001E-3</v>
      </c>
      <c r="L587">
        <f t="shared" si="129"/>
        <v>0.02</v>
      </c>
      <c r="M587" s="4">
        <f t="shared" si="126"/>
        <v>128.71600000000001</v>
      </c>
      <c r="N587" s="4">
        <f t="shared" si="127"/>
        <v>735.52</v>
      </c>
    </row>
    <row r="588" spans="1:14">
      <c r="A588" t="str">
        <f t="shared" si="130"/>
        <v>MK|BR_CN|VDV_MN|NONE_YQ|19Q1Q4_CP|PO5020004141_SP|N/A_AC|DE_OB|ACQ_U1|DCM</v>
      </c>
      <c r="B588" t="str">
        <f t="shared" si="131"/>
        <v>Facebook</v>
      </c>
      <c r="C588" t="str">
        <f t="shared" si="132"/>
        <v>MK|BR_CH|PSD_DT|CROSS_PB|FCBK_FM|LNK_RT|CPM_PD|IQ360_TG|NON_ST|NON_TS|NONE_SZ|1X1_AD|CM1_IT|SOC_U1|ADESAO</v>
      </c>
      <c r="D588" t="str">
        <f t="shared" si="133"/>
        <v>255642634</v>
      </c>
      <c r="E588" t="str">
        <f t="shared" si="134"/>
        <v>Dynamic Click</v>
      </c>
      <c r="F588" t="str">
        <f t="shared" si="135"/>
        <v>MK|BR_CH|PSD_DT|CROSS_PB|FCBK_FM|LNK_RT|CPM_PD|IQ360_TG|NON_ST|NON_TS|NONE_SZ|1X1_AD|CM1_IT|SOC_U1|ADESAO</v>
      </c>
      <c r="G588" t="str">
        <f t="shared" si="136"/>
        <v>451570686</v>
      </c>
      <c r="H588" t="str">
        <f t="shared" si="137"/>
        <v>Tracking</v>
      </c>
      <c r="I588">
        <f t="shared" si="138"/>
        <v>0</v>
      </c>
      <c r="J588">
        <f t="shared" si="139"/>
        <v>1</v>
      </c>
      <c r="K588" s="4">
        <f t="shared" si="128"/>
        <v>3.5000000000000001E-3</v>
      </c>
      <c r="L588">
        <f t="shared" si="129"/>
        <v>0.02</v>
      </c>
      <c r="M588" s="4">
        <f t="shared" si="126"/>
        <v>3.5000000000000001E-3</v>
      </c>
      <c r="N588" s="4">
        <f t="shared" si="127"/>
        <v>0.02</v>
      </c>
    </row>
    <row r="589" spans="1:14">
      <c r="A589" t="str">
        <f t="shared" si="130"/>
        <v>MK|BR_CN|VDV_MN|NONE_YQ|19Q1Q4_CP|PO5020004141_SP|N/A_AC|DE_OB|ACQ_U1|DCM</v>
      </c>
      <c r="B589" t="str">
        <f t="shared" si="131"/>
        <v>Facebook</v>
      </c>
      <c r="C589" t="str">
        <f t="shared" si="132"/>
        <v>MK|BR_CH|PSD_DT|CROSS_PB|FCBK_FM|LNK_RT|CPM_PD|VCO-MERCHANT-GPA_TG|NON_ST|NON_TS|NONE_SZ|1X1_AD|CM1_IT|SOC_U1|PAIEFILHA</v>
      </c>
      <c r="D589" t="str">
        <f t="shared" si="133"/>
        <v>254095839</v>
      </c>
      <c r="E589" t="str">
        <f t="shared" si="134"/>
        <v>Dynamic Click</v>
      </c>
      <c r="F589" t="str">
        <f t="shared" si="135"/>
        <v>MK|BR_CH|PSD_DT|CROSS_PB|FCBK_FM|LNK_RT|CPM_PD|VCO-MERCHANT-GPA_TG|NON_ST|NON_TS|NONE_SZ|1X1_AD|CM1_IT|SOC_U1|PAIEFILHA</v>
      </c>
      <c r="G589" t="str">
        <f t="shared" si="136"/>
        <v>450078166</v>
      </c>
      <c r="H589" t="str">
        <f t="shared" si="137"/>
        <v>Tracking</v>
      </c>
      <c r="I589">
        <f t="shared" si="138"/>
        <v>0</v>
      </c>
      <c r="J589">
        <f t="shared" si="139"/>
        <v>13610</v>
      </c>
      <c r="K589" s="4">
        <f t="shared" si="128"/>
        <v>3.5000000000000001E-3</v>
      </c>
      <c r="L589">
        <f t="shared" si="129"/>
        <v>0.02</v>
      </c>
      <c r="M589" s="4">
        <f t="shared" si="126"/>
        <v>47.634999999999998</v>
      </c>
      <c r="N589" s="4">
        <f t="shared" si="127"/>
        <v>272.2</v>
      </c>
    </row>
    <row r="590" spans="1:14">
      <c r="A590" t="str">
        <f t="shared" si="130"/>
        <v>MK|BR_CN|VDV_MN|NONE_YQ|19Q1Q4_CP|PO5020004141_SP|N/A_AC|DE_OB|ACQ_U1|DCM</v>
      </c>
      <c r="B590" t="str">
        <f t="shared" si="131"/>
        <v>Facebook</v>
      </c>
      <c r="C590" t="str">
        <f t="shared" si="132"/>
        <v>MK|BR_CH|PSD_DT|CROSS_PB|FCBK_FM|LNK_RT|CPM_PD|VDV-MERCHANT-DECOLAR_TG|NON_ST|NON_TS|NONE_SZ|1X1_AD|CM1_IT|SOC</v>
      </c>
      <c r="D590" t="str">
        <f t="shared" si="133"/>
        <v>235541867</v>
      </c>
      <c r="E590" t="str">
        <f t="shared" si="134"/>
        <v>Dynamic Click</v>
      </c>
      <c r="F590" t="str">
        <f t="shared" si="135"/>
        <v>MK|BR_CH|PSD_DT|CROSS_PB|FCBK_FM|LNK_RT|CPM_PD|VDV-MERCHANT-DECOLAR_TG|NON_ST|NON_TS|NONE_SZ|1X1_AD|CM1_IT|SOC</v>
      </c>
      <c r="G590" t="str">
        <f t="shared" si="136"/>
        <v>433254913</v>
      </c>
      <c r="H590" t="str">
        <f t="shared" si="137"/>
        <v>Tracking</v>
      </c>
      <c r="I590">
        <f t="shared" si="138"/>
        <v>0</v>
      </c>
      <c r="J590">
        <f t="shared" si="139"/>
        <v>1</v>
      </c>
      <c r="K590" s="4">
        <f t="shared" si="128"/>
        <v>3.5000000000000001E-3</v>
      </c>
      <c r="L590">
        <f t="shared" si="129"/>
        <v>0.02</v>
      </c>
      <c r="M590" s="4">
        <f t="shared" si="126"/>
        <v>3.5000000000000001E-3</v>
      </c>
      <c r="N590" s="4">
        <f t="shared" si="127"/>
        <v>0.02</v>
      </c>
    </row>
    <row r="591" spans="1:14">
      <c r="A591" t="str">
        <f t="shared" si="130"/>
        <v>MK|BR_CN|VDV_MN|NONE_YQ|19Q1Q4_CP|PO5020004141_SP|N/A_AC|DE_OB|ACQ_U1|DCM</v>
      </c>
      <c r="B591" t="str">
        <f t="shared" si="131"/>
        <v>Facebook</v>
      </c>
      <c r="C591" t="str">
        <f t="shared" si="132"/>
        <v>MK|BR_CH|PSD_DT|CROSS_PB|FCBK_FM|LNK_RT|CPM_PD|VDV-MERCHANT-DECOLAR_TG|NON_ST|NON_TS|NONE_SZ|1X1_AD|CM1_IT|SOC_U1|CAMPO</v>
      </c>
      <c r="D591" t="str">
        <f t="shared" si="133"/>
        <v>245600986</v>
      </c>
      <c r="E591" t="str">
        <f t="shared" si="134"/>
        <v>Dynamic Click</v>
      </c>
      <c r="F591" t="str">
        <f t="shared" si="135"/>
        <v>MK|BR_CH|PSD_DT|CROSS_PB|FCBK_FM|LNK_RT|CPM_PD|VDV-MERCHANT-DECOLAR_TG|NON_ST|NON_TS|NONE_SZ|1X1_AD|CM1_IT|SOC_U1|CAMPO</v>
      </c>
      <c r="G591" t="str">
        <f t="shared" si="136"/>
        <v>442156437</v>
      </c>
      <c r="H591" t="str">
        <f t="shared" si="137"/>
        <v>Tracking</v>
      </c>
      <c r="I591">
        <f t="shared" si="138"/>
        <v>0</v>
      </c>
      <c r="J591">
        <f t="shared" si="139"/>
        <v>1</v>
      </c>
      <c r="K591" s="4">
        <f t="shared" si="128"/>
        <v>3.5000000000000001E-3</v>
      </c>
      <c r="L591">
        <f t="shared" si="129"/>
        <v>0.02</v>
      </c>
      <c r="M591" s="4">
        <f t="shared" si="126"/>
        <v>3.5000000000000001E-3</v>
      </c>
      <c r="N591" s="4">
        <f t="shared" si="127"/>
        <v>0.02</v>
      </c>
    </row>
    <row r="592" spans="1:14">
      <c r="A592" t="str">
        <f t="shared" si="130"/>
        <v>MK|BR_CN|VDV_MN|NONE_YQ|19Q1Q4_CP|PO5020004141_SP|N/A_AC|DE_OB|ACQ_U1|DCM</v>
      </c>
      <c r="B592" t="str">
        <f t="shared" si="131"/>
        <v>Facebook</v>
      </c>
      <c r="C592" t="str">
        <f t="shared" si="132"/>
        <v>MK|BR_CH|PSD_DT|CROSS_PB|FCBK_FM|LNK_RT|CPM_PD|VDV-MERCHANT-DECOLAR_TG|NON_ST|NON_TS|NONE_SZ|1X1_AD|CM1_IT|SOC_U1|MAR</v>
      </c>
      <c r="D592" t="str">
        <f t="shared" si="133"/>
        <v>245601013</v>
      </c>
      <c r="E592" t="str">
        <f t="shared" si="134"/>
        <v>Dynamic Click</v>
      </c>
      <c r="F592" t="str">
        <f t="shared" si="135"/>
        <v>MK|BR_CH|PSD_DT|CROSS_PB|FCBK_FM|LNK_RT|CPM_PD|VDV-MERCHANT-DECOLAR_TG|NON_ST|NON_TS|NONE_SZ|1X1_AD|CM1_IT|SOC_U1|MAR</v>
      </c>
      <c r="G592" t="str">
        <f t="shared" si="136"/>
        <v>442156464</v>
      </c>
      <c r="H592" t="str">
        <f t="shared" si="137"/>
        <v>Tracking</v>
      </c>
      <c r="I592">
        <f t="shared" si="138"/>
        <v>0</v>
      </c>
      <c r="J592">
        <f t="shared" si="139"/>
        <v>1</v>
      </c>
      <c r="K592" s="4">
        <f t="shared" si="128"/>
        <v>3.5000000000000001E-3</v>
      </c>
      <c r="L592">
        <f t="shared" si="129"/>
        <v>0.02</v>
      </c>
      <c r="M592" s="4">
        <f t="shared" si="126"/>
        <v>3.5000000000000001E-3</v>
      </c>
      <c r="N592" s="4">
        <f t="shared" si="127"/>
        <v>0.02</v>
      </c>
    </row>
    <row r="593" spans="1:14">
      <c r="A593" t="str">
        <f t="shared" si="130"/>
        <v>MK|BR_CN|VDV_MN|NONE_YQ|19Q1Q4_CP|PO5020004141_SP|N/A_AC|DE_OB|ACQ_U1|DCM</v>
      </c>
      <c r="B593" t="str">
        <f t="shared" si="131"/>
        <v>Facebook</v>
      </c>
      <c r="C593" t="str">
        <f t="shared" si="132"/>
        <v>MK|BR_CH|PSD_DT|CROSS_PB|FCBK_FM|LNK_RT|CPM_PD|VDV-MERCHANT-DECOLAR_TG|NON_ST|NON_TS|NONE_SZ|1X1_AD|CM1_IT|SOC_U1|MONTANHA</v>
      </c>
      <c r="D593" t="str">
        <f t="shared" si="133"/>
        <v>253832706</v>
      </c>
      <c r="E593" t="str">
        <f t="shared" si="134"/>
        <v>Dynamic Click</v>
      </c>
      <c r="F593" t="str">
        <f t="shared" si="135"/>
        <v>MK|BR_CH|PSD_DT|CROSS_PB|FCBK_FM|LNK_RT|CPM_PD|VDV-MERCHANT-DECOLAR_TG|NON_ST|NON_TS|NONE_SZ|1X1_AD|CM1_IT|SOC_U1|MONTANHA</v>
      </c>
      <c r="G593" t="str">
        <f t="shared" si="136"/>
        <v>449743800</v>
      </c>
      <c r="H593" t="str">
        <f t="shared" si="137"/>
        <v>Tracking</v>
      </c>
      <c r="I593">
        <f t="shared" si="138"/>
        <v>0</v>
      </c>
      <c r="J593">
        <f t="shared" si="139"/>
        <v>793</v>
      </c>
      <c r="K593" s="4">
        <f t="shared" si="128"/>
        <v>3.5000000000000001E-3</v>
      </c>
      <c r="L593">
        <f t="shared" si="129"/>
        <v>0.02</v>
      </c>
      <c r="M593" s="4">
        <f t="shared" si="126"/>
        <v>2.7755000000000001</v>
      </c>
      <c r="N593" s="4">
        <f t="shared" si="127"/>
        <v>15.860000000000001</v>
      </c>
    </row>
    <row r="594" spans="1:14">
      <c r="A594" t="str">
        <f t="shared" si="130"/>
        <v>MK|BR_CN|VDV_MN|NONE_YQ|19Q1Q4_CP|PO5020004141_SP|N/A_AC|DE_OB|ACQ_U1|DCM</v>
      </c>
      <c r="B594" t="str">
        <f t="shared" si="131"/>
        <v>Facebook</v>
      </c>
      <c r="C594" t="str">
        <f t="shared" si="132"/>
        <v>MK|BR_CH|PSD_DT|CROSS_PB|FCBK_FM|LNK_RT|CPM_PD|VDV-MERCHANT-DECOLAR_TG|NON_ST|NON_TS|NONE_SZ|1X1_AD|CM1_IT|SOC_U1|PISCINA_U2|OPORTUNIDADE</v>
      </c>
      <c r="D594" t="str">
        <f t="shared" si="133"/>
        <v>254745531</v>
      </c>
      <c r="E594" t="str">
        <f t="shared" si="134"/>
        <v>Dynamic Click</v>
      </c>
      <c r="F594" t="str">
        <f t="shared" si="135"/>
        <v>MK|BR_CH|PSD_DT|CROSS_PB|FCBK_FM|LNK_RT|CPM_PD|VDV-MERCHANT-DECOLAR_TG|NON_ST|NON_TS|NONE_SZ|1X1_AD|CM1_IT|SOC_U1|PISCINA_U2|OPORTUNIDADE</v>
      </c>
      <c r="G594" t="str">
        <f t="shared" si="136"/>
        <v>450614660</v>
      </c>
      <c r="H594" t="str">
        <f t="shared" si="137"/>
        <v>Tracking</v>
      </c>
      <c r="I594">
        <f t="shared" si="138"/>
        <v>0</v>
      </c>
      <c r="J594">
        <f t="shared" si="139"/>
        <v>1054</v>
      </c>
      <c r="K594" s="4">
        <f t="shared" si="128"/>
        <v>3.5000000000000001E-3</v>
      </c>
      <c r="L594">
        <f t="shared" si="129"/>
        <v>0.02</v>
      </c>
      <c r="M594" s="4">
        <f t="shared" si="126"/>
        <v>3.6890000000000001</v>
      </c>
      <c r="N594" s="4">
        <f t="shared" si="127"/>
        <v>21.080000000000002</v>
      </c>
    </row>
    <row r="595" spans="1:14">
      <c r="A595" t="str">
        <f t="shared" si="130"/>
        <v>MK|BR_CN|VDV_MN|NONE_YQ|19Q1Q4_CP|PO5020004141_SP|N/A_AC|DE_OB|ACQ_U1|DCM</v>
      </c>
      <c r="B595" t="str">
        <f t="shared" si="131"/>
        <v>Facebook</v>
      </c>
      <c r="C595" t="str">
        <f t="shared" si="132"/>
        <v>MK|BR_CH|PSD_DT|CROSS_PB|FCBK_FM|LNK_RT|CPM_PD|VDV-MERCHANT-DECOLAR_TG|NON_ST|NON_TS|NONE_SZ|1X1_AD|CM1_IT|SOC_U1|PRAIA</v>
      </c>
      <c r="D595" t="str">
        <f t="shared" si="133"/>
        <v>253832718</v>
      </c>
      <c r="E595" t="str">
        <f t="shared" si="134"/>
        <v>Dynamic Click</v>
      </c>
      <c r="F595" t="str">
        <f t="shared" si="135"/>
        <v>MK|BR_CH|PSD_DT|CROSS_PB|FCBK_FM|LNK_RT|CPM_PD|VDV-MERCHANT-DECOLAR_TG|NON_ST|NON_TS|NONE_SZ|1X1_AD|CM1_IT|SOC_U1|PRAIA</v>
      </c>
      <c r="G595" t="str">
        <f t="shared" si="136"/>
        <v>449743779</v>
      </c>
      <c r="H595" t="str">
        <f t="shared" si="137"/>
        <v>Tracking</v>
      </c>
      <c r="I595">
        <f t="shared" si="138"/>
        <v>0</v>
      </c>
      <c r="J595">
        <f t="shared" si="139"/>
        <v>2246</v>
      </c>
      <c r="K595" s="4">
        <f t="shared" si="128"/>
        <v>3.5000000000000001E-3</v>
      </c>
      <c r="L595">
        <f t="shared" si="129"/>
        <v>0.02</v>
      </c>
      <c r="M595" s="4">
        <f t="shared" si="126"/>
        <v>7.8609999999999998</v>
      </c>
      <c r="N595" s="4">
        <f t="shared" si="127"/>
        <v>44.92</v>
      </c>
    </row>
    <row r="596" spans="1:14">
      <c r="A596" t="str">
        <f t="shared" si="130"/>
        <v>MK|BR_CN|VDV_MN|NONE_YQ|19Q1Q4_CP|PO5020004141_SP|N/A_AC|DE_OB|ACQ_U1|DCM</v>
      </c>
      <c r="B596" t="str">
        <f t="shared" si="131"/>
        <v>Facebook</v>
      </c>
      <c r="C596" t="str">
        <f t="shared" si="132"/>
        <v>MK|BR_CH|PSD_DT|CROSS_PB|FCBK_FM|LNK_RT|CPM_PD|VDV-MERCHANT-DECOLAR_TG|NON_ST|NON_TS|NONE_SZ|1X1_AD|CM1_IT|SOC_U1|PREDIOS</v>
      </c>
      <c r="D596" t="str">
        <f t="shared" si="133"/>
        <v>245600938</v>
      </c>
      <c r="E596" t="str">
        <f t="shared" si="134"/>
        <v>Dynamic Click</v>
      </c>
      <c r="F596" t="str">
        <f t="shared" si="135"/>
        <v>MK|BR_CH|PSD_DT|CROSS_PB|FCBK_FM|LNK_RT|CPM_PD|VDV-MERCHANT-DECOLAR_TG|NON_ST|NON_TS|NONE_SZ|1X1_AD|CM1_IT|SOC_U1|PREDIOS</v>
      </c>
      <c r="G596" t="str">
        <f t="shared" si="136"/>
        <v>442155900</v>
      </c>
      <c r="H596" t="str">
        <f t="shared" si="137"/>
        <v>Tracking</v>
      </c>
      <c r="I596">
        <f t="shared" si="138"/>
        <v>0</v>
      </c>
      <c r="J596">
        <f t="shared" si="139"/>
        <v>1</v>
      </c>
      <c r="K596" s="4">
        <f t="shared" si="128"/>
        <v>3.5000000000000001E-3</v>
      </c>
      <c r="L596">
        <f t="shared" si="129"/>
        <v>0.02</v>
      </c>
      <c r="M596" s="4">
        <f t="shared" si="126"/>
        <v>3.5000000000000001E-3</v>
      </c>
      <c r="N596" s="4">
        <f t="shared" si="127"/>
        <v>0.02</v>
      </c>
    </row>
    <row r="597" spans="1:14">
      <c r="A597" t="str">
        <f t="shared" si="130"/>
        <v>MK|BR_CN|VDV_MN|NONE_YQ|19Q1Q4_CP|PO5020004141_SP|N/A_AC|DE_OB|ACQ_U1|DCM</v>
      </c>
      <c r="B597" t="str">
        <f t="shared" si="131"/>
        <v>Facebook</v>
      </c>
      <c r="C597" t="str">
        <f t="shared" si="132"/>
        <v>MK|BR_CH|PSD_DT|CROSS_PB|FCBK_FM|LNK_RT|CPM_PD|VDV-MERCHANT-MOVIDA_TG|NON_ST|NON_TS|NONE_SZ|1X1_AD|CM1_IT|SOC_U1|25OFF_U2|QUADRADO</v>
      </c>
      <c r="D597" t="str">
        <f t="shared" si="133"/>
        <v>256167690</v>
      </c>
      <c r="E597" t="str">
        <f t="shared" si="134"/>
        <v>Dynamic Click</v>
      </c>
      <c r="F597" t="str">
        <f t="shared" si="135"/>
        <v>MK|BR_CH|PSD_DT|CROSS_PB|FCBK_FM|LNK_RT|CPM_PD|VDV-MERCHANT-MOVIDA_TG|NON_ST|NON_TS|NONE_SZ|1X1_AD|CM1_IT|SOC_U1|25OFF_U2|QUADRADO</v>
      </c>
      <c r="G597" t="str">
        <f t="shared" si="136"/>
        <v>451881489</v>
      </c>
      <c r="H597" t="str">
        <f t="shared" si="137"/>
        <v>Tracking</v>
      </c>
      <c r="I597">
        <f t="shared" si="138"/>
        <v>0</v>
      </c>
      <c r="J597">
        <f t="shared" si="139"/>
        <v>792</v>
      </c>
      <c r="K597" s="4">
        <f t="shared" si="128"/>
        <v>3.5000000000000001E-3</v>
      </c>
      <c r="L597">
        <f t="shared" si="129"/>
        <v>0.02</v>
      </c>
      <c r="M597" s="4">
        <f t="shared" si="126"/>
        <v>2.7720000000000002</v>
      </c>
      <c r="N597" s="4">
        <f t="shared" si="127"/>
        <v>15.84</v>
      </c>
    </row>
    <row r="598" spans="1:14">
      <c r="A598" t="str">
        <f t="shared" si="130"/>
        <v>MK|BR_CN|VDV_MN|NONE_YQ|19Q1Q4_CP|PO5020004141_SP|N/A_AC|DE_OB|ACQ_U1|DCM</v>
      </c>
      <c r="B598" t="str">
        <f t="shared" si="131"/>
        <v>Facebook</v>
      </c>
      <c r="C598" t="str">
        <f t="shared" si="132"/>
        <v>MK|BR_CH|PSD_DT|CROSS_PB|FCBK_FM|LNK_RT|CPM_PD|VDV-MERCHANT-MOVIDA_TG|NON_ST|NON_TS|NONE_SZ|1X1_AD|CM1_IT|SOC_U1|25OFF_U2|RETANGULAR</v>
      </c>
      <c r="D598" t="str">
        <f t="shared" si="133"/>
        <v>256167693</v>
      </c>
      <c r="E598" t="str">
        <f t="shared" si="134"/>
        <v>Dynamic Click</v>
      </c>
      <c r="F598" t="str">
        <f t="shared" si="135"/>
        <v>MK|BR_CH|PSD_DT|CROSS_PB|FCBK_FM|LNK_RT|CPM_PD|VDV-MERCHANT-MOVIDA_TG|NON_ST|NON_TS|NONE_SZ|1X1_AD|CM1_IT|SOC_U1|25OFF_U2|RETANGULAR</v>
      </c>
      <c r="G598" t="str">
        <f t="shared" si="136"/>
        <v>451881492</v>
      </c>
      <c r="H598" t="str">
        <f t="shared" si="137"/>
        <v>Tracking</v>
      </c>
      <c r="I598">
        <f t="shared" si="138"/>
        <v>0</v>
      </c>
      <c r="J598">
        <f t="shared" si="139"/>
        <v>1046</v>
      </c>
      <c r="K598" s="4">
        <f t="shared" si="128"/>
        <v>3.5000000000000001E-3</v>
      </c>
      <c r="L598">
        <f t="shared" si="129"/>
        <v>0.02</v>
      </c>
      <c r="M598" s="4">
        <f t="shared" si="126"/>
        <v>3.661</v>
      </c>
      <c r="N598" s="4">
        <f t="shared" si="127"/>
        <v>20.92</v>
      </c>
    </row>
    <row r="599" spans="1:14">
      <c r="A599" t="str">
        <f t="shared" si="130"/>
        <v>MK|BR_CN|VDV_MN|NONE_YQ|19Q1Q4_CP|PO5020004141_SP|N/A_AC|DE_OB|ACQ_U1|DCM</v>
      </c>
      <c r="B599" t="str">
        <f t="shared" si="131"/>
        <v>Facebook</v>
      </c>
      <c r="C599" t="str">
        <f t="shared" si="132"/>
        <v>MK|BR_CH|PSD_DT|CROSS_PB|FCBK_FM|LNK_RT|CPM_PD|VDV-MERCHANT-MOVIDA_TG|NON_ST|NON_TS|NONE_SZ|1X1_AD|CM1_IT|SOC_U1|QUADRADO_U2|20OFF</v>
      </c>
      <c r="D599" t="str">
        <f t="shared" si="133"/>
        <v>251254944</v>
      </c>
      <c r="E599" t="str">
        <f t="shared" si="134"/>
        <v>Dynamic Click</v>
      </c>
      <c r="F599" t="str">
        <f t="shared" si="135"/>
        <v>MK|BR_CH|PSD_DT|CROSS_PB|FCBK_FM|LNK_RT|CPM_PD|VDV-MERCHANT-MOVIDA_TG|NON_ST|NON_TS|NONE_SZ|1X1_AD|CM1_IT|SOC_U1|QUADRADO_U2|20OFF</v>
      </c>
      <c r="G599" t="str">
        <f t="shared" si="136"/>
        <v>447291278</v>
      </c>
      <c r="H599" t="str">
        <f t="shared" si="137"/>
        <v>Tracking</v>
      </c>
      <c r="I599">
        <f t="shared" si="138"/>
        <v>0</v>
      </c>
      <c r="J599">
        <f t="shared" si="139"/>
        <v>13</v>
      </c>
      <c r="K599" s="4">
        <f t="shared" si="128"/>
        <v>3.5000000000000001E-3</v>
      </c>
      <c r="L599">
        <f t="shared" si="129"/>
        <v>0.02</v>
      </c>
      <c r="M599" s="4">
        <f t="shared" si="126"/>
        <v>4.5499999999999999E-2</v>
      </c>
      <c r="N599" s="4">
        <f t="shared" si="127"/>
        <v>0.26</v>
      </c>
    </row>
    <row r="600" spans="1:14">
      <c r="A600" t="str">
        <f t="shared" si="130"/>
        <v>MK|BR_CN|VDV_MN|NONE_YQ|19Q1Q4_CP|PO5020004141_SP|N/A_AC|DE_OB|ACQ_U1|DCM</v>
      </c>
      <c r="B600" t="str">
        <f t="shared" si="131"/>
        <v>Facebook</v>
      </c>
      <c r="C600" t="str">
        <f t="shared" si="132"/>
        <v>MK|BR_CH|PSD_DT|CROSS_PB|FCBK_FM|LNK_RT|CPM_PD|VDV-MERCHANT-MOVIDA_TG|NON_ST|NON_TS|NONE_SZ|1X1_AD|CM1_IT|SOC_U1|RETANGULAR_U2|20OFF</v>
      </c>
      <c r="D600" t="str">
        <f t="shared" si="133"/>
        <v>251272710</v>
      </c>
      <c r="E600" t="str">
        <f t="shared" si="134"/>
        <v>Dynamic Click</v>
      </c>
      <c r="F600" t="str">
        <f t="shared" si="135"/>
        <v>MK|BR_CH|PSD_DT|CROSS_PB|FCBK_FM|LNK_RT|CPM_PD|VDV-MERCHANT-MOVIDA_TG|NON_ST|NON_TS|NONE_SZ|1X1_AD|CM1_IT|SOC_U1|RETANGULAR_U2|20OFF</v>
      </c>
      <c r="G600" t="str">
        <f t="shared" si="136"/>
        <v>447291281</v>
      </c>
      <c r="H600" t="str">
        <f t="shared" si="137"/>
        <v>Tracking</v>
      </c>
      <c r="I600">
        <f t="shared" si="138"/>
        <v>0</v>
      </c>
      <c r="J600">
        <f t="shared" si="139"/>
        <v>8</v>
      </c>
      <c r="K600" s="4">
        <f t="shared" si="128"/>
        <v>3.5000000000000001E-3</v>
      </c>
      <c r="L600">
        <f t="shared" si="129"/>
        <v>0.02</v>
      </c>
      <c r="M600" s="4">
        <f t="shared" si="126"/>
        <v>2.8000000000000001E-2</v>
      </c>
      <c r="N600" s="4">
        <f t="shared" si="127"/>
        <v>0.16</v>
      </c>
    </row>
    <row r="601" spans="1:14">
      <c r="A601" t="str">
        <f t="shared" si="130"/>
        <v>MK|BR_CN|VDV_MN|NONE_YQ|19Q1Q4_CP|PO5020004141_SP|N/A_AC|DE_OB|ACQ_U1|DCM</v>
      </c>
      <c r="B601" t="str">
        <f t="shared" si="131"/>
        <v>Facebook</v>
      </c>
      <c r="C601" t="str">
        <f t="shared" si="132"/>
        <v>MK|BR_CH|PSD_DT|CROSS_PB|FCBK_FM|LNK_RT|CPM_PD|VDV-MERCHANT-NETSHOES_TG|NON_ST|NON_TS|NONE_SZ|1X1_AD|CM1_IT|SOC_U1|QUADRADO_U2|15OFF</v>
      </c>
      <c r="D601" t="str">
        <f t="shared" si="133"/>
        <v>252760903</v>
      </c>
      <c r="E601" t="str">
        <f t="shared" si="134"/>
        <v>Dynamic Click</v>
      </c>
      <c r="F601" t="str">
        <f t="shared" si="135"/>
        <v>MK|BR_CH|PSD_DT|CROSS_PB|FCBK_FM|LNK_RT|CPM_PD|VDV-MERCHANT-NETSHOES_TG|NON_ST|NON_TS|NONE_SZ|1X1_AD|CM1_IT|SOC_U1|QUADRADO_U2|15OFF</v>
      </c>
      <c r="G601" t="str">
        <f t="shared" si="136"/>
        <v>448891039</v>
      </c>
      <c r="H601" t="str">
        <f t="shared" si="137"/>
        <v>Tracking</v>
      </c>
      <c r="I601">
        <f t="shared" si="138"/>
        <v>0</v>
      </c>
      <c r="J601">
        <f t="shared" si="139"/>
        <v>8</v>
      </c>
      <c r="K601" s="4">
        <f t="shared" si="128"/>
        <v>3.5000000000000001E-3</v>
      </c>
      <c r="L601">
        <f t="shared" si="129"/>
        <v>0.02</v>
      </c>
      <c r="M601" s="4">
        <f t="shared" si="126"/>
        <v>2.8000000000000001E-2</v>
      </c>
      <c r="N601" s="4">
        <f t="shared" si="127"/>
        <v>0.16</v>
      </c>
    </row>
    <row r="602" spans="1:14">
      <c r="A602" t="str">
        <f t="shared" si="130"/>
        <v>MK|BR_CN|VDV_MN|NONE_YQ|19Q1Q4_CP|PO5020004141_SP|N/A_AC|DE_OB|ACQ_U1|DCM</v>
      </c>
      <c r="B602" t="str">
        <f t="shared" si="131"/>
        <v>Facebook</v>
      </c>
      <c r="C602" t="str">
        <f t="shared" si="132"/>
        <v>MK|BR_CH|PSD_DT|CROSS_PB|FCBK_FM|LNK_RT|CPM_PD|VDV-MERCHANT-NETSHOES_TG|NON_ST|NON_TS|NONE_SZ|1X1_AD|CM1_IT|SOC_U1|QUADRADO_U2|20OFF</v>
      </c>
      <c r="D602" t="str">
        <f t="shared" si="133"/>
        <v>252144842</v>
      </c>
      <c r="E602" t="str">
        <f t="shared" si="134"/>
        <v>Dynamic Click</v>
      </c>
      <c r="F602" t="str">
        <f t="shared" si="135"/>
        <v>MK|BR_CH|PSD_DT|CROSS_PB|FCBK_FM|LNK_RT|CPM_PD|VDV-MERCHANT-NETSHOES_TG|NON_ST|NON_TS|NONE_SZ|1X1_AD|CM1_IT|SOC_U1|QUADRADO_U2|20OFF</v>
      </c>
      <c r="G602" t="str">
        <f t="shared" si="136"/>
        <v>448479444</v>
      </c>
      <c r="H602" t="str">
        <f t="shared" si="137"/>
        <v>Tracking</v>
      </c>
      <c r="I602">
        <f t="shared" si="138"/>
        <v>0</v>
      </c>
      <c r="J602">
        <f t="shared" si="139"/>
        <v>2</v>
      </c>
      <c r="K602" s="4">
        <f t="shared" si="128"/>
        <v>3.5000000000000001E-3</v>
      </c>
      <c r="L602">
        <f t="shared" si="129"/>
        <v>0.02</v>
      </c>
      <c r="M602" s="4">
        <f t="shared" si="126"/>
        <v>7.0000000000000001E-3</v>
      </c>
      <c r="N602" s="4">
        <f t="shared" si="127"/>
        <v>0.04</v>
      </c>
    </row>
    <row r="603" spans="1:14">
      <c r="A603" t="str">
        <f t="shared" si="130"/>
        <v>MK|BR_CN|VDV_MN|NONE_YQ|19Q1Q4_CP|PO5020004141_SP|N/A_AC|DE_OB|ACQ_U1|DCM</v>
      </c>
      <c r="B603" t="str">
        <f t="shared" si="131"/>
        <v>Facebook</v>
      </c>
      <c r="C603" t="str">
        <f t="shared" si="132"/>
        <v>MK|BR_CH|PSD_DT|CROSS_PB|FCBK_FM|LNK_RT|CPM_PD|VDV-MERCHANT-RAPPI_TG|NON_ST|NON_TS|NONE_SZ|1X1_AD|CM1_IT|SOC_U1|LARANJA_U2|QUADRADO</v>
      </c>
      <c r="D603" t="str">
        <f t="shared" si="133"/>
        <v>251876690</v>
      </c>
      <c r="E603" t="str">
        <f t="shared" si="134"/>
        <v>Dynamic Click</v>
      </c>
      <c r="F603" t="str">
        <f t="shared" si="135"/>
        <v>MK|BR_CH|PSD_DT|CROSS_PB|FCBK_FM|LNK_RT|CPM_PD|VDV-MERCHANT-RAPPI_TG|NON_ST|NON_TS|NONE_SZ|1X1_AD|CM1_IT|SOC_U1|LARANJA_U2|QUADRADO</v>
      </c>
      <c r="G603" t="str">
        <f t="shared" si="136"/>
        <v>448258892</v>
      </c>
      <c r="H603" t="str">
        <f t="shared" si="137"/>
        <v>Tracking</v>
      </c>
      <c r="I603">
        <f t="shared" si="138"/>
        <v>0</v>
      </c>
      <c r="J603">
        <f t="shared" si="139"/>
        <v>108</v>
      </c>
      <c r="K603" s="4">
        <f t="shared" si="128"/>
        <v>3.5000000000000001E-3</v>
      </c>
      <c r="L603">
        <f t="shared" si="129"/>
        <v>0.02</v>
      </c>
      <c r="M603" s="4">
        <f t="shared" si="126"/>
        <v>0.378</v>
      </c>
      <c r="N603" s="4">
        <f t="shared" si="127"/>
        <v>2.16</v>
      </c>
    </row>
    <row r="604" spans="1:14">
      <c r="A604" t="str">
        <f t="shared" si="130"/>
        <v>MK|BR_CN|VDV_MN|NONE_YQ|19Q1Q4_CP|PO5020004141_SP|N/A_AC|DE_OB|ACQ_U1|DCM</v>
      </c>
      <c r="B604" t="str">
        <f t="shared" si="131"/>
        <v>Facebook</v>
      </c>
      <c r="C604" t="str">
        <f t="shared" si="132"/>
        <v>MK|BR_CH|PSD_DT|CROSS_PB|FCBK_FM|LNK_RT|CPM_PD|VDV-MERCHANT-RAPPI_TG|NON_ST|NON_TS|NONE_SZ|1X1_AD|CM1_IT|SOC_U1|LARANJA_U2|RETANGULAR</v>
      </c>
      <c r="D604" t="str">
        <f t="shared" si="133"/>
        <v>252207496</v>
      </c>
      <c r="E604" t="str">
        <f t="shared" si="134"/>
        <v>Dynamic Click</v>
      </c>
      <c r="F604" t="str">
        <f t="shared" si="135"/>
        <v>MK|BR_CH|PSD_DT|CROSS_PB|FCBK_FM|LNK_RT|CPM_PD|VDV-MERCHANT-RAPPI_TG|NON_ST|NON_TS|NONE_SZ|1X1_AD|CM1_IT|SOC_U1|LARANJA_U2|RETANGULAR</v>
      </c>
      <c r="G604" t="str">
        <f t="shared" si="136"/>
        <v>448341427</v>
      </c>
      <c r="H604" t="str">
        <f t="shared" si="137"/>
        <v>Tracking</v>
      </c>
      <c r="I604">
        <f t="shared" si="138"/>
        <v>0</v>
      </c>
      <c r="J604">
        <f t="shared" si="139"/>
        <v>96</v>
      </c>
      <c r="K604" s="4">
        <f t="shared" si="128"/>
        <v>3.5000000000000001E-3</v>
      </c>
      <c r="L604">
        <f t="shared" si="129"/>
        <v>0.02</v>
      </c>
      <c r="M604" s="4">
        <f t="shared" si="126"/>
        <v>0.33600000000000002</v>
      </c>
      <c r="N604" s="4">
        <f t="shared" si="127"/>
        <v>1.92</v>
      </c>
    </row>
    <row r="605" spans="1:14">
      <c r="A605" t="str">
        <f t="shared" si="130"/>
        <v>MK|BR_CN|VDV_MN|NONE_YQ|19Q1Q4_CP|PO5020004141_SP|N/A_AC|DE_OB|ACQ_U1|DCM</v>
      </c>
      <c r="B605" t="str">
        <f t="shared" si="131"/>
        <v>Facebook</v>
      </c>
      <c r="C605" t="str">
        <f t="shared" si="132"/>
        <v>MK|BR_CH|PSD_DT|CROSS_PB|FCBK_FM|LNK_RT|CPM_PD|VDV-MERCHANT-RAPPI_TG|NON_ST|NON_TS|NONE_SZ|1X1_AD|CM1_IT|SOC_U1|RETANGULAR_U2|VERDE</v>
      </c>
      <c r="D605" t="str">
        <f t="shared" si="133"/>
        <v>251422685</v>
      </c>
      <c r="E605" t="str">
        <f t="shared" si="134"/>
        <v>Dynamic Click</v>
      </c>
      <c r="F605" t="str">
        <f t="shared" si="135"/>
        <v>MK|BR_CH|PSD_DT|CROSS_PB|FCBK_FM|LNK_RT|CPM_PD|VDV-MERCHANT-RAPPI_TG|NON_ST|NON_TS|NONE_SZ|1X1_AD|CM1_IT|SOC_U1|RETANGULAR_U2|VERDE</v>
      </c>
      <c r="G605" t="str">
        <f t="shared" si="136"/>
        <v>447907132</v>
      </c>
      <c r="H605" t="str">
        <f t="shared" si="137"/>
        <v>Tracking</v>
      </c>
      <c r="I605">
        <f t="shared" si="138"/>
        <v>0</v>
      </c>
      <c r="J605">
        <f t="shared" si="139"/>
        <v>2</v>
      </c>
      <c r="K605" s="4">
        <f t="shared" si="128"/>
        <v>3.5000000000000001E-3</v>
      </c>
      <c r="L605">
        <f t="shared" si="129"/>
        <v>0.02</v>
      </c>
      <c r="M605" s="4">
        <f t="shared" si="126"/>
        <v>7.0000000000000001E-3</v>
      </c>
      <c r="N605" s="4">
        <f t="shared" si="127"/>
        <v>0.04</v>
      </c>
    </row>
    <row r="606" spans="1:14">
      <c r="A606" t="str">
        <f t="shared" si="130"/>
        <v>MK|BR_CN|VDV_MN|NONE_YQ|19Q1Q4_CP|PO5020004141_SP|N/A_AC|DE_OB|ACQ_U1|DCM</v>
      </c>
      <c r="B606" t="str">
        <f t="shared" si="131"/>
        <v>Facebook</v>
      </c>
      <c r="C606" t="str">
        <f t="shared" si="132"/>
        <v>MK|BR_CH|PSD_DT|CROSS_PB|FCBK_FM|LNK_RT|CPM_PD|VDV-MERCHANT-ZATTINI_TG|NON_ST|NON_TS|NONE_SZ|1X1_AD|CM1_IT|SOC_U1|FEMININO_U2|15OFF</v>
      </c>
      <c r="D606" t="str">
        <f t="shared" si="133"/>
        <v>254166009</v>
      </c>
      <c r="E606" t="str">
        <f t="shared" si="134"/>
        <v>Dynamic Click</v>
      </c>
      <c r="F606" t="str">
        <f t="shared" si="135"/>
        <v>MK|BR_CH|PSD_DT|CROSS_PB|FCBK_FM|LNK_RT|CPM_PD|VDV-MERCHANT-ZATTINI_TG|NON_ST|NON_TS|NONE_SZ|1X1_AD|CM1_IT|SOC_U1|FEMININO_U2|15OFF</v>
      </c>
      <c r="G606" t="str">
        <f t="shared" si="136"/>
        <v>450146032</v>
      </c>
      <c r="H606" t="str">
        <f t="shared" si="137"/>
        <v>Tracking</v>
      </c>
      <c r="I606">
        <f t="shared" si="138"/>
        <v>0</v>
      </c>
      <c r="J606">
        <f t="shared" si="139"/>
        <v>122</v>
      </c>
      <c r="K606" s="4">
        <f t="shared" si="128"/>
        <v>3.5000000000000001E-3</v>
      </c>
      <c r="L606">
        <f t="shared" si="129"/>
        <v>0.02</v>
      </c>
      <c r="M606" s="4">
        <f t="shared" si="126"/>
        <v>0.42699999999999999</v>
      </c>
      <c r="N606" s="4">
        <f t="shared" si="127"/>
        <v>2.44</v>
      </c>
    </row>
    <row r="607" spans="1:14">
      <c r="A607" t="str">
        <f t="shared" si="130"/>
        <v>MK|BR_CN|VDV_MN|NONE_YQ|19Q1Q4_CP|PO5020004141_SP|N/A_AC|DE_OB|ACQ_U1|DCM</v>
      </c>
      <c r="B607" t="str">
        <f t="shared" si="131"/>
        <v>Facebook</v>
      </c>
      <c r="C607" t="str">
        <f t="shared" si="132"/>
        <v>MK|BR_CH|PSD_DT|CROSS_PB|FCBK_FM|LNK_RT|CPM_PD|VDV-PROMONACIONAL_TG|NON_ST|NON_TS|NONE_SZ|1X1_AD|CM1_IT|SOC_U1|AMARELO</v>
      </c>
      <c r="D607" t="str">
        <f t="shared" si="133"/>
        <v>246942068</v>
      </c>
      <c r="E607" t="str">
        <f t="shared" si="134"/>
        <v>Dynamic Click</v>
      </c>
      <c r="F607" t="str">
        <f t="shared" si="135"/>
        <v>MK|BR_CH|PSD_DT|CROSS_PB|FCBK_FM|LNK_RT|CPM_PD|VDV-PROMONACIONAL_TG|NON_ST|NON_TS|NONE_SZ|1X1_AD|CM1_IT|SOC_U1|AMARELO</v>
      </c>
      <c r="G607" t="str">
        <f t="shared" si="136"/>
        <v>443434200</v>
      </c>
      <c r="H607" t="str">
        <f t="shared" si="137"/>
        <v>Tracking</v>
      </c>
      <c r="I607">
        <f t="shared" si="138"/>
        <v>0</v>
      </c>
      <c r="J607">
        <f t="shared" si="139"/>
        <v>3027</v>
      </c>
      <c r="K607" s="4">
        <f t="shared" si="128"/>
        <v>3.5000000000000001E-3</v>
      </c>
      <c r="L607">
        <f t="shared" si="129"/>
        <v>0.02</v>
      </c>
      <c r="M607" s="4">
        <f t="shared" si="126"/>
        <v>10.5945</v>
      </c>
      <c r="N607" s="4">
        <f t="shared" si="127"/>
        <v>60.54</v>
      </c>
    </row>
    <row r="608" spans="1:14">
      <c r="A608" t="str">
        <f t="shared" si="130"/>
        <v>MK|BR_CN|VDV_MN|NONE_YQ|19Q1Q4_CP|PO5020004141_SP|N/A_AC|DE_OB|ACQ_U1|DCM</v>
      </c>
      <c r="B608" t="str">
        <f t="shared" si="131"/>
        <v>Facebook</v>
      </c>
      <c r="C608" t="str">
        <f t="shared" si="132"/>
        <v>MK|BR_CH|PSD_DT|CROSS_PB|FCBK_FM|LNK_RT|CPM_PD|VDV-PROMONACIONAL_TG|NON_ST|NON_TS|NONE_SZ|1X1_AD|CM1_IT|SOC_U1|CHANCECHANCE_U2|BASEVDV</v>
      </c>
      <c r="D608" t="str">
        <f t="shared" si="133"/>
        <v>255126048</v>
      </c>
      <c r="E608" t="str">
        <f t="shared" si="134"/>
        <v>Dynamic Click</v>
      </c>
      <c r="F608" t="str">
        <f t="shared" si="135"/>
        <v>MK|BR_CH|PSD_DT|CROSS_PB|FCBK_FM|LNK_RT|CPM_PD|VDV-PROMONACIONAL_TG|NON_ST|NON_TS|NONE_SZ|1X1_AD|CM1_IT|SOC_U1|CHANCECHANCE_U2|BASEVDV</v>
      </c>
      <c r="G608" t="str">
        <f t="shared" si="136"/>
        <v>450991808</v>
      </c>
      <c r="H608" t="str">
        <f t="shared" si="137"/>
        <v>Tracking</v>
      </c>
      <c r="I608">
        <f t="shared" si="138"/>
        <v>0</v>
      </c>
      <c r="J608">
        <f t="shared" si="139"/>
        <v>130</v>
      </c>
      <c r="K608" s="4">
        <f t="shared" si="128"/>
        <v>3.5000000000000001E-3</v>
      </c>
      <c r="L608">
        <f t="shared" si="129"/>
        <v>0.02</v>
      </c>
      <c r="M608" s="4">
        <f t="shared" si="126"/>
        <v>0.45500000000000002</v>
      </c>
      <c r="N608" s="4">
        <f t="shared" si="127"/>
        <v>2.6</v>
      </c>
    </row>
    <row r="609" spans="1:14">
      <c r="A609" t="str">
        <f t="shared" si="130"/>
        <v>MK|BR_CN|VDV_MN|NONE_YQ|19Q1Q4_CP|PO5020004141_SP|N/A_AC|DE_OB|ACQ_U1|DCM</v>
      </c>
      <c r="B609" t="str">
        <f t="shared" si="131"/>
        <v>Facebook</v>
      </c>
      <c r="C609" t="str">
        <f t="shared" si="132"/>
        <v>MK|BR_CH|PSD_DT|CROSS_PB|FCBK_FM|LNK_RT|CPM_PD|VDV-PROMONACIONAL_TG|NON_ST|NON_TS|NONE_SZ|1X1_AD|CM1_IT|SOC_U1|CHANCECHANCE_U2|BOCEJO</v>
      </c>
      <c r="D609" t="str">
        <f t="shared" si="133"/>
        <v>254860515</v>
      </c>
      <c r="E609" t="str">
        <f t="shared" si="134"/>
        <v>Dynamic Click</v>
      </c>
      <c r="F609" t="str">
        <f t="shared" si="135"/>
        <v>MK|BR_CH|PSD_DT|CROSS_PB|FCBK_FM|LNK_RT|CPM_PD|VDV-PROMONACIONAL_TG|NON_ST|NON_TS|NONE_SZ|1X1_AD|CM1_IT|SOC_U1|CHANCECHANCE_U2|BOCEJO</v>
      </c>
      <c r="G609" t="str">
        <f t="shared" si="136"/>
        <v>450664548</v>
      </c>
      <c r="H609" t="str">
        <f t="shared" si="137"/>
        <v>Tracking</v>
      </c>
      <c r="I609">
        <f t="shared" si="138"/>
        <v>0</v>
      </c>
      <c r="J609">
        <f t="shared" si="139"/>
        <v>1442</v>
      </c>
      <c r="K609" s="4">
        <f t="shared" si="128"/>
        <v>3.5000000000000001E-3</v>
      </c>
      <c r="L609">
        <f t="shared" si="129"/>
        <v>0.02</v>
      </c>
      <c r="M609" s="4">
        <f t="shared" si="126"/>
        <v>5.0469999999999997</v>
      </c>
      <c r="N609" s="4">
        <f t="shared" si="127"/>
        <v>28.84</v>
      </c>
    </row>
    <row r="610" spans="1:14">
      <c r="A610" t="str">
        <f t="shared" si="130"/>
        <v>MK|BR_CN|VDV_MN|NONE_YQ|19Q1Q4_CP|PO5020004141_SP|N/A_AC|DE_OB|ACQ_U1|DCM</v>
      </c>
      <c r="B610" t="str">
        <f t="shared" si="131"/>
        <v>Facebook</v>
      </c>
      <c r="C610" t="str">
        <f t="shared" si="132"/>
        <v>MK|BR_CH|PSD_DT|CROSS_PB|FCBK_FM|LNK_RT|CPM_PD|VDV-PROMONACIONAL_TG|NON_ST|NON_TS|NONE_SZ|1X1_AD|CM1_IT|SOC_U1|CHANCECHANCE_U2|HORIZONTAL</v>
      </c>
      <c r="D610" t="str">
        <f t="shared" si="133"/>
        <v>254741131</v>
      </c>
      <c r="E610" t="str">
        <f t="shared" si="134"/>
        <v>Dynamic Click</v>
      </c>
      <c r="F610" t="str">
        <f t="shared" si="135"/>
        <v>MK|BR_CH|PSD_DT|CROSS_PB|FCBK_FM|LNK_RT|CPM_PD|VDV-PROMONACIONAL_TG|NON_ST|NON_TS|NONE_SZ|1X1_AD|CM1_IT|SOC_U1|CHANCECHANCE_U2|HORIZONTAL</v>
      </c>
      <c r="G610" t="str">
        <f t="shared" si="136"/>
        <v>450680808</v>
      </c>
      <c r="H610" t="str">
        <f t="shared" si="137"/>
        <v>Tracking</v>
      </c>
      <c r="I610">
        <f t="shared" si="138"/>
        <v>0</v>
      </c>
      <c r="J610">
        <f t="shared" si="139"/>
        <v>5075</v>
      </c>
      <c r="K610" s="4">
        <f t="shared" si="128"/>
        <v>3.5000000000000001E-3</v>
      </c>
      <c r="L610">
        <f t="shared" si="129"/>
        <v>0.02</v>
      </c>
      <c r="M610" s="4">
        <f t="shared" ref="M610:M673" si="140">IF(E610="Dynamic Click",J610*K610,K610*$I610/1000)</f>
        <v>17.762499999999999</v>
      </c>
      <c r="N610" s="4">
        <f t="shared" ref="N610:N673" si="141">IF(E610="Dynamic Click",J610*L610,L610*$I610/1000)</f>
        <v>101.5</v>
      </c>
    </row>
    <row r="611" spans="1:14">
      <c r="A611" t="str">
        <f t="shared" si="130"/>
        <v>MK|BR_CN|VDV_MN|NONE_YQ|19Q1Q4_CP|PO5020004141_SP|N/A_AC|DE_OB|ACQ_U1|DCM</v>
      </c>
      <c r="B611" t="str">
        <f t="shared" si="131"/>
        <v>Facebook</v>
      </c>
      <c r="C611" t="str">
        <f t="shared" si="132"/>
        <v>MK|BR_CH|PSD_DT|CROSS_PB|FCBK_FM|LNK_RT|CPM_PD|VDV-PROMONACIONAL_TG|NON_ST|NON_TS|NONE_SZ|1X1_AD|CM1_IT|SOC_U1|CHANCECHANCE_U2|VERTICAL</v>
      </c>
      <c r="D611" t="str">
        <f t="shared" si="133"/>
        <v>254871960</v>
      </c>
      <c r="E611" t="str">
        <f t="shared" si="134"/>
        <v>Dynamic Click</v>
      </c>
      <c r="F611" t="str">
        <f t="shared" si="135"/>
        <v>MK|BR_CH|PSD_DT|CROSS_PB|FCBK_FM|LNK_RT|CPM_PD|VDV-PROMONACIONAL_TG|NON_ST|NON_TS|NONE_SZ|1X1_AD|CM1_IT|SOC_U1|CHANCECHANCE_U2|VERTICAL</v>
      </c>
      <c r="G611" t="str">
        <f t="shared" si="136"/>
        <v>450679719</v>
      </c>
      <c r="H611" t="str">
        <f t="shared" si="137"/>
        <v>Tracking</v>
      </c>
      <c r="I611">
        <f t="shared" si="138"/>
        <v>0</v>
      </c>
      <c r="J611">
        <f t="shared" si="139"/>
        <v>1</v>
      </c>
      <c r="K611" s="4">
        <f t="shared" si="128"/>
        <v>3.5000000000000001E-3</v>
      </c>
      <c r="L611">
        <f t="shared" si="129"/>
        <v>0.02</v>
      </c>
      <c r="M611" s="4">
        <f t="shared" si="140"/>
        <v>3.5000000000000001E-3</v>
      </c>
      <c r="N611" s="4">
        <f t="shared" si="141"/>
        <v>0.02</v>
      </c>
    </row>
    <row r="612" spans="1:14">
      <c r="A612" t="str">
        <f t="shared" si="130"/>
        <v>MK|BR_CN|VDV_MN|NONE_YQ|19Q1Q4_CP|PO5020004141_SP|N/A_AC|DE_OB|ACQ_U1|DCM</v>
      </c>
      <c r="B612" t="str">
        <f t="shared" si="131"/>
        <v>Facebook</v>
      </c>
      <c r="C612" t="str">
        <f t="shared" si="132"/>
        <v>MK|BR_CH|PSD_DT|CROSS_PB|FCBK_FM|LNK_RT|CPM_PD|VDV-PROMONACIONAL_TG|NON_ST|NON_TS|NONE_SZ|1X1_AD|CM1_IT|SOC_U1|DEBITO_U2|EXPECTATIVA-REALIDADE</v>
      </c>
      <c r="D612" t="str">
        <f t="shared" si="133"/>
        <v>254917970</v>
      </c>
      <c r="E612" t="str">
        <f t="shared" si="134"/>
        <v>Dynamic Click</v>
      </c>
      <c r="F612" t="str">
        <f t="shared" si="135"/>
        <v>MK|BR_CH|PSD_DT|CROSS_PB|FCBK_FM|LNK_RT|CPM_PD|VDV-PROMONACIONAL_TG|NON_ST|NON_TS|NONE_SZ|1X1_AD|CM1_IT|SOC_U1|DEBITO_U2|EXPECTATIVA-REALIDADE</v>
      </c>
      <c r="G612" t="str">
        <f t="shared" si="136"/>
        <v>451281736</v>
      </c>
      <c r="H612" t="str">
        <f t="shared" si="137"/>
        <v>Tracking</v>
      </c>
      <c r="I612">
        <f t="shared" si="138"/>
        <v>0</v>
      </c>
      <c r="J612">
        <f t="shared" si="139"/>
        <v>5623</v>
      </c>
      <c r="K612" s="4">
        <f t="shared" si="128"/>
        <v>3.5000000000000001E-3</v>
      </c>
      <c r="L612">
        <f t="shared" si="129"/>
        <v>0.02</v>
      </c>
      <c r="M612" s="4">
        <f t="shared" si="140"/>
        <v>19.680500000000002</v>
      </c>
      <c r="N612" s="4">
        <f t="shared" si="141"/>
        <v>112.46000000000001</v>
      </c>
    </row>
    <row r="613" spans="1:14">
      <c r="A613" t="str">
        <f t="shared" si="130"/>
        <v>MK|BR_CN|VDV_MN|NONE_YQ|19Q1Q4_CP|PO5020004141_SP|N/A_AC|DE_OB|ACQ_U1|DCM</v>
      </c>
      <c r="B613" t="str">
        <f t="shared" si="131"/>
        <v>Facebook</v>
      </c>
      <c r="C613" t="str">
        <f t="shared" si="132"/>
        <v>MK|BR_CH|PSD_DT|CROSS_PB|FCBK_FM|LNK_RT|CPM_PD|VDV-PROMONACIONAL_TG|NON_ST|NON_TS|NONE_SZ|1X1_AD|CM1_IT|SOC_U1|DEBITO_U2|INVADINDO-TIMELINE_U3|CAFE</v>
      </c>
      <c r="D613" t="str">
        <f t="shared" si="133"/>
        <v>254917961</v>
      </c>
      <c r="E613" t="str">
        <f t="shared" si="134"/>
        <v>Dynamic Click</v>
      </c>
      <c r="F613" t="str">
        <f t="shared" si="135"/>
        <v>MK|BR_CH|PSD_DT|CROSS_PB|FCBK_FM|LNK_RT|CPM_PD|VDV-PROMONACIONAL_TG|NON_ST|NON_TS|NONE_SZ|1X1_AD|CM1_IT|SOC_U1|DEBITO_U2|INVADINDO-TIMELINE_U3|CAFE</v>
      </c>
      <c r="G613" t="str">
        <f t="shared" si="136"/>
        <v>451281727</v>
      </c>
      <c r="H613" t="str">
        <f t="shared" si="137"/>
        <v>Tracking</v>
      </c>
      <c r="I613">
        <f t="shared" si="138"/>
        <v>0</v>
      </c>
      <c r="J613">
        <f t="shared" si="139"/>
        <v>5714</v>
      </c>
      <c r="K613" s="4">
        <f t="shared" si="128"/>
        <v>3.5000000000000001E-3</v>
      </c>
      <c r="L613">
        <f t="shared" si="129"/>
        <v>0.02</v>
      </c>
      <c r="M613" s="4">
        <f t="shared" si="140"/>
        <v>19.998999999999999</v>
      </c>
      <c r="N613" s="4">
        <f t="shared" si="141"/>
        <v>114.28</v>
      </c>
    </row>
    <row r="614" spans="1:14">
      <c r="A614" t="str">
        <f t="shared" si="130"/>
        <v>MK|BR_CN|VDV_MN|NONE_YQ|19Q1Q4_CP|PO5020004141_SP|N/A_AC|DE_OB|ACQ_U1|DCM</v>
      </c>
      <c r="B614" t="str">
        <f t="shared" si="131"/>
        <v>Facebook</v>
      </c>
      <c r="C614" t="str">
        <f t="shared" si="132"/>
        <v>MK|BR_CH|PSD_DT|CROSS_PB|FCBK_FM|LNK_RT|CPM_PD|VDV-PROMONACIONAL_TG|NON_ST|NON_TS|NONE_SZ|1X1_AD|CM1_IT|SOC_U1|DEBITO_U2|INVADINDO-TIMELINE_U3|DOCE</v>
      </c>
      <c r="D614" t="str">
        <f t="shared" si="133"/>
        <v>254917982</v>
      </c>
      <c r="E614" t="str">
        <f t="shared" si="134"/>
        <v>Dynamic Click</v>
      </c>
      <c r="F614" t="str">
        <f t="shared" si="135"/>
        <v>MK|BR_CH|PSD_DT|CROSS_PB|FCBK_FM|LNK_RT|CPM_PD|VDV-PROMONACIONAL_TG|NON_ST|NON_TS|NONE_SZ|1X1_AD|CM1_IT|SOC_U1|DEBITO_U2|INVADINDO-TIMELINE_U3|DOCE</v>
      </c>
      <c r="G614" t="str">
        <f t="shared" si="136"/>
        <v>451281748</v>
      </c>
      <c r="H614" t="str">
        <f t="shared" si="137"/>
        <v>Tracking</v>
      </c>
      <c r="I614">
        <f t="shared" si="138"/>
        <v>0</v>
      </c>
      <c r="J614">
        <f t="shared" si="139"/>
        <v>245</v>
      </c>
      <c r="K614" s="4">
        <f t="shared" si="128"/>
        <v>3.5000000000000001E-3</v>
      </c>
      <c r="L614">
        <f t="shared" si="129"/>
        <v>0.02</v>
      </c>
      <c r="M614" s="4">
        <f t="shared" si="140"/>
        <v>0.85750000000000004</v>
      </c>
      <c r="N614" s="4">
        <f t="shared" si="141"/>
        <v>4.9000000000000004</v>
      </c>
    </row>
    <row r="615" spans="1:14">
      <c r="A615" t="str">
        <f t="shared" si="130"/>
        <v>MK|BR_CN|VDV_MN|NONE_YQ|19Q1Q4_CP|PO5020004141_SP|N/A_AC|DE_OB|ACQ_U1|DCM</v>
      </c>
      <c r="B615" t="str">
        <f t="shared" si="131"/>
        <v>Facebook</v>
      </c>
      <c r="C615" t="str">
        <f t="shared" si="132"/>
        <v>MK|BR_CH|PSD_DT|CROSS_PB|FCBK_FM|LNK_RT|CPM_PD|VDV-PROMONACIONAL_TG|NON_ST|NON_TS|NONE_SZ|1X1_AD|CM1_IT|SOC_U1|GANHADORES</v>
      </c>
      <c r="D615" t="str">
        <f t="shared" si="133"/>
        <v>253561005</v>
      </c>
      <c r="E615" t="str">
        <f t="shared" si="134"/>
        <v>Dynamic Click</v>
      </c>
      <c r="F615" t="str">
        <f t="shared" si="135"/>
        <v>MK|BR_CH|PSD_DT|CROSS_PB|FCBK_FM|LNK_RT|CPM_PD|VDV-PROMONACIONAL_TG|NON_ST|NON_TS|NONE_SZ|1X1_AD|CM1_IT|SOC_U1|GANHADORES</v>
      </c>
      <c r="G615" t="str">
        <f t="shared" si="136"/>
        <v>449465058</v>
      </c>
      <c r="H615" t="str">
        <f t="shared" si="137"/>
        <v>Tracking</v>
      </c>
      <c r="I615">
        <f t="shared" si="138"/>
        <v>0</v>
      </c>
      <c r="J615">
        <f t="shared" si="139"/>
        <v>1831</v>
      </c>
      <c r="K615" s="4">
        <f t="shared" si="128"/>
        <v>3.5000000000000001E-3</v>
      </c>
      <c r="L615">
        <f t="shared" si="129"/>
        <v>0.02</v>
      </c>
      <c r="M615" s="4">
        <f t="shared" si="140"/>
        <v>6.4085000000000001</v>
      </c>
      <c r="N615" s="4">
        <f t="shared" si="141"/>
        <v>36.619999999999997</v>
      </c>
    </row>
    <row r="616" spans="1:14">
      <c r="A616" t="str">
        <f t="shared" si="130"/>
        <v>MK|BR_CN|VDV_MN|NONE_YQ|19Q1Q4_CP|PO5020004141_SP|N/A_AC|DE_OB|ACQ_U1|DCM</v>
      </c>
      <c r="B616" t="str">
        <f t="shared" si="131"/>
        <v>Facebook</v>
      </c>
      <c r="C616" t="str">
        <f t="shared" si="132"/>
        <v>MK|BR_CH|PSD_DT|CROSS_PB|FCBK_FM|LNK_RT|CPM_PD|VDV-PROMONACIONAL_TG|NON_ST|NON_TS|NONE_SZ|1X1_AD|CM1_IT|SOC_U1|GANHADORESATUALIZADOS_U2|SETEMBRO</v>
      </c>
      <c r="D616" t="str">
        <f t="shared" si="133"/>
        <v>255925904</v>
      </c>
      <c r="E616" t="str">
        <f t="shared" si="134"/>
        <v>Dynamic Click</v>
      </c>
      <c r="F616" t="str">
        <f t="shared" si="135"/>
        <v>MK|BR_CH|PSD_DT|CROSS_PB|FCBK_FM|LNK_RT|CPM_PD|VDV-PROMONACIONAL_TG|NON_ST|NON_TS|NONE_SZ|1X1_AD|CM1_IT|SOC_U1|GANHADORESATUALIZADOS_U2|SETEMBRO</v>
      </c>
      <c r="G616" t="str">
        <f t="shared" si="136"/>
        <v>452168339</v>
      </c>
      <c r="H616" t="str">
        <f t="shared" si="137"/>
        <v>Tracking</v>
      </c>
      <c r="I616">
        <f t="shared" si="138"/>
        <v>0</v>
      </c>
      <c r="J616">
        <f t="shared" si="139"/>
        <v>3019</v>
      </c>
      <c r="K616" s="4">
        <f t="shared" si="128"/>
        <v>3.5000000000000001E-3</v>
      </c>
      <c r="L616">
        <f t="shared" si="129"/>
        <v>0.02</v>
      </c>
      <c r="M616" s="4">
        <f t="shared" si="140"/>
        <v>10.5665</v>
      </c>
      <c r="N616" s="4">
        <f t="shared" si="141"/>
        <v>60.38</v>
      </c>
    </row>
    <row r="617" spans="1:14">
      <c r="A617" t="str">
        <f t="shared" si="130"/>
        <v>MK|BR_CN|VDV_MN|NONE_YQ|19Q1Q4_CP|PO5020004141_SP|N/A_AC|DE_OB|ACQ_U1|DCM</v>
      </c>
      <c r="B617" t="str">
        <f t="shared" si="131"/>
        <v>Facebook</v>
      </c>
      <c r="C617" t="str">
        <f t="shared" si="132"/>
        <v>MK|BR_CH|PSD_DT|CROSS_PB|FCBK_FM|LNK_RT|CPM_PD|VDV-PROMONACIONAL_TG|NON_ST|NON_TS|NONE_SZ|1X1_AD|CM1_IT|SOC_U1|PARTICIPE</v>
      </c>
      <c r="D617" t="str">
        <f t="shared" si="133"/>
        <v>249651979</v>
      </c>
      <c r="E617" t="str">
        <f t="shared" si="134"/>
        <v>Dynamic Click</v>
      </c>
      <c r="F617" t="str">
        <f t="shared" si="135"/>
        <v>MK|BR_CH|PSD_DT|CROSS_PB|FCBK_FM|LNK_RT|CPM_PD|VDV-PROMONACIONAL_TG|NON_ST|NON_TS|NONE_SZ|1X1_AD|CM1_IT|SOC_U1|PARTICIPE</v>
      </c>
      <c r="G617" t="str">
        <f t="shared" si="136"/>
        <v>445759962</v>
      </c>
      <c r="H617" t="str">
        <f t="shared" si="137"/>
        <v>Tracking</v>
      </c>
      <c r="I617">
        <f t="shared" si="138"/>
        <v>0</v>
      </c>
      <c r="J617">
        <f t="shared" si="139"/>
        <v>1</v>
      </c>
      <c r="K617" s="4">
        <f t="shared" si="128"/>
        <v>3.5000000000000001E-3</v>
      </c>
      <c r="L617">
        <f t="shared" si="129"/>
        <v>0.02</v>
      </c>
      <c r="M617" s="4">
        <f t="shared" si="140"/>
        <v>3.5000000000000001E-3</v>
      </c>
      <c r="N617" s="4">
        <f t="shared" si="141"/>
        <v>0.02</v>
      </c>
    </row>
    <row r="618" spans="1:14">
      <c r="A618" t="str">
        <f t="shared" si="130"/>
        <v>MK|BR_CN|VDV_MN|NONE_YQ|19Q1Q4_CP|PO5020004141_SP|N/A_AC|DE_OB|ACQ_U1|DCM</v>
      </c>
      <c r="B618" t="str">
        <f t="shared" si="131"/>
        <v>Facebook</v>
      </c>
      <c r="C618" t="str">
        <f t="shared" si="132"/>
        <v>MK|BR_CH|PSD_DT|CROSS_PB|FCBK_FM|LNK_RT|CPM_PD|VDV-PROMONACIONAL_TG|NON_ST|NON_TS|NONE_SZ|1X1_AD|CM1_IT|SOC_U1|PARTICIPE_U2|PAGUECOMVISA</v>
      </c>
      <c r="D618" t="str">
        <f t="shared" si="133"/>
        <v>252515468</v>
      </c>
      <c r="E618" t="str">
        <f t="shared" si="134"/>
        <v>Dynamic Click</v>
      </c>
      <c r="F618" t="str">
        <f t="shared" si="135"/>
        <v>MK|BR_CH|PSD_DT|CROSS_PB|FCBK_FM|LNK_RT|CPM_PD|VDV-PROMONACIONAL_TG|NON_ST|NON_TS|NONE_SZ|1X1_AD|CM1_IT|SOC_U1|PARTICIPE_U2|PAGUECOMVISA</v>
      </c>
      <c r="G618" t="str">
        <f t="shared" si="136"/>
        <v>448889336</v>
      </c>
      <c r="H618" t="str">
        <f t="shared" si="137"/>
        <v>Tracking</v>
      </c>
      <c r="I618">
        <f t="shared" si="138"/>
        <v>0</v>
      </c>
      <c r="J618">
        <f t="shared" si="139"/>
        <v>1</v>
      </c>
      <c r="K618" s="4">
        <f t="shared" si="128"/>
        <v>3.5000000000000001E-3</v>
      </c>
      <c r="L618">
        <f t="shared" si="129"/>
        <v>0.02</v>
      </c>
      <c r="M618" s="4">
        <f t="shared" si="140"/>
        <v>3.5000000000000001E-3</v>
      </c>
      <c r="N618" s="4">
        <f t="shared" si="141"/>
        <v>0.02</v>
      </c>
    </row>
    <row r="619" spans="1:14">
      <c r="A619" t="str">
        <f t="shared" si="130"/>
        <v>MK|BR_CN|VDV_MN|NONE_YQ|19Q1Q4_CP|PO5020004141_SP|N/A_AC|DE_OB|ACQ_U1|DCM</v>
      </c>
      <c r="B619" t="str">
        <f t="shared" si="131"/>
        <v>Facebook</v>
      </c>
      <c r="C619" t="str">
        <f t="shared" si="132"/>
        <v>MK|BR_CH|PSD_DT|CROSS_PB|FCBK_FM|LNK_RT|CPM_PD|VDV-PROMONACIONAL_TG|NON_ST|NON_TS|NONE_SZ|1X1_AD|CM1_IT|SOC_U1|SEMANADOBRASIL</v>
      </c>
      <c r="D619" t="str">
        <f t="shared" si="133"/>
        <v>255052029</v>
      </c>
      <c r="E619" t="str">
        <f t="shared" si="134"/>
        <v>Dynamic Click</v>
      </c>
      <c r="F619" t="str">
        <f t="shared" si="135"/>
        <v>MK|BR_CH|PSD_DT|CROSS_PB|FCBK_FM|LNK_RT|CPM_PD|VDV-PROMONACIONAL_TG|NON_ST|NON_TS|NONE_SZ|1X1_AD|CM1_IT|SOC_U1|SEMANADOBRASIL</v>
      </c>
      <c r="G619" t="str">
        <f t="shared" si="136"/>
        <v>450960340</v>
      </c>
      <c r="H619" t="str">
        <f t="shared" si="137"/>
        <v>Tracking</v>
      </c>
      <c r="I619">
        <f t="shared" si="138"/>
        <v>0</v>
      </c>
      <c r="J619">
        <f t="shared" si="139"/>
        <v>3230</v>
      </c>
      <c r="K619" s="4">
        <f t="shared" si="128"/>
        <v>3.5000000000000001E-3</v>
      </c>
      <c r="L619">
        <f t="shared" si="129"/>
        <v>0.02</v>
      </c>
      <c r="M619" s="4">
        <f t="shared" si="140"/>
        <v>11.305</v>
      </c>
      <c r="N619" s="4">
        <f t="shared" si="141"/>
        <v>64.599999999999994</v>
      </c>
    </row>
    <row r="620" spans="1:14">
      <c r="A620" t="str">
        <f t="shared" si="130"/>
        <v>MK|BR_CN|VDV_MN|NONE_YQ|19Q1Q4_CP|PO5020004141_SP|N/A_AC|DE_OB|ACQ_U1|DCM</v>
      </c>
      <c r="B620" t="str">
        <f t="shared" si="131"/>
        <v>Facebook</v>
      </c>
      <c r="C620" t="str">
        <f t="shared" si="132"/>
        <v>MK|BR_CH|PSD_DT|CROSS_PB|FCBK_FM|STRY_RT|CPM_PD|VDV-PROMONACIONAL_TG|NON_ST|NON_TS|NONE_SZ|1X1_AD|CM1_IT|SOC_U1|CHANCECHANCE_U2|BASEVDV_U3|BOCEJO</v>
      </c>
      <c r="D620" t="str">
        <f t="shared" si="133"/>
        <v>255126057</v>
      </c>
      <c r="E620" t="str">
        <f t="shared" si="134"/>
        <v>Dynamic Click</v>
      </c>
      <c r="F620" t="str">
        <f t="shared" si="135"/>
        <v>MK|BR_CH|PSD_DT|CROSS_PB|FCBK_FM|STRY_RT|CPM_PD|VDV-PROMONACIONAL_TG|NON_ST|NON_TS|NONE_SZ|1X1_AD|CM1_IT|SOC_U1|CHANCECHANCE_U2|BASEVDV_U3|BOCEJO</v>
      </c>
      <c r="G620" t="str">
        <f t="shared" si="136"/>
        <v>450991817</v>
      </c>
      <c r="H620" t="str">
        <f t="shared" si="137"/>
        <v>Tracking</v>
      </c>
      <c r="I620">
        <f t="shared" si="138"/>
        <v>0</v>
      </c>
      <c r="J620">
        <f t="shared" si="139"/>
        <v>140</v>
      </c>
      <c r="K620" s="4">
        <f t="shared" ref="K620:K683" si="142">IF(LEFT(B620,3)="DBM",0,VLOOKUP(E620,tabela,2,FALSE))</f>
        <v>3.5000000000000001E-3</v>
      </c>
      <c r="L620">
        <f t="shared" ref="L620:L683" si="143">VLOOKUP(E620,tabela,3,FALSE)</f>
        <v>0.02</v>
      </c>
      <c r="M620" s="4">
        <f t="shared" si="140"/>
        <v>0.49</v>
      </c>
      <c r="N620" s="4">
        <f t="shared" si="141"/>
        <v>2.8000000000000003</v>
      </c>
    </row>
    <row r="621" spans="1:14">
      <c r="A621" t="str">
        <f t="shared" si="130"/>
        <v>MK|BR_CN|VDV_MN|NONE_YQ|19Q1Q4_CP|PO5020004141_SP|N/A_AC|DE_OB|ACQ_U1|DCM</v>
      </c>
      <c r="B621" t="str">
        <f t="shared" si="131"/>
        <v>Facebook</v>
      </c>
      <c r="C621" t="str">
        <f t="shared" si="132"/>
        <v>MK|BR_CH|PSD_DT|CROSS_PB|VER_FM|LNK_RT|CPM_PD|VDV-PROMONACIONAL_TG|NON_ST|NON_TS|NONE_SZ|1X1_AD|CM1_IT|SOC_U1|CAMPING_U2|CADASTRE-SE</v>
      </c>
      <c r="D621" t="str">
        <f t="shared" si="133"/>
        <v>251011296</v>
      </c>
      <c r="E621" t="str">
        <f t="shared" si="134"/>
        <v>Dynamic Click</v>
      </c>
      <c r="F621" t="str">
        <f t="shared" si="135"/>
        <v>MK|BR_CH|PSD_DT|CROSS_PB|VER_FM|LNK_RT|CPM_PD|VDV-PROMONACIONAL_TG|NON_ST|NON_TS|NONE_SZ|1X1_AD|CM1_IT|SOC_U1|CAMPING_U2|CADASTRE-SE</v>
      </c>
      <c r="G621" t="str">
        <f t="shared" si="136"/>
        <v>447051950</v>
      </c>
      <c r="H621" t="str">
        <f t="shared" si="137"/>
        <v>Tracking</v>
      </c>
      <c r="I621">
        <f t="shared" si="138"/>
        <v>0</v>
      </c>
      <c r="J621">
        <f t="shared" si="139"/>
        <v>1</v>
      </c>
      <c r="K621" s="4">
        <f t="shared" si="142"/>
        <v>3.5000000000000001E-3</v>
      </c>
      <c r="L621">
        <f t="shared" si="143"/>
        <v>0.02</v>
      </c>
      <c r="M621" s="4">
        <f t="shared" si="140"/>
        <v>3.5000000000000001E-3</v>
      </c>
      <c r="N621" s="4">
        <f t="shared" si="141"/>
        <v>0.02</v>
      </c>
    </row>
    <row r="622" spans="1:14">
      <c r="A622" t="str">
        <f t="shared" si="130"/>
        <v>MK|BR_CN|VDV_MN|NONE_YQ|19Q1Q4_CP|PO5020004141_SP|N/A_AC|DE_OB|ACQ_U1|DCM</v>
      </c>
      <c r="B622" t="str">
        <f t="shared" si="131"/>
        <v>Google - YouTube</v>
      </c>
      <c r="C622" t="str">
        <f t="shared" si="132"/>
        <v>MK|BR_CH|PSD_DT|CROSS_PB|YOUT_FM|BMPR_RT|CPM_PD|VDV-PROMONACIONAL_TG|NON_ST|NON_TS|NONE_SZ|1X1_AD|CM1_IT|SOC_U1|CHANCECHANCE</v>
      </c>
      <c r="D622" t="str">
        <f t="shared" si="133"/>
        <v>255175294</v>
      </c>
      <c r="E622" t="str">
        <f t="shared" si="134"/>
        <v>Dynamic Click</v>
      </c>
      <c r="F622" t="str">
        <f t="shared" si="135"/>
        <v>MK|BR_CH|PSD_DT|CROSS_PB|YOUT_FM|BMPR_RT|CPM_PD|VDV-PROMONACIONAL_TG|NON_ST|NON_TS|NONE_SZ|1X1_AD|CM1_IT|SOC_U1|CHANCECHANCE</v>
      </c>
      <c r="G622" t="str">
        <f t="shared" si="136"/>
        <v>451157612</v>
      </c>
      <c r="H622" t="str">
        <f t="shared" si="137"/>
        <v>Tracking</v>
      </c>
      <c r="I622">
        <f t="shared" si="138"/>
        <v>1475168</v>
      </c>
      <c r="J622">
        <f t="shared" si="139"/>
        <v>174780</v>
      </c>
      <c r="K622" s="4">
        <f t="shared" si="142"/>
        <v>3.5000000000000001E-3</v>
      </c>
      <c r="L622">
        <f t="shared" si="143"/>
        <v>0.02</v>
      </c>
      <c r="M622" s="4">
        <f t="shared" si="140"/>
        <v>611.73</v>
      </c>
      <c r="N622" s="4">
        <f t="shared" si="141"/>
        <v>3495.6</v>
      </c>
    </row>
    <row r="623" spans="1:14">
      <c r="A623" t="str">
        <f t="shared" si="130"/>
        <v>MK|BR_CN|VDV_MN|NONE_YQ|19Q1Q4_CP|PO5020004141_SP|N/A_AC|DE_OB|ACQ_U1|DCM</v>
      </c>
      <c r="B623" t="str">
        <f t="shared" si="131"/>
        <v>Google - YouTube</v>
      </c>
      <c r="C623" t="str">
        <f t="shared" si="132"/>
        <v>MK|BR_CH|PSV_DT|CROSS_PB|YOUT_FM|BMPR_RT|CPM_PD|VDV-PROMONACIONAL_TG|NON_ST|NON_TS|NONE_SZ|1X1_AD|CM1_IT|SOC_U1|CHANCECHANCE</v>
      </c>
      <c r="D623" t="str">
        <f t="shared" si="133"/>
        <v>254862021</v>
      </c>
      <c r="E623" t="str">
        <f t="shared" si="134"/>
        <v>Dynamic Click</v>
      </c>
      <c r="F623" t="str">
        <f t="shared" si="135"/>
        <v>MK|BR_CH|PSV_DT|CROSS_PB|YOUT_FM|BMPR_RT|CPM_PD|VDV-PROMONACIONAL_TG|NON_ST|NON_TS|NONE_SZ|1X1_AD|CM1_IT|SOC_U1|CHANCECHANCE</v>
      </c>
      <c r="G623" t="str">
        <f t="shared" si="136"/>
        <v>450673278</v>
      </c>
      <c r="H623" t="str">
        <f t="shared" si="137"/>
        <v>Tracking</v>
      </c>
      <c r="I623">
        <f t="shared" si="138"/>
        <v>0</v>
      </c>
      <c r="J623">
        <f t="shared" si="139"/>
        <v>1</v>
      </c>
      <c r="K623" s="4">
        <f t="shared" si="142"/>
        <v>3.5000000000000001E-3</v>
      </c>
      <c r="L623">
        <f t="shared" si="143"/>
        <v>0.02</v>
      </c>
      <c r="M623" s="4">
        <f t="shared" si="140"/>
        <v>3.5000000000000001E-3</v>
      </c>
      <c r="N623" s="4">
        <f t="shared" si="141"/>
        <v>0.02</v>
      </c>
    </row>
    <row r="624" spans="1:14">
      <c r="A624" t="str">
        <f t="shared" si="130"/>
        <v>MK|BR_CN|VDV_MN|NONE_YQ|19Q1Q4_CP|PO5020004141_SP|N/A_AC|DE_OB|ACQ_U1|DCM</v>
      </c>
      <c r="B624" t="str">
        <f t="shared" si="131"/>
        <v>Google - YouTube</v>
      </c>
      <c r="C624" t="str">
        <f t="shared" si="132"/>
        <v>MK|BR_CH|PSV_DT|CROSS_PB|YOUT_FM|BMPR_RT|CPM_PD|VDV-PROMONACIONAL_TG|NON_ST|NON_TS|NONE_SZ|1X1_AD|CM1_IT|SOC_U1|KVFERIAS_U2|PRAIA</v>
      </c>
      <c r="D624" t="str">
        <f t="shared" si="133"/>
        <v>251343159</v>
      </c>
      <c r="E624" t="str">
        <f t="shared" si="134"/>
        <v>Dynamic Click</v>
      </c>
      <c r="F624" t="str">
        <f t="shared" si="135"/>
        <v>MK|BR_CH|PSV_DT|CROSS_PB|YOUT_FM|BMPR_RT|CPM_PD|VDV-PROMONACIONAL_TG|NON_ST|NON_TS|NONE_SZ|1X1_AD|CM1_IT|SOC_U1|KVFERIAS_U2|PRAIA</v>
      </c>
      <c r="G624" t="str">
        <f t="shared" si="136"/>
        <v>447382424</v>
      </c>
      <c r="H624" t="str">
        <f t="shared" si="137"/>
        <v>Tracking</v>
      </c>
      <c r="I624">
        <f t="shared" si="138"/>
        <v>0</v>
      </c>
      <c r="J624">
        <f t="shared" si="139"/>
        <v>6</v>
      </c>
      <c r="K624" s="4">
        <f t="shared" si="142"/>
        <v>3.5000000000000001E-3</v>
      </c>
      <c r="L624">
        <f t="shared" si="143"/>
        <v>0.02</v>
      </c>
      <c r="M624" s="4">
        <f t="shared" si="140"/>
        <v>2.1000000000000001E-2</v>
      </c>
      <c r="N624" s="4">
        <f t="shared" si="141"/>
        <v>0.12</v>
      </c>
    </row>
    <row r="625" spans="1:14">
      <c r="A625" t="str">
        <f t="shared" si="130"/>
        <v>MK|BR_CN|VDV_MN|NONE_YQ|19Q1Q4_CP|PO5020004141_SP|N/A_AC|DE_OB|ACQ_U1|DCM</v>
      </c>
      <c r="B625" t="str">
        <f t="shared" si="131"/>
        <v>Google - YouTube</v>
      </c>
      <c r="C625" t="str">
        <f t="shared" si="132"/>
        <v>MK|BR_CH|PSV_DT|CROSS_PB|YOUT_FM|BMPR_RT|CPM_PD|VDV-PROMONACIONAL_TG|NON_ST|NON_TS|NONE_SZ|Video:6_AD|CM1_IT|SOC</v>
      </c>
      <c r="D625" t="str">
        <f t="shared" si="133"/>
        <v>249687215</v>
      </c>
      <c r="E625" t="str">
        <f t="shared" si="134"/>
        <v>Dynamic Click</v>
      </c>
      <c r="F625" t="str">
        <f t="shared" si="135"/>
        <v>MK|BR_CH|PSV_DT|CROSS_PB|YOUT_FM|BMPR_RT|CPM_PD|VDV-PROMONACIONAL_TG|NON_ST|NON_TS|NONE_SZ|Video:6_AD|CM1_IT|SOC</v>
      </c>
      <c r="G625" t="str">
        <f t="shared" si="136"/>
        <v>446040009</v>
      </c>
      <c r="H625" t="str">
        <f t="shared" si="137"/>
        <v>Tracking</v>
      </c>
      <c r="I625">
        <f t="shared" si="138"/>
        <v>0</v>
      </c>
      <c r="J625">
        <f t="shared" si="139"/>
        <v>5960</v>
      </c>
      <c r="K625" s="4">
        <f t="shared" si="142"/>
        <v>3.5000000000000001E-3</v>
      </c>
      <c r="L625">
        <f t="shared" si="143"/>
        <v>0.02</v>
      </c>
      <c r="M625" s="4">
        <f t="shared" si="140"/>
        <v>20.86</v>
      </c>
      <c r="N625" s="4">
        <f t="shared" si="141"/>
        <v>119.2</v>
      </c>
    </row>
    <row r="626" spans="1:14">
      <c r="A626" t="str">
        <f t="shared" si="130"/>
        <v>MK|BR_CN|VDV_MN|NONE_YQ|19Q1Q4_CP|PO5020004141_SP|N/A_AC|DE_OB|ACQ_U1|DCM</v>
      </c>
      <c r="B626" t="str">
        <f t="shared" si="131"/>
        <v>Google - YouTube</v>
      </c>
      <c r="C626" t="str">
        <f t="shared" si="132"/>
        <v>MK|BR_CH|PSV_DT|CROSS_PB|YOUT_FM|VID_RT|CPM_PD|VDV-PROMONACIONAL_TG|NON_ST|NON_TS|NONE_SZ|1X1_AD|CM1_IT|SOC_U1|KVFERIAS_U2|PRAIA</v>
      </c>
      <c r="D626" t="str">
        <f t="shared" si="133"/>
        <v>251351886</v>
      </c>
      <c r="E626" t="str">
        <f t="shared" si="134"/>
        <v>Rich Media display banner</v>
      </c>
      <c r="F626" t="str">
        <f t="shared" si="135"/>
        <v>MK|BR_CH|PSV_DT|CROSS_PB|YOUT_FM|VID_RT|CPM_PD|VDV-PROMONACIONAL_TG|NON_ST|NON_TS|NONE_SZ|1X1_AD|CM1_IT|SOC_U1|KVFERIAS_U2|PRAIA</v>
      </c>
      <c r="G626" t="str">
        <f t="shared" si="136"/>
        <v>447378698</v>
      </c>
      <c r="H626" t="str">
        <f t="shared" si="137"/>
        <v>In-Stream Video</v>
      </c>
      <c r="I626">
        <f t="shared" si="138"/>
        <v>2</v>
      </c>
      <c r="J626">
        <f t="shared" si="139"/>
        <v>0</v>
      </c>
      <c r="K626" s="4">
        <f t="shared" si="142"/>
        <v>0.6</v>
      </c>
      <c r="L626">
        <f t="shared" si="143"/>
        <v>0.35</v>
      </c>
      <c r="M626" s="4">
        <f t="shared" si="140"/>
        <v>1.1999999999999999E-3</v>
      </c>
      <c r="N626" s="4">
        <f t="shared" si="141"/>
        <v>6.9999999999999999E-4</v>
      </c>
    </row>
    <row r="627" spans="1:14">
      <c r="A627" t="str">
        <f t="shared" si="130"/>
        <v>MK|BR_CN|VDV_MN|NONE_YQ|19Q1Q4_CP|PO5020004141_SP|N/A_AC|DE_OB|ACQ_U1|DCM</v>
      </c>
      <c r="B627" t="str">
        <f t="shared" si="131"/>
        <v>Google - YouTube</v>
      </c>
      <c r="C627" t="str">
        <f t="shared" si="132"/>
        <v>MK|BR_CH|PV_DT|CROSS_PB|YOUT_FM|VID_RT|CPM_PD|VDV-PROMONACIONAL_TG|NON_ST|NON_TS|NONE_SZ|1X1_AD|CM1_IT|SOC_U1|CHANCECHANCE_U2|32''</v>
      </c>
      <c r="D627" t="str">
        <f t="shared" si="133"/>
        <v>254926983</v>
      </c>
      <c r="E627" t="str">
        <f t="shared" si="134"/>
        <v>Dynamic Click</v>
      </c>
      <c r="F627" t="str">
        <f t="shared" si="135"/>
        <v>MK|BR_CH|PV_DT|CROSS_PB|YOUT_FM|VID_RT|CPM_PD|VDV-PROMONACIONAL_TG|NON_ST|NON_TS|NONE_SZ|1X1_AD|CM1_IT|SOC_U1|CHANCECHANCE_U2|32''</v>
      </c>
      <c r="G627" t="str">
        <f t="shared" si="136"/>
        <v>450836302</v>
      </c>
      <c r="H627" t="str">
        <f t="shared" si="137"/>
        <v>Tracking</v>
      </c>
      <c r="I627">
        <f t="shared" si="138"/>
        <v>1417003</v>
      </c>
      <c r="J627">
        <f t="shared" si="139"/>
        <v>6653</v>
      </c>
      <c r="K627" s="4">
        <f t="shared" si="142"/>
        <v>3.5000000000000001E-3</v>
      </c>
      <c r="L627">
        <f t="shared" si="143"/>
        <v>0.02</v>
      </c>
      <c r="M627" s="4">
        <f t="shared" si="140"/>
        <v>23.285499999999999</v>
      </c>
      <c r="N627" s="4">
        <f t="shared" si="141"/>
        <v>133.06</v>
      </c>
    </row>
    <row r="628" spans="1:14">
      <c r="A628" t="str">
        <f t="shared" si="130"/>
        <v>MK|BR_CN|VDV_MN|NONE_YQ|19Q1Q4_CP|PO5020004141_SP|N/A_AC|DE_OB|ACQ_U1|DCM</v>
      </c>
      <c r="B628" t="str">
        <f t="shared" si="131"/>
        <v>Google Brasil</v>
      </c>
      <c r="C628" t="str">
        <f t="shared" si="132"/>
        <v>MK|BR_CH|PD_DT|CROSS_PB|DV36_FM|BAN_RT|CPM_PD|VCO-MERCHANT-GOL_TG|NON_ST|NON_TS|NONE_SZ|300x250_AD|CM_IT|SOC_U1|WIFI</v>
      </c>
      <c r="D628" t="str">
        <f t="shared" si="133"/>
        <v>252858643</v>
      </c>
      <c r="E628" t="str">
        <f t="shared" si="134"/>
        <v>Standard</v>
      </c>
      <c r="F628" t="str">
        <f t="shared" si="135"/>
        <v>MK|BR_CH|PD_DT|CROSS_PB|DV36_FM|BAN_RT|CPM_PD|VCO-MERCHANT-GOL_TG|NON_ST|NON_TS|NONE_SZ|300x250_AD|CM_IT|SOC_U1|WIFI</v>
      </c>
      <c r="G628" t="str">
        <f t="shared" si="136"/>
        <v>448960804</v>
      </c>
      <c r="H628" t="str">
        <f t="shared" si="137"/>
        <v>Display</v>
      </c>
      <c r="I628">
        <f t="shared" si="138"/>
        <v>4</v>
      </c>
      <c r="J628">
        <f t="shared" si="139"/>
        <v>0</v>
      </c>
      <c r="K628" s="4">
        <f t="shared" si="142"/>
        <v>3.8199999999999998E-2</v>
      </c>
      <c r="L628">
        <f t="shared" si="143"/>
        <v>0.09</v>
      </c>
      <c r="M628" s="4">
        <f t="shared" si="140"/>
        <v>1.528E-4</v>
      </c>
      <c r="N628" s="4">
        <f t="shared" si="141"/>
        <v>3.5999999999999997E-4</v>
      </c>
    </row>
    <row r="629" spans="1:14">
      <c r="A629" t="str">
        <f t="shared" si="130"/>
        <v>MK|BR_CN|VDV_MN|NONE_YQ|19Q1Q4_CP|PO5020004141_SP|N/A_AC|DE_OB|ACQ_U1|DCM</v>
      </c>
      <c r="B629" t="str">
        <f t="shared" si="131"/>
        <v>Google Brasil</v>
      </c>
      <c r="C629" t="str">
        <f t="shared" si="132"/>
        <v>MK|BR_CH|PD_DT|CROSS_PB|DV36_FM|BAN_RT|CPM_PD|VCO-MERCHANT-GOL_TG|NON_ST|NON_TS|NONE_SZ|300x600_AD|CM_IT|SOC_U1|WIFI</v>
      </c>
      <c r="D629" t="str">
        <f t="shared" si="133"/>
        <v>252859840</v>
      </c>
      <c r="E629" t="str">
        <f t="shared" si="134"/>
        <v>Standard</v>
      </c>
      <c r="F629" t="str">
        <f t="shared" si="135"/>
        <v>MK|BR_CH|PD_DT|CROSS_PB|DV36_FM|BAN_RT|CPM_PD|VCO-MERCHANT-GOL_TG|NON_ST|NON_TS|NONE_SZ|300x600_AD|CM_IT|SOC_U1|WIFI</v>
      </c>
      <c r="G629" t="str">
        <f t="shared" si="136"/>
        <v>448961578</v>
      </c>
      <c r="H629" t="str">
        <f t="shared" si="137"/>
        <v>Display</v>
      </c>
      <c r="I629">
        <f t="shared" si="138"/>
        <v>1</v>
      </c>
      <c r="J629">
        <f t="shared" si="139"/>
        <v>1</v>
      </c>
      <c r="K629" s="4">
        <f t="shared" si="142"/>
        <v>3.8199999999999998E-2</v>
      </c>
      <c r="L629">
        <f t="shared" si="143"/>
        <v>0.09</v>
      </c>
      <c r="M629" s="4">
        <f t="shared" si="140"/>
        <v>3.82E-5</v>
      </c>
      <c r="N629" s="4">
        <f t="shared" si="141"/>
        <v>8.9999999999999992E-5</v>
      </c>
    </row>
    <row r="630" spans="1:14">
      <c r="A630" t="str">
        <f t="shared" si="130"/>
        <v>MK|BR_CN|VDV_MN|NONE_YQ|19Q1Q4_CP|PO5020004141_SP|N/A_AC|DE_OB|ACQ_U1|DCM</v>
      </c>
      <c r="B630" t="str">
        <f t="shared" si="131"/>
        <v>Google Brasil</v>
      </c>
      <c r="C630" t="str">
        <f t="shared" si="132"/>
        <v>MK|BR_CH|PD_DT|CROSS_PB|DV36_FM|BAN_RT|CPM_PD|VCO-MERCHANT-GPA_TG|NON_ST|NON_TS|NONE_SZ|160x600_AD|CM_IT|SOC</v>
      </c>
      <c r="D630" t="str">
        <f t="shared" si="133"/>
        <v>252563791</v>
      </c>
      <c r="E630" t="str">
        <f t="shared" si="134"/>
        <v>Standard</v>
      </c>
      <c r="F630" t="str">
        <f t="shared" si="135"/>
        <v>MK|BR_CH|PD_DT|CROSS_PB|DV36_FM|BAN_RT|CPM_PD|VCO-MERCHANT-GPA_TG|NON_ST|NON_TS|NONE_SZ|160x600_AD|CM_IT|SOC</v>
      </c>
      <c r="G630" t="str">
        <f t="shared" si="136"/>
        <v>448602629</v>
      </c>
      <c r="H630" t="str">
        <f t="shared" si="137"/>
        <v>Display</v>
      </c>
      <c r="I630">
        <f t="shared" si="138"/>
        <v>5236</v>
      </c>
      <c r="J630">
        <f t="shared" si="139"/>
        <v>331</v>
      </c>
      <c r="K630" s="4">
        <f t="shared" si="142"/>
        <v>3.8199999999999998E-2</v>
      </c>
      <c r="L630">
        <f t="shared" si="143"/>
        <v>0.09</v>
      </c>
      <c r="M630" s="4">
        <f t="shared" si="140"/>
        <v>0.2000152</v>
      </c>
      <c r="N630" s="4">
        <f t="shared" si="141"/>
        <v>0.47123999999999999</v>
      </c>
    </row>
    <row r="631" spans="1:14">
      <c r="A631" t="str">
        <f t="shared" si="130"/>
        <v>MK|BR_CN|VDV_MN|NONE_YQ|19Q1Q4_CP|PO5020004141_SP|N/A_AC|DE_OB|ACQ_U1|DCM</v>
      </c>
      <c r="B631" t="str">
        <f t="shared" si="131"/>
        <v>Google Brasil</v>
      </c>
      <c r="C631" t="str">
        <f t="shared" si="132"/>
        <v>MK|BR_CH|PD_DT|CROSS_PB|DV36_FM|BAN_RT|CPM_PD|VCO-MERCHANT-GPA_TG|NON_ST|NON_TS|NONE_SZ|300x250_AD|CM_IT|SOC</v>
      </c>
      <c r="D631" t="str">
        <f t="shared" si="133"/>
        <v>252206129</v>
      </c>
      <c r="E631" t="str">
        <f t="shared" si="134"/>
        <v>Standard</v>
      </c>
      <c r="F631" t="str">
        <f t="shared" si="135"/>
        <v>MK|BR_CH|PD_DT|CROSS_PB|DV36_FM|BAN_RT|CPM_PD|VCO-MERCHANT-GPA_TG|NON_ST|NON_TS|NONE_SZ|300x250_AD|CM_IT|SOC</v>
      </c>
      <c r="G631" t="str">
        <f t="shared" si="136"/>
        <v>448551318</v>
      </c>
      <c r="H631" t="str">
        <f t="shared" si="137"/>
        <v>Display</v>
      </c>
      <c r="I631">
        <f t="shared" si="138"/>
        <v>967407</v>
      </c>
      <c r="J631">
        <f t="shared" si="139"/>
        <v>33049</v>
      </c>
      <c r="K631" s="4">
        <f t="shared" si="142"/>
        <v>3.8199999999999998E-2</v>
      </c>
      <c r="L631">
        <f t="shared" si="143"/>
        <v>0.09</v>
      </c>
      <c r="M631" s="4">
        <f t="shared" si="140"/>
        <v>36.954947399999995</v>
      </c>
      <c r="N631" s="4">
        <f t="shared" si="141"/>
        <v>87.066629999999989</v>
      </c>
    </row>
    <row r="632" spans="1:14">
      <c r="A632" t="str">
        <f t="shared" si="130"/>
        <v>MK|BR_CN|VDV_MN|NONE_YQ|19Q1Q4_CP|PO5020004141_SP|N/A_AC|DE_OB|ACQ_U1|DCM</v>
      </c>
      <c r="B632" t="str">
        <f t="shared" si="131"/>
        <v>Google Brasil</v>
      </c>
      <c r="C632" t="str">
        <f t="shared" si="132"/>
        <v>MK|BR_CH|PD_DT|CROSS_PB|DV36_FM|BAN_RT|CPM_PD|VCO-MERCHANT-GPA_TG|NON_ST|NON_TS|NONE_SZ|300x600_AD|CM_IT|SOC</v>
      </c>
      <c r="D632" t="str">
        <f t="shared" si="133"/>
        <v>252613815</v>
      </c>
      <c r="E632" t="str">
        <f t="shared" si="134"/>
        <v>Standard</v>
      </c>
      <c r="F632" t="str">
        <f t="shared" si="135"/>
        <v>MK|BR_CH|PD_DT|CROSS_PB|DV36_FM|BAN_RT|CPM_PD|VCO-MERCHANT-GPA_TG|NON_ST|NON_TS|NONE_SZ|300x600_AD|CM_IT|SOC</v>
      </c>
      <c r="G632" t="str">
        <f t="shared" si="136"/>
        <v>448551120</v>
      </c>
      <c r="H632" t="str">
        <f t="shared" si="137"/>
        <v>Display</v>
      </c>
      <c r="I632">
        <f t="shared" si="138"/>
        <v>166258</v>
      </c>
      <c r="J632">
        <f t="shared" si="139"/>
        <v>6410</v>
      </c>
      <c r="K632" s="4">
        <f t="shared" si="142"/>
        <v>3.8199999999999998E-2</v>
      </c>
      <c r="L632">
        <f t="shared" si="143"/>
        <v>0.09</v>
      </c>
      <c r="M632" s="4">
        <f t="shared" si="140"/>
        <v>6.3510555999999996</v>
      </c>
      <c r="N632" s="4">
        <f t="shared" si="141"/>
        <v>14.96322</v>
      </c>
    </row>
    <row r="633" spans="1:14">
      <c r="A633" t="str">
        <f t="shared" si="130"/>
        <v>MK|BR_CN|VDV_MN|NONE_YQ|19Q1Q4_CP|PO5020004141_SP|N/A_AC|DE_OB|ACQ_U1|DCM</v>
      </c>
      <c r="B633" t="str">
        <f t="shared" si="131"/>
        <v>Google Brasil</v>
      </c>
      <c r="C633" t="str">
        <f t="shared" si="132"/>
        <v>MK|BR_CH|PD_DT|CROSS_PB|DV36_FM|BAN_RT|CPM_PD|VCO-MERCHANT-GPA_TG|NON_ST|NON_TS|NONE_SZ|970x250_AD|CM_IT|SOC</v>
      </c>
      <c r="D633" t="str">
        <f t="shared" si="133"/>
        <v>252617688</v>
      </c>
      <c r="E633" t="str">
        <f t="shared" si="134"/>
        <v>Standard</v>
      </c>
      <c r="F633" t="str">
        <f t="shared" si="135"/>
        <v>MK|BR_CH|PD_DT|CROSS_PB|DV36_FM|BAN_RT|CPM_PD|VCO-MERCHANT-GPA_TG|NON_ST|NON_TS|NONE_SZ|970x250_AD|CM_IT|SOC</v>
      </c>
      <c r="G633" t="str">
        <f t="shared" si="136"/>
        <v>448602572</v>
      </c>
      <c r="H633" t="str">
        <f t="shared" si="137"/>
        <v>Display</v>
      </c>
      <c r="I633">
        <f t="shared" si="138"/>
        <v>13520</v>
      </c>
      <c r="J633">
        <f t="shared" si="139"/>
        <v>88</v>
      </c>
      <c r="K633" s="4">
        <f t="shared" si="142"/>
        <v>3.8199999999999998E-2</v>
      </c>
      <c r="L633">
        <f t="shared" si="143"/>
        <v>0.09</v>
      </c>
      <c r="M633" s="4">
        <f t="shared" si="140"/>
        <v>0.51646399999999992</v>
      </c>
      <c r="N633" s="4">
        <f t="shared" si="141"/>
        <v>1.2167999999999999</v>
      </c>
    </row>
    <row r="634" spans="1:14">
      <c r="A634" t="str">
        <f t="shared" si="130"/>
        <v>MK|BR_CN|VDV_MN|NONE_YQ|19Q1Q4_CP|PO5020004141_SP|N/A_AC|DE_OB|ACQ_U1|DCM</v>
      </c>
      <c r="B634" t="str">
        <f t="shared" si="131"/>
        <v>Google Brasil</v>
      </c>
      <c r="C634" t="str">
        <f t="shared" si="132"/>
        <v>MK|BR_CH|PD_DT|CROSS_PB|DV36_FM|BAN_RT|CPM_PD|VDV-EDUCACIONAL_TG|NON_ST|NON_TS|NONE_SZ|160x600_AD|CM_IT|SOC</v>
      </c>
      <c r="D634" t="str">
        <f t="shared" si="133"/>
        <v>251696792</v>
      </c>
      <c r="E634" t="str">
        <f t="shared" si="134"/>
        <v>Standard</v>
      </c>
      <c r="F634" t="str">
        <f t="shared" si="135"/>
        <v>MK|BR_CH|PD_DT|CROSS_PB|DV36_FM|BAN_RT|CPM_PD|VDV-EDUCACIONAL_TG|NON_ST|NON_TS|NONE_SZ|160x600_AD|CM_IT|SOC</v>
      </c>
      <c r="G634" t="str">
        <f t="shared" si="136"/>
        <v>448174294</v>
      </c>
      <c r="H634" t="str">
        <f t="shared" si="137"/>
        <v>Display</v>
      </c>
      <c r="I634">
        <f t="shared" si="138"/>
        <v>36266</v>
      </c>
      <c r="J634">
        <f t="shared" si="139"/>
        <v>120</v>
      </c>
      <c r="K634" s="4">
        <f t="shared" si="142"/>
        <v>3.8199999999999998E-2</v>
      </c>
      <c r="L634">
        <f t="shared" si="143"/>
        <v>0.09</v>
      </c>
      <c r="M634" s="4">
        <f t="shared" si="140"/>
        <v>1.3853611999999997</v>
      </c>
      <c r="N634" s="4">
        <f t="shared" si="141"/>
        <v>3.2639399999999998</v>
      </c>
    </row>
    <row r="635" spans="1:14">
      <c r="A635" t="str">
        <f t="shared" si="130"/>
        <v>MK|BR_CN|VDV_MN|NONE_YQ|19Q1Q4_CP|PO5020004141_SP|N/A_AC|DE_OB|ACQ_U1|DCM</v>
      </c>
      <c r="B635" t="str">
        <f t="shared" si="131"/>
        <v>Google Brasil</v>
      </c>
      <c r="C635" t="str">
        <f t="shared" si="132"/>
        <v>MK|BR_CH|PD_DT|CROSS_PB|DV36_FM|BAN_RT|CPM_PD|VDV-EDUCACIONAL_TG|NON_ST|NON_TS|NONE_SZ|160x600_AD|CM_IT|SOC_U1|CREDITO</v>
      </c>
      <c r="D635" t="str">
        <f t="shared" si="133"/>
        <v>251830933</v>
      </c>
      <c r="E635" t="str">
        <f t="shared" si="134"/>
        <v>Standard</v>
      </c>
      <c r="F635" t="str">
        <f t="shared" si="135"/>
        <v>MK|BR_CH|PD_DT|CROSS_PB|DV36_FM|BAN_RT|CPM_PD|VDV-EDUCACIONAL_TG|NON_ST|NON_TS|NONE_SZ|160x600_AD|CM_IT|SOC_U1|CREDITO</v>
      </c>
      <c r="G635" t="str">
        <f t="shared" si="136"/>
        <v>447910445</v>
      </c>
      <c r="H635" t="str">
        <f t="shared" si="137"/>
        <v>Display</v>
      </c>
      <c r="I635">
        <f t="shared" si="138"/>
        <v>27271</v>
      </c>
      <c r="J635">
        <f t="shared" si="139"/>
        <v>137</v>
      </c>
      <c r="K635" s="4">
        <f t="shared" si="142"/>
        <v>3.8199999999999998E-2</v>
      </c>
      <c r="L635">
        <f t="shared" si="143"/>
        <v>0.09</v>
      </c>
      <c r="M635" s="4">
        <f t="shared" si="140"/>
        <v>1.0417521999999999</v>
      </c>
      <c r="N635" s="4">
        <f t="shared" si="141"/>
        <v>2.4543900000000001</v>
      </c>
    </row>
    <row r="636" spans="1:14">
      <c r="A636" t="str">
        <f t="shared" si="130"/>
        <v>MK|BR_CN|VDV_MN|NONE_YQ|19Q1Q4_CP|PO5020004141_SP|N/A_AC|DE_OB|ACQ_U1|DCM</v>
      </c>
      <c r="B636" t="str">
        <f t="shared" si="131"/>
        <v>Google Brasil</v>
      </c>
      <c r="C636" t="str">
        <f t="shared" si="132"/>
        <v>MK|BR_CH|PD_DT|CROSS_PB|DV36_FM|BAN_RT|CPM_PD|VDV-EDUCACIONAL_TG|NON_ST|NON_TS|NONE_SZ|300x250_AD|CM_IT|SOC</v>
      </c>
      <c r="D636" t="str">
        <f t="shared" si="133"/>
        <v>252103032</v>
      </c>
      <c r="E636" t="str">
        <f t="shared" si="134"/>
        <v>Standard</v>
      </c>
      <c r="F636" t="str">
        <f t="shared" si="135"/>
        <v>MK|BR_CH|PD_DT|CROSS_PB|DV36_FM|BAN_RT|CPM_PD|VDV-EDUCACIONAL_TG|NON_ST|NON_TS|NONE_SZ|300x250_AD|CM_IT|SOC</v>
      </c>
      <c r="G636" t="str">
        <f t="shared" si="136"/>
        <v>448174348</v>
      </c>
      <c r="H636" t="str">
        <f t="shared" si="137"/>
        <v>Display</v>
      </c>
      <c r="I636">
        <f t="shared" si="138"/>
        <v>5199479</v>
      </c>
      <c r="J636">
        <f t="shared" si="139"/>
        <v>144708</v>
      </c>
      <c r="K636" s="4">
        <f t="shared" si="142"/>
        <v>3.8199999999999998E-2</v>
      </c>
      <c r="L636">
        <f t="shared" si="143"/>
        <v>0.09</v>
      </c>
      <c r="M636" s="4">
        <f t="shared" si="140"/>
        <v>198.6200978</v>
      </c>
      <c r="N636" s="4">
        <f t="shared" si="141"/>
        <v>467.95310999999998</v>
      </c>
    </row>
    <row r="637" spans="1:14">
      <c r="A637" t="str">
        <f t="shared" si="130"/>
        <v>MK|BR_CN|VDV_MN|NONE_YQ|19Q1Q4_CP|PO5020004141_SP|N/A_AC|DE_OB|ACQ_U1|DCM</v>
      </c>
      <c r="B637" t="str">
        <f t="shared" si="131"/>
        <v>Google Brasil</v>
      </c>
      <c r="C637" t="str">
        <f t="shared" si="132"/>
        <v>MK|BR_CH|PD_DT|CROSS_PB|DV36_FM|BAN_RT|CPM_PD|VDV-EDUCACIONAL_TG|NON_ST|NON_TS|NONE_SZ|300x250_AD|CM_IT|SOC_U1|CREDITO</v>
      </c>
      <c r="D637" t="str">
        <f t="shared" si="133"/>
        <v>251524148</v>
      </c>
      <c r="E637" t="str">
        <f t="shared" si="134"/>
        <v>Standard</v>
      </c>
      <c r="F637" t="str">
        <f t="shared" si="135"/>
        <v>MK|BR_CH|PD_DT|CROSS_PB|DV36_FM|BAN_RT|CPM_PD|VDV-EDUCACIONAL_TG|NON_ST|NON_TS|NONE_SZ|300x250_AD|CM_IT|SOC_U1|CREDITO</v>
      </c>
      <c r="G637" t="str">
        <f t="shared" si="136"/>
        <v>447850161</v>
      </c>
      <c r="H637" t="str">
        <f t="shared" si="137"/>
        <v>Display</v>
      </c>
      <c r="I637">
        <f t="shared" si="138"/>
        <v>579559</v>
      </c>
      <c r="J637">
        <f t="shared" si="139"/>
        <v>7191</v>
      </c>
      <c r="K637" s="4">
        <f t="shared" si="142"/>
        <v>3.8199999999999998E-2</v>
      </c>
      <c r="L637">
        <f t="shared" si="143"/>
        <v>0.09</v>
      </c>
      <c r="M637" s="4">
        <f t="shared" si="140"/>
        <v>22.139153799999999</v>
      </c>
      <c r="N637" s="4">
        <f t="shared" si="141"/>
        <v>52.160309999999996</v>
      </c>
    </row>
    <row r="638" spans="1:14">
      <c r="A638" t="str">
        <f t="shared" si="130"/>
        <v>MK|BR_CN|VDV_MN|NONE_YQ|19Q1Q4_CP|PO5020004141_SP|N/A_AC|DE_OB|ACQ_U1|DCM</v>
      </c>
      <c r="B638" t="str">
        <f t="shared" si="131"/>
        <v>Google Brasil</v>
      </c>
      <c r="C638" t="str">
        <f t="shared" si="132"/>
        <v>MK|BR_CH|PD_DT|CROSS_PB|DV36_FM|BAN_RT|CPM_PD|VDV-EDUCACIONAL_TG|NON_ST|NON_TS|NONE_SZ|300x600_AD|CM_IT|SOC</v>
      </c>
      <c r="D638" t="str">
        <f t="shared" si="133"/>
        <v>251698928</v>
      </c>
      <c r="E638" t="str">
        <f t="shared" si="134"/>
        <v>Standard</v>
      </c>
      <c r="F638" t="str">
        <f t="shared" si="135"/>
        <v>MK|BR_CH|PD_DT|CROSS_PB|DV36_FM|BAN_RT|CPM_PD|VDV-EDUCACIONAL_TG|NON_ST|NON_TS|NONE_SZ|300x600_AD|CM_IT|SOC</v>
      </c>
      <c r="G638" t="str">
        <f t="shared" si="136"/>
        <v>448088975</v>
      </c>
      <c r="H638" t="str">
        <f t="shared" si="137"/>
        <v>Display</v>
      </c>
      <c r="I638">
        <f t="shared" si="138"/>
        <v>6123928</v>
      </c>
      <c r="J638">
        <f t="shared" si="139"/>
        <v>276103</v>
      </c>
      <c r="K638" s="4">
        <f t="shared" si="142"/>
        <v>3.8199999999999998E-2</v>
      </c>
      <c r="L638">
        <f t="shared" si="143"/>
        <v>0.09</v>
      </c>
      <c r="M638" s="4">
        <f t="shared" si="140"/>
        <v>233.93404960000001</v>
      </c>
      <c r="N638" s="4">
        <f t="shared" si="141"/>
        <v>551.15352000000007</v>
      </c>
    </row>
    <row r="639" spans="1:14">
      <c r="A639" t="str">
        <f t="shared" si="130"/>
        <v>MK|BR_CN|VDV_MN|NONE_YQ|19Q1Q4_CP|PO5020004141_SP|N/A_AC|DE_OB|ACQ_U1|DCM</v>
      </c>
      <c r="B639" t="str">
        <f t="shared" si="131"/>
        <v>Google Brasil</v>
      </c>
      <c r="C639" t="str">
        <f t="shared" si="132"/>
        <v>MK|BR_CH|PD_DT|CROSS_PB|DV36_FM|BAN_RT|CPM_PD|VDV-EDUCACIONAL_TG|NON_ST|NON_TS|NONE_SZ|300x600_AD|CM_IT|SOC_U1|CREDITO</v>
      </c>
      <c r="D639" t="str">
        <f t="shared" si="133"/>
        <v>251831053</v>
      </c>
      <c r="E639" t="str">
        <f t="shared" si="134"/>
        <v>Standard</v>
      </c>
      <c r="F639" t="str">
        <f t="shared" si="135"/>
        <v>MK|BR_CH|PD_DT|CROSS_PB|DV36_FM|BAN_RT|CPM_PD|VDV-EDUCACIONAL_TG|NON_ST|NON_TS|NONE_SZ|300x600_AD|CM_IT|SOC_U1|CREDITO</v>
      </c>
      <c r="G639" t="str">
        <f t="shared" si="136"/>
        <v>447911813</v>
      </c>
      <c r="H639" t="str">
        <f t="shared" si="137"/>
        <v>Display</v>
      </c>
      <c r="I639">
        <f t="shared" si="138"/>
        <v>269679</v>
      </c>
      <c r="J639">
        <f t="shared" si="139"/>
        <v>4193</v>
      </c>
      <c r="K639" s="4">
        <f t="shared" si="142"/>
        <v>3.8199999999999998E-2</v>
      </c>
      <c r="L639">
        <f t="shared" si="143"/>
        <v>0.09</v>
      </c>
      <c r="M639" s="4">
        <f t="shared" si="140"/>
        <v>10.3017378</v>
      </c>
      <c r="N639" s="4">
        <f t="shared" si="141"/>
        <v>24.27111</v>
      </c>
    </row>
    <row r="640" spans="1:14">
      <c r="A640" t="str">
        <f t="shared" si="130"/>
        <v>MK|BR_CN|VDV_MN|NONE_YQ|19Q1Q4_CP|PO5020004141_SP|N/A_AC|DE_OB|ACQ_U1|DCM</v>
      </c>
      <c r="B640" t="str">
        <f t="shared" si="131"/>
        <v>Google Brasil</v>
      </c>
      <c r="C640" t="str">
        <f t="shared" si="132"/>
        <v>MK|BR_CH|PD_DT|CROSS_PB|DV36_FM|BAN_RT|CPM_PD|VDV-EDUCACIONAL_TG|NON_ST|NON_TS|NONE_SZ|970x250_AD|CM_IT|SOC</v>
      </c>
      <c r="D640" t="str">
        <f t="shared" si="133"/>
        <v>252103536</v>
      </c>
      <c r="E640" t="str">
        <f t="shared" si="134"/>
        <v>Standard</v>
      </c>
      <c r="F640" t="str">
        <f t="shared" si="135"/>
        <v>MK|BR_CH|PD_DT|CROSS_PB|DV36_FM|BAN_RT|CPM_PD|VDV-EDUCACIONAL_TG|NON_ST|NON_TS|NONE_SZ|970x250_AD|CM_IT|SOC</v>
      </c>
      <c r="G640" t="str">
        <f t="shared" si="136"/>
        <v>448174843</v>
      </c>
      <c r="H640" t="str">
        <f t="shared" si="137"/>
        <v>Display</v>
      </c>
      <c r="I640">
        <f t="shared" si="138"/>
        <v>162546</v>
      </c>
      <c r="J640">
        <f t="shared" si="139"/>
        <v>4287</v>
      </c>
      <c r="K640" s="4">
        <f t="shared" si="142"/>
        <v>3.8199999999999998E-2</v>
      </c>
      <c r="L640">
        <f t="shared" si="143"/>
        <v>0.09</v>
      </c>
      <c r="M640" s="4">
        <f t="shared" si="140"/>
        <v>6.2092571999999997</v>
      </c>
      <c r="N640" s="4">
        <f t="shared" si="141"/>
        <v>14.62914</v>
      </c>
    </row>
    <row r="641" spans="1:14">
      <c r="A641" t="str">
        <f t="shared" si="130"/>
        <v>MK|BR_CN|VDV_MN|NONE_YQ|19Q1Q4_CP|PO5020004141_SP|N/A_AC|DE_OB|ACQ_U1|DCM</v>
      </c>
      <c r="B641" t="str">
        <f t="shared" si="131"/>
        <v>Google Brasil</v>
      </c>
      <c r="C641" t="str">
        <f t="shared" si="132"/>
        <v>MK|BR_CH|PD_DT|CROSS_PB|DV36_FM|BAN_RT|CPM_PD|VDV-EDUCACIONAL_TG|NON_ST|NON_TS|NONE_SZ|970x250_AD|CM_IT|SOC_U1|CREDITO</v>
      </c>
      <c r="D641" t="str">
        <f t="shared" si="133"/>
        <v>251522756</v>
      </c>
      <c r="E641" t="str">
        <f t="shared" si="134"/>
        <v>Standard</v>
      </c>
      <c r="F641" t="str">
        <f t="shared" si="135"/>
        <v>MK|BR_CH|PD_DT|CROSS_PB|DV36_FM|BAN_RT|CPM_PD|VDV-EDUCACIONAL_TG|NON_ST|NON_TS|NONE_SZ|970x250_AD|CM_IT|SOC_U1|CREDITO</v>
      </c>
      <c r="G641" t="str">
        <f t="shared" si="136"/>
        <v>448005643</v>
      </c>
      <c r="H641" t="str">
        <f t="shared" si="137"/>
        <v>Display</v>
      </c>
      <c r="I641">
        <f t="shared" si="138"/>
        <v>12056</v>
      </c>
      <c r="J641">
        <f t="shared" si="139"/>
        <v>112</v>
      </c>
      <c r="K641" s="4">
        <f t="shared" si="142"/>
        <v>3.8199999999999998E-2</v>
      </c>
      <c r="L641">
        <f t="shared" si="143"/>
        <v>0.09</v>
      </c>
      <c r="M641" s="4">
        <f t="shared" si="140"/>
        <v>0.46053919999999998</v>
      </c>
      <c r="N641" s="4">
        <f t="shared" si="141"/>
        <v>1.08504</v>
      </c>
    </row>
    <row r="642" spans="1:14">
      <c r="A642" t="str">
        <f t="shared" ref="A642:A705" si="144">bd_campaign</f>
        <v>MK|BR_CN|VDV_MN|NONE_YQ|19Q1Q4_CP|PO5020004141_SP|N/A_AC|DE_OB|ACQ_U1|DCM</v>
      </c>
      <c r="B642" t="str">
        <f t="shared" ref="B642:B705" si="145">bd_site</f>
        <v>Oath BR</v>
      </c>
      <c r="C642" t="str">
        <f t="shared" ref="C642:C705" si="146">bd_placement</f>
        <v>MK|BR_CH|PD_DT|CROSS_PB|VER_FM|BAN_RT|CPM_PD|VDV-EDUCACIONAL_TG|NON_ST|NON_TS|NONE_SZ|300x250_AD|CM_IT|OO</v>
      </c>
      <c r="D642" t="str">
        <f t="shared" ref="D642:D705" si="147">bd_placementID</f>
        <v>251703248</v>
      </c>
      <c r="E642" t="str">
        <f t="shared" ref="E642:E705" si="148">VLOOKUP(CONCATENATE(bd_adtype,"_",bd_creativetype),tabela,2,FALSE)</f>
        <v>Standard</v>
      </c>
      <c r="F642" t="str">
        <f t="shared" ref="F642:F705" si="149">bd_ad</f>
        <v>MK|BR_CH|PD_DT|CROSS_PB|VER_FM|BAN_RT|CPM_PD|VDV-EDUCACIONAL_TG|NON_ST|NON_TS|NONE_SZ|300x250_AD|CM_IT|OO</v>
      </c>
      <c r="G642" t="str">
        <f t="shared" ref="G642:G705" si="150">bd_adid</f>
        <v>448032093</v>
      </c>
      <c r="H642" t="str">
        <f t="shared" ref="H642:H705" si="151">bd_creativetype</f>
        <v>Display</v>
      </c>
      <c r="I642">
        <f t="shared" ref="I642:I705" si="152">bd_impression</f>
        <v>10</v>
      </c>
      <c r="J642">
        <f t="shared" ref="J642:J705" si="153">bd_clicks</f>
        <v>0</v>
      </c>
      <c r="K642" s="4">
        <f t="shared" si="142"/>
        <v>3.8199999999999998E-2</v>
      </c>
      <c r="L642">
        <f t="shared" si="143"/>
        <v>0.09</v>
      </c>
      <c r="M642" s="4">
        <f t="shared" si="140"/>
        <v>3.8200000000000002E-4</v>
      </c>
      <c r="N642" s="4">
        <f t="shared" si="141"/>
        <v>8.9999999999999987E-4</v>
      </c>
    </row>
    <row r="643" spans="1:14">
      <c r="A643" t="str">
        <f t="shared" si="144"/>
        <v>MK|BR_CN|VDV_MN|NONE_YQ|19Q1Q4_CP|PO5020004141_SP|N/A_AC|DE_OB|ACQ_U1|DCM</v>
      </c>
      <c r="B643" t="str">
        <f t="shared" si="145"/>
        <v>Oath BR</v>
      </c>
      <c r="C643" t="str">
        <f t="shared" si="146"/>
        <v>MK|BR_CH|PD_DT|CROSS_PB|VER_FM|BAN_RT|CPM_PD|VDV-MERCHANT-GOL_TG|NON_ST|NON_TS|NONE_SZ|627x627_AD|CM_IT|OO</v>
      </c>
      <c r="D643" t="str">
        <f t="shared" si="147"/>
        <v>240843175</v>
      </c>
      <c r="E643" t="str">
        <f t="shared" si="148"/>
        <v>Dynamic Click</v>
      </c>
      <c r="F643" t="str">
        <f t="shared" si="149"/>
        <v>MK|BR_CH|PD_DT|CROSS_PB|VER_FM|BAN_RT|CPM_PD|VDV-MERCHANT-GOL_TG|NON_ST|NON_TS|NONE_SZ|627x627_AD|CM_IT|OO</v>
      </c>
      <c r="G643" t="str">
        <f t="shared" si="150"/>
        <v>437838733</v>
      </c>
      <c r="H643" t="str">
        <f t="shared" si="151"/>
        <v>Tracking</v>
      </c>
      <c r="I643">
        <f t="shared" si="152"/>
        <v>0</v>
      </c>
      <c r="J643">
        <f t="shared" si="153"/>
        <v>1</v>
      </c>
      <c r="K643" s="4">
        <f t="shared" si="142"/>
        <v>3.5000000000000001E-3</v>
      </c>
      <c r="L643">
        <f t="shared" si="143"/>
        <v>0.02</v>
      </c>
      <c r="M643" s="4">
        <f t="shared" si="140"/>
        <v>3.5000000000000001E-3</v>
      </c>
      <c r="N643" s="4">
        <f t="shared" si="141"/>
        <v>0.02</v>
      </c>
    </row>
    <row r="644" spans="1:14">
      <c r="A644" t="str">
        <f t="shared" si="144"/>
        <v>MK|BR_CN|VDV_MN|NONE_YQ|19Q1Q4_CP|PO5020004141_SP|N/A_AC|DE_OB|ACQ_U1|DCM</v>
      </c>
      <c r="B644" t="str">
        <f t="shared" si="145"/>
        <v>Oath BR</v>
      </c>
      <c r="C644" t="str">
        <f t="shared" si="146"/>
        <v>MK|BR_CH|PD_DT|CROSS_PB|VER_FM|BAN_RT|CPM_PD|VDV-PROMONACIONAL_TG|NON_ST|NON_TS|NONE_SZ|627x627_AD|CM_IT|OO</v>
      </c>
      <c r="D644" t="str">
        <f t="shared" si="147"/>
        <v>249663197</v>
      </c>
      <c r="E644" t="str">
        <f t="shared" si="148"/>
        <v>Dynamic Click</v>
      </c>
      <c r="F644" t="str">
        <f t="shared" si="149"/>
        <v>MK|BR_CH|PD_DT|CROSS_PB|VER_FM|BAN_RT|CPM_PD|VDV-PROMONACIONAL_TG|NON_ST|NON_TS|NONE_SZ|627x627_AD|CM_IT|OO</v>
      </c>
      <c r="G644" t="str">
        <f t="shared" si="150"/>
        <v>446099921</v>
      </c>
      <c r="H644" t="str">
        <f t="shared" si="151"/>
        <v>Tracking</v>
      </c>
      <c r="I644">
        <f t="shared" si="152"/>
        <v>0</v>
      </c>
      <c r="J644">
        <f t="shared" si="153"/>
        <v>25</v>
      </c>
      <c r="K644" s="4">
        <f t="shared" si="142"/>
        <v>3.5000000000000001E-3</v>
      </c>
      <c r="L644">
        <f t="shared" si="143"/>
        <v>0.02</v>
      </c>
      <c r="M644" s="4">
        <f t="shared" si="140"/>
        <v>8.7500000000000008E-2</v>
      </c>
      <c r="N644" s="4">
        <f t="shared" si="141"/>
        <v>0.5</v>
      </c>
    </row>
    <row r="645" spans="1:14">
      <c r="A645" t="str">
        <f t="shared" si="144"/>
        <v>MK|BR_CN|VDV_MN|NONE_YQ|19Q1Q4_CP|PO5020004141_SP|N/A_AC|DE_OB|ACQ_U1|DCM</v>
      </c>
      <c r="B645" t="str">
        <f t="shared" si="145"/>
        <v>Oath BR</v>
      </c>
      <c r="C645" t="str">
        <f t="shared" si="146"/>
        <v>MK|BR_CH|PD_DT|CROSS_PB|VER_FM|BAN_RT|CPM_PD|VDV-PROMONACIONAL_TG|NON_ST|NON_TS|NONE_SZ|627x627_AD|CM_IT|OO_U1|CAMPO</v>
      </c>
      <c r="D645" t="str">
        <f t="shared" si="147"/>
        <v>251155108</v>
      </c>
      <c r="E645" t="str">
        <f t="shared" si="148"/>
        <v>Dynamic Click</v>
      </c>
      <c r="F645" t="str">
        <f t="shared" si="149"/>
        <v>MK|BR_CH|PD_DT|CROSS_PB|VER_FM|BAN_RT|CPM_PD|VDV-PROMONACIONAL_TG|NON_ST|NON_TS|NONE_SZ|627x627_AD|CM_IT|OO_U1|CAMPO</v>
      </c>
      <c r="G645" t="str">
        <f t="shared" si="150"/>
        <v>447263105</v>
      </c>
      <c r="H645" t="str">
        <f t="shared" si="151"/>
        <v>Tracking</v>
      </c>
      <c r="I645">
        <f t="shared" si="152"/>
        <v>0</v>
      </c>
      <c r="J645">
        <f t="shared" si="153"/>
        <v>9</v>
      </c>
      <c r="K645" s="4">
        <f t="shared" si="142"/>
        <v>3.5000000000000001E-3</v>
      </c>
      <c r="L645">
        <f t="shared" si="143"/>
        <v>0.02</v>
      </c>
      <c r="M645" s="4">
        <f t="shared" si="140"/>
        <v>3.15E-2</v>
      </c>
      <c r="N645" s="4">
        <f t="shared" si="141"/>
        <v>0.18</v>
      </c>
    </row>
    <row r="646" spans="1:14">
      <c r="A646" t="str">
        <f t="shared" si="144"/>
        <v>MK|BR_CN|VDV_MN|NONE_YQ|19Q1Q4_CP|PO5020004141_SP|N/A_AC|DE_OB|ACQ_U1|DCM</v>
      </c>
      <c r="B646" t="str">
        <f t="shared" si="145"/>
        <v>Oath BR</v>
      </c>
      <c r="C646" t="str">
        <f t="shared" si="146"/>
        <v>MK|BR_CH|PD_DT|CROSS_PB|VER_FM|BAN_RT|CPM_PD|VDV-PROMONACIONAL_TG|NON_ST|NON_TS|NONE_SZ|627x627_AD|CM_IT|OO_U1|PRAIA</v>
      </c>
      <c r="D646" t="str">
        <f t="shared" si="147"/>
        <v>251155096</v>
      </c>
      <c r="E646" t="str">
        <f t="shared" si="148"/>
        <v>Dynamic Click</v>
      </c>
      <c r="F646" t="str">
        <f t="shared" si="149"/>
        <v>MK|BR_CH|PD_DT|CROSS_PB|VER_FM|BAN_RT|CPM_PD|VDV-PROMONACIONAL_TG|NON_ST|NON_TS|NONE_SZ|627x627_AD|CM_IT|OO_U1|PRAIA</v>
      </c>
      <c r="G646" t="str">
        <f t="shared" si="150"/>
        <v>447263093</v>
      </c>
      <c r="H646" t="str">
        <f t="shared" si="151"/>
        <v>Tracking</v>
      </c>
      <c r="I646">
        <f t="shared" si="152"/>
        <v>0</v>
      </c>
      <c r="J646">
        <f t="shared" si="153"/>
        <v>2</v>
      </c>
      <c r="K646" s="4">
        <f t="shared" si="142"/>
        <v>3.5000000000000001E-3</v>
      </c>
      <c r="L646">
        <f t="shared" si="143"/>
        <v>0.02</v>
      </c>
      <c r="M646" s="4">
        <f t="shared" si="140"/>
        <v>7.0000000000000001E-3</v>
      </c>
      <c r="N646" s="4">
        <f t="shared" si="141"/>
        <v>0.04</v>
      </c>
    </row>
    <row r="647" spans="1:14">
      <c r="A647" t="str">
        <f t="shared" si="144"/>
        <v>MK|BR_CN|VDV_MN|NONE_YQ|19Q1Q4_CP|PO5020004141_SP|N/A_AC|DE_OB|ACQ_U1|DCM</v>
      </c>
      <c r="B647" t="str">
        <f t="shared" si="145"/>
        <v>Oath BR</v>
      </c>
      <c r="C647" t="str">
        <f t="shared" si="146"/>
        <v>MK|BR_CH|PSD_DT|CROSS_PB|VER_FM|BAN_RT|CPM_PD|VDV-EDUCACIONAL_TG|NON_ST|NON_TS|NONE_SZ|160x600_AD|CM_IT|OO</v>
      </c>
      <c r="D647" t="str">
        <f t="shared" si="147"/>
        <v>252102792</v>
      </c>
      <c r="E647" t="str">
        <f t="shared" si="148"/>
        <v>Standard</v>
      </c>
      <c r="F647" t="str">
        <f t="shared" si="149"/>
        <v>MK|BR_CH|PSD_DT|CROSS_PB|VER_FM|BAN_RT|CPM_PD|VDV-EDUCACIONAL_TG|NON_ST|NON_TS|NONE_SZ|160x600_AD|CM_IT|OO</v>
      </c>
      <c r="G647" t="str">
        <f t="shared" si="150"/>
        <v>448174861</v>
      </c>
      <c r="H647" t="str">
        <f t="shared" si="151"/>
        <v>Display</v>
      </c>
      <c r="I647">
        <f t="shared" si="152"/>
        <v>6</v>
      </c>
      <c r="J647">
        <f t="shared" si="153"/>
        <v>0</v>
      </c>
      <c r="K647" s="4">
        <f t="shared" si="142"/>
        <v>3.8199999999999998E-2</v>
      </c>
      <c r="L647">
        <f t="shared" si="143"/>
        <v>0.09</v>
      </c>
      <c r="M647" s="4">
        <f t="shared" si="140"/>
        <v>2.2919999999999999E-4</v>
      </c>
      <c r="N647" s="4">
        <f t="shared" si="141"/>
        <v>5.4000000000000001E-4</v>
      </c>
    </row>
    <row r="648" spans="1:14">
      <c r="A648" t="str">
        <f t="shared" si="144"/>
        <v>MK|BR_CN|VDV_MN|NONE_YQ|19Q1Q4_CP|PO5020004141_SP|N/A_AC|DE_OB|ACQ_U1|DCM</v>
      </c>
      <c r="B648" t="str">
        <f t="shared" si="145"/>
        <v>Oath BR</v>
      </c>
      <c r="C648" t="str">
        <f t="shared" si="146"/>
        <v>MK|BR_CH|PSD_DT|CROSS_PB|VER_FM|BAN_RT|CPM_PD|VDV-EDUCACIONAL_TG|NON_ST|NON_TS|NONE_SZ|300x600_AD|CM_IT|OO</v>
      </c>
      <c r="D648" t="str">
        <f t="shared" si="147"/>
        <v>252105414</v>
      </c>
      <c r="E648" t="str">
        <f t="shared" si="148"/>
        <v>Standard</v>
      </c>
      <c r="F648" t="str">
        <f t="shared" si="149"/>
        <v>MK|BR_CH|PSD_DT|CROSS_PB|VER_FM|BAN_RT|CPM_PD|VDV-EDUCACIONAL_TG|NON_ST|NON_TS|NONE_SZ|300x600_AD|CM_IT|OO</v>
      </c>
      <c r="G648" t="str">
        <f t="shared" si="150"/>
        <v>448176577</v>
      </c>
      <c r="H648" t="str">
        <f t="shared" si="151"/>
        <v>Display</v>
      </c>
      <c r="I648">
        <f t="shared" si="152"/>
        <v>2</v>
      </c>
      <c r="J648">
        <f t="shared" si="153"/>
        <v>0</v>
      </c>
      <c r="K648" s="4">
        <f t="shared" si="142"/>
        <v>3.8199999999999998E-2</v>
      </c>
      <c r="L648">
        <f t="shared" si="143"/>
        <v>0.09</v>
      </c>
      <c r="M648" s="4">
        <f t="shared" si="140"/>
        <v>7.64E-5</v>
      </c>
      <c r="N648" s="4">
        <f t="shared" si="141"/>
        <v>1.7999999999999998E-4</v>
      </c>
    </row>
    <row r="649" spans="1:14">
      <c r="A649" t="str">
        <f t="shared" si="144"/>
        <v>MK|BR_CN|VDV_MN|NONE_YQ|19Q1Q4_CP|PO5020004141_SP|N/A_AC|DE_OB|ACQ_U1|DCM</v>
      </c>
      <c r="B649" t="str">
        <f t="shared" si="145"/>
        <v>Verizon</v>
      </c>
      <c r="C649" t="str">
        <f t="shared" si="146"/>
        <v>MK|BR_CH|PD_DT|CROSS_PB|VER_FM|BAN_RT|CPM_PD|VDV-MERCHANT-DECOLAR_TG|NON_ST|NON_TS|NONE_SZ|160x600_AD|CM_IT|SOC_U1|CAMPO</v>
      </c>
      <c r="D649" t="str">
        <f t="shared" si="147"/>
        <v>252686396</v>
      </c>
      <c r="E649" t="str">
        <f t="shared" si="148"/>
        <v>Standard</v>
      </c>
      <c r="F649" t="str">
        <f t="shared" si="149"/>
        <v>MK|BR_CH|PD_DT|CROSS_PB|VER_FM|BAN_RT|CPM_PD|VDV-MERCHANT-DECOLAR_TG|NON_ST|NON_TS|NONE_SZ|160x600_AD|CM_IT|SOC_U1|CAMPO</v>
      </c>
      <c r="G649" t="str">
        <f t="shared" si="150"/>
        <v>449041485</v>
      </c>
      <c r="H649" t="str">
        <f t="shared" si="151"/>
        <v>Display</v>
      </c>
      <c r="I649">
        <f t="shared" si="152"/>
        <v>1</v>
      </c>
      <c r="J649">
        <f t="shared" si="153"/>
        <v>0</v>
      </c>
      <c r="K649" s="4">
        <f t="shared" si="142"/>
        <v>3.8199999999999998E-2</v>
      </c>
      <c r="L649">
        <f t="shared" si="143"/>
        <v>0.09</v>
      </c>
      <c r="M649" s="4">
        <f t="shared" si="140"/>
        <v>3.82E-5</v>
      </c>
      <c r="N649" s="4">
        <f t="shared" si="141"/>
        <v>8.9999999999999992E-5</v>
      </c>
    </row>
    <row r="650" spans="1:14">
      <c r="A650" t="str">
        <f t="shared" si="144"/>
        <v>MK|BR_CN|VDV_MN|NONE_YQ|19Q1Q4_CP|PO5020004141_SP|N/A_AC|DE_OB|ACQ_U1|DCM</v>
      </c>
      <c r="B650" t="str">
        <f t="shared" si="145"/>
        <v>Verizon</v>
      </c>
      <c r="C650" t="str">
        <f t="shared" si="146"/>
        <v>MK|BR_CH|PD_DT|CROSS_PB|VER_FM|BAN_RT|CPM_PD|VDV-MERCHANT-DECOLAR_TG|NON_ST|NON_TS|NONE_SZ|160x600_AD|CM_IT|SOC_U1|MAR</v>
      </c>
      <c r="D650" t="str">
        <f t="shared" si="147"/>
        <v>253065325</v>
      </c>
      <c r="E650" t="str">
        <f t="shared" si="148"/>
        <v>Standard</v>
      </c>
      <c r="F650" t="str">
        <f t="shared" si="149"/>
        <v>MK|BR_CH|PD_DT|CROSS_PB|VER_FM|BAN_RT|CPM_PD|VDV-MERCHANT-DECOLAR_TG|NON_ST|NON_TS|NONE_SZ|160x600_AD|CM_IT|SOC_U1|MAR</v>
      </c>
      <c r="G650" t="str">
        <f t="shared" si="150"/>
        <v>449083295</v>
      </c>
      <c r="H650" t="str">
        <f t="shared" si="151"/>
        <v>Display</v>
      </c>
      <c r="I650">
        <f t="shared" si="152"/>
        <v>2</v>
      </c>
      <c r="J650">
        <f t="shared" si="153"/>
        <v>0</v>
      </c>
      <c r="K650" s="4">
        <f t="shared" si="142"/>
        <v>3.8199999999999998E-2</v>
      </c>
      <c r="L650">
        <f t="shared" si="143"/>
        <v>0.09</v>
      </c>
      <c r="M650" s="4">
        <f t="shared" si="140"/>
        <v>7.64E-5</v>
      </c>
      <c r="N650" s="4">
        <f t="shared" si="141"/>
        <v>1.7999999999999998E-4</v>
      </c>
    </row>
    <row r="651" spans="1:14">
      <c r="A651" t="str">
        <f t="shared" si="144"/>
        <v>MK|BR_CN|VDV_MN|NONE_YQ|19Q1Q4_CP|PO5020004141_SP|N/A_AC|DE_OB|ACQ_U1|DCM</v>
      </c>
      <c r="B651" t="str">
        <f t="shared" si="145"/>
        <v>Verizon</v>
      </c>
      <c r="C651" t="str">
        <f t="shared" si="146"/>
        <v>MK|BR_CH|PD_DT|CROSS_PB|VER_FM|BAN_RT|CPM_PD|VDV-MERCHANT-DECOLAR_TG|NON_ST|NON_TS|NONE_SZ|160x600_AD|CM_IT|SOC_U1|PREDIO</v>
      </c>
      <c r="D651" t="str">
        <f t="shared" si="147"/>
        <v>253158993</v>
      </c>
      <c r="E651" t="str">
        <f t="shared" si="148"/>
        <v>Standard</v>
      </c>
      <c r="F651" t="str">
        <f t="shared" si="149"/>
        <v>MK|BR_CH|PD_DT|CROSS_PB|VER_FM|BAN_RT|CPM_PD|VDV-MERCHANT-DECOLAR_TG|NON_ST|NON_TS|NONE_SZ|160x600_AD|CM_IT|SOC_U1|PREDIO</v>
      </c>
      <c r="G651" t="str">
        <f t="shared" si="150"/>
        <v>449082296</v>
      </c>
      <c r="H651" t="str">
        <f t="shared" si="151"/>
        <v>Display</v>
      </c>
      <c r="I651">
        <f t="shared" si="152"/>
        <v>1</v>
      </c>
      <c r="J651">
        <f t="shared" si="153"/>
        <v>0</v>
      </c>
      <c r="K651" s="4">
        <f t="shared" si="142"/>
        <v>3.8199999999999998E-2</v>
      </c>
      <c r="L651">
        <f t="shared" si="143"/>
        <v>0.09</v>
      </c>
      <c r="M651" s="4">
        <f t="shared" si="140"/>
        <v>3.82E-5</v>
      </c>
      <c r="N651" s="4">
        <f t="shared" si="141"/>
        <v>8.9999999999999992E-5</v>
      </c>
    </row>
    <row r="652" spans="1:14">
      <c r="A652" t="str">
        <f t="shared" si="144"/>
        <v>MK|BR_CN|VDV_MN|NONE_YQ|19Q1Q4_CP|PO5020004141_SP|N/A_AC|DE_OB|ACQ_U1|DCM</v>
      </c>
      <c r="B652" t="str">
        <f t="shared" si="145"/>
        <v>Verizon</v>
      </c>
      <c r="C652" t="str">
        <f t="shared" si="146"/>
        <v>MK|BR_CH|PD_DT|CROSS_PB|VER_FM|BAN_RT|CPM_PD|VDV-MERCHANT-DECOLAR_TG|NON_ST|NON_TS|NONE_SZ|300x250_AD|CM_IT|SOC_U1|CAMPO</v>
      </c>
      <c r="D652" t="str">
        <f t="shared" si="147"/>
        <v>253127703</v>
      </c>
      <c r="E652" t="str">
        <f t="shared" si="148"/>
        <v>Standard</v>
      </c>
      <c r="F652" t="str">
        <f t="shared" si="149"/>
        <v>MK|BR_CH|PD_DT|CROSS_PB|VER_FM|BAN_RT|CPM_PD|VDV-MERCHANT-DECOLAR_TG|NON_ST|NON_TS|NONE_SZ|300x250_AD|CM_IT|SOC_U1|CAMPO</v>
      </c>
      <c r="G652" t="str">
        <f t="shared" si="150"/>
        <v>449047398</v>
      </c>
      <c r="H652" t="str">
        <f t="shared" si="151"/>
        <v>Display</v>
      </c>
      <c r="I652">
        <f t="shared" si="152"/>
        <v>5</v>
      </c>
      <c r="J652">
        <f t="shared" si="153"/>
        <v>0</v>
      </c>
      <c r="K652" s="4">
        <f t="shared" si="142"/>
        <v>3.8199999999999998E-2</v>
      </c>
      <c r="L652">
        <f t="shared" si="143"/>
        <v>0.09</v>
      </c>
      <c r="M652" s="4">
        <f t="shared" si="140"/>
        <v>1.9100000000000001E-4</v>
      </c>
      <c r="N652" s="4">
        <f t="shared" si="141"/>
        <v>4.4999999999999993E-4</v>
      </c>
    </row>
    <row r="653" spans="1:14">
      <c r="A653" t="str">
        <f t="shared" si="144"/>
        <v>MK|BR_CN|VDV_MN|NONE_YQ|19Q1Q4_CP|PO5020004141_SP|N/A_AC|DE_OB|ACQ_U1|DCM</v>
      </c>
      <c r="B653" t="str">
        <f t="shared" si="145"/>
        <v>Verizon</v>
      </c>
      <c r="C653" t="str">
        <f t="shared" si="146"/>
        <v>MK|BR_CH|PD_DT|CROSS_PB|VER_FM|BAN_RT|CPM_PD|VDV-MERCHANT-DECOLAR_TG|NON_ST|NON_TS|NONE_SZ|300x250_AD|CM_IT|SOC_U1|MAR</v>
      </c>
      <c r="D653" t="str">
        <f t="shared" si="147"/>
        <v>253064854</v>
      </c>
      <c r="E653" t="str">
        <f t="shared" si="148"/>
        <v>Standard</v>
      </c>
      <c r="F653" t="str">
        <f t="shared" si="149"/>
        <v>MK|BR_CH|PD_DT|CROSS_PB|VER_FM|BAN_RT|CPM_PD|VDV-MERCHANT-DECOLAR_TG|NON_ST|NON_TS|NONE_SZ|300x250_AD|CM_IT|SOC_U1|MAR</v>
      </c>
      <c r="G653" t="str">
        <f t="shared" si="150"/>
        <v>449082374</v>
      </c>
      <c r="H653" t="str">
        <f t="shared" si="151"/>
        <v>Display</v>
      </c>
      <c r="I653">
        <f t="shared" si="152"/>
        <v>6</v>
      </c>
      <c r="J653">
        <f t="shared" si="153"/>
        <v>0</v>
      </c>
      <c r="K653" s="4">
        <f t="shared" si="142"/>
        <v>3.8199999999999998E-2</v>
      </c>
      <c r="L653">
        <f t="shared" si="143"/>
        <v>0.09</v>
      </c>
      <c r="M653" s="4">
        <f t="shared" si="140"/>
        <v>2.2919999999999999E-4</v>
      </c>
      <c r="N653" s="4">
        <f t="shared" si="141"/>
        <v>5.4000000000000001E-4</v>
      </c>
    </row>
    <row r="654" spans="1:14">
      <c r="A654" t="str">
        <f t="shared" si="144"/>
        <v>MK|BR_CN|VDV_MN|NONE_YQ|19Q1Q4_CP|PO5020004141_SP|N/A_AC|DE_OB|ACQ_U1|DCM</v>
      </c>
      <c r="B654" t="str">
        <f t="shared" si="145"/>
        <v>Verizon</v>
      </c>
      <c r="C654" t="str">
        <f t="shared" si="146"/>
        <v>MK|BR_CH|PD_DT|CROSS_PB|VER_FM|BAN_RT|CPM_PD|VDV-MERCHANT-DECOLAR_TG|NON_ST|NON_TS|NONE_SZ|300x250_AD|CM_IT|SOC_U1|PREDIO</v>
      </c>
      <c r="D654" t="str">
        <f t="shared" si="147"/>
        <v>253065295</v>
      </c>
      <c r="E654" t="str">
        <f t="shared" si="148"/>
        <v>Standard</v>
      </c>
      <c r="F654" t="str">
        <f t="shared" si="149"/>
        <v>MK|BR_CH|PD_DT|CROSS_PB|VER_FM|BAN_RT|CPM_PD|VDV-MERCHANT-DECOLAR_TG|NON_ST|NON_TS|NONE_SZ|300x250_AD|CM_IT|SOC_U1|PREDIO</v>
      </c>
      <c r="G654" t="str">
        <f t="shared" si="150"/>
        <v>449083238</v>
      </c>
      <c r="H654" t="str">
        <f t="shared" si="151"/>
        <v>Display</v>
      </c>
      <c r="I654">
        <f t="shared" si="152"/>
        <v>4</v>
      </c>
      <c r="J654">
        <f t="shared" si="153"/>
        <v>0</v>
      </c>
      <c r="K654" s="4">
        <f t="shared" si="142"/>
        <v>3.8199999999999998E-2</v>
      </c>
      <c r="L654">
        <f t="shared" si="143"/>
        <v>0.09</v>
      </c>
      <c r="M654" s="4">
        <f t="shared" si="140"/>
        <v>1.528E-4</v>
      </c>
      <c r="N654" s="4">
        <f t="shared" si="141"/>
        <v>3.5999999999999997E-4</v>
      </c>
    </row>
    <row r="655" spans="1:14">
      <c r="A655" t="str">
        <f t="shared" si="144"/>
        <v>MK|BR_CN|VDV_MN|NONE_YQ|19Q1Q4_CP|PO5020004141_SP|N/A_AC|DE_OB|ACQ_U1|DCM</v>
      </c>
      <c r="B655" t="str">
        <f t="shared" si="145"/>
        <v>Verizon</v>
      </c>
      <c r="C655" t="str">
        <f t="shared" si="146"/>
        <v>MK|BR_CH|PD_DT|CROSS_PB|VER_FM|BAN_RT|CPM_PD|VDV-MERCHANT-DECOLAR_TG|NON_ST|NON_TS|NONE_SZ|300x600_AD|CM_IT|SOC_U1|CAMPO</v>
      </c>
      <c r="D655" t="str">
        <f t="shared" si="147"/>
        <v>253150278</v>
      </c>
      <c r="E655" t="str">
        <f t="shared" si="148"/>
        <v>Standard</v>
      </c>
      <c r="F655" t="str">
        <f t="shared" si="149"/>
        <v>MK|BR_CH|PD_DT|CROSS_PB|VER_FM|BAN_RT|CPM_PD|VDV-MERCHANT-DECOLAR_TG|NON_ST|NON_TS|NONE_SZ|300x600_AD|CM_IT|SOC_U1|CAMPO</v>
      </c>
      <c r="G655" t="str">
        <f t="shared" si="150"/>
        <v>449163784</v>
      </c>
      <c r="H655" t="str">
        <f t="shared" si="151"/>
        <v>Display</v>
      </c>
      <c r="I655">
        <f t="shared" si="152"/>
        <v>2</v>
      </c>
      <c r="J655">
        <f t="shared" si="153"/>
        <v>0</v>
      </c>
      <c r="K655" s="4">
        <f t="shared" si="142"/>
        <v>3.8199999999999998E-2</v>
      </c>
      <c r="L655">
        <f t="shared" si="143"/>
        <v>0.09</v>
      </c>
      <c r="M655" s="4">
        <f t="shared" si="140"/>
        <v>7.64E-5</v>
      </c>
      <c r="N655" s="4">
        <f t="shared" si="141"/>
        <v>1.7999999999999998E-4</v>
      </c>
    </row>
    <row r="656" spans="1:14">
      <c r="A656" t="str">
        <f t="shared" si="144"/>
        <v>MK|BR_CN|VDV_MN|NONE_YQ|19Q1Q4_CP|PO5020004141_SP|N/A_AC|DE_OB|ACQ_U1|DCM</v>
      </c>
      <c r="B656" t="str">
        <f t="shared" si="145"/>
        <v>Verizon</v>
      </c>
      <c r="C656" t="str">
        <f t="shared" si="146"/>
        <v>MK|BR_CH|PD_DT|CROSS_PB|VER_FM|BAN_RT|CPM_PD|VDV-MERCHANT-DECOLAR_TG|NON_ST|NON_TS|NONE_SZ|300x600_AD|CM_IT|SOC_U1|MAR</v>
      </c>
      <c r="D656" t="str">
        <f t="shared" si="147"/>
        <v>253064878</v>
      </c>
      <c r="E656" t="str">
        <f t="shared" si="148"/>
        <v>Standard</v>
      </c>
      <c r="F656" t="str">
        <f t="shared" si="149"/>
        <v>MK|BR_CH|PD_DT|CROSS_PB|VER_FM|BAN_RT|CPM_PD|VDV-MERCHANT-DECOLAR_TG|NON_ST|NON_TS|NONE_SZ|300x600_AD|CM_IT|SOC_U1|MAR</v>
      </c>
      <c r="G656" t="str">
        <f t="shared" si="150"/>
        <v>449165146</v>
      </c>
      <c r="H656" t="str">
        <f t="shared" si="151"/>
        <v>Display</v>
      </c>
      <c r="I656">
        <f t="shared" si="152"/>
        <v>2</v>
      </c>
      <c r="J656">
        <f t="shared" si="153"/>
        <v>0</v>
      </c>
      <c r="K656" s="4">
        <f t="shared" si="142"/>
        <v>3.8199999999999998E-2</v>
      </c>
      <c r="L656">
        <f t="shared" si="143"/>
        <v>0.09</v>
      </c>
      <c r="M656" s="4">
        <f t="shared" si="140"/>
        <v>7.64E-5</v>
      </c>
      <c r="N656" s="4">
        <f t="shared" si="141"/>
        <v>1.7999999999999998E-4</v>
      </c>
    </row>
    <row r="657" spans="1:14">
      <c r="A657" t="str">
        <f t="shared" si="144"/>
        <v>MK|BR_CN|VDV_MN|NONE_YQ|19Q1Q4_CP|PO5020004141_SP|N/A_AC|DE_OB|ACQ_U1|DCM</v>
      </c>
      <c r="B657" t="str">
        <f t="shared" si="145"/>
        <v>Verizon</v>
      </c>
      <c r="C657" t="str">
        <f t="shared" si="146"/>
        <v>MK|BR_CH|PD_DT|CROSS_PB|VER_FM|BAN_RT|CPM_PD|VDV-MERCHANT-DECOLAR_TG|NON_ST|NON_TS|NONE_SZ|300x600_AD|CM_IT|SOC_U1|PREDIO</v>
      </c>
      <c r="D657" t="str">
        <f t="shared" si="147"/>
        <v>253065304</v>
      </c>
      <c r="E657" t="str">
        <f t="shared" si="148"/>
        <v>Standard</v>
      </c>
      <c r="F657" t="str">
        <f t="shared" si="149"/>
        <v>MK|BR_CH|PD_DT|CROSS_PB|VER_FM|BAN_RT|CPM_PD|VDV-MERCHANT-DECOLAR_TG|NON_ST|NON_TS|NONE_SZ|300x600_AD|CM_IT|SOC_U1|PREDIO</v>
      </c>
      <c r="G657" t="str">
        <f t="shared" si="150"/>
        <v>449082347</v>
      </c>
      <c r="H657" t="str">
        <f t="shared" si="151"/>
        <v>Display</v>
      </c>
      <c r="I657">
        <f t="shared" si="152"/>
        <v>2</v>
      </c>
      <c r="J657">
        <f t="shared" si="153"/>
        <v>0</v>
      </c>
      <c r="K657" s="4">
        <f t="shared" si="142"/>
        <v>3.8199999999999998E-2</v>
      </c>
      <c r="L657">
        <f t="shared" si="143"/>
        <v>0.09</v>
      </c>
      <c r="M657" s="4">
        <f t="shared" si="140"/>
        <v>7.64E-5</v>
      </c>
      <c r="N657" s="4">
        <f t="shared" si="141"/>
        <v>1.7999999999999998E-4</v>
      </c>
    </row>
    <row r="658" spans="1:14">
      <c r="A658" t="str">
        <f t="shared" si="144"/>
        <v>MK|BR_CN|VDV_MN|NONE_YQ|19Q1Q4_CP|PO5020004141_SP|N/A_AC|DE_OB|ACQ_U1|DCM</v>
      </c>
      <c r="B658" t="str">
        <f t="shared" si="145"/>
        <v>Verizon</v>
      </c>
      <c r="C658" t="str">
        <f t="shared" si="146"/>
        <v>MK|BR_CH|PD_DT|CROSS_PB|VER_FM|BAN_RT|CPM_PD|VDV-MERCHANT-DECOLAR_TG|NON_ST|NON_TS|NONE_SZ|970x250_AD|CM_IT|SOC_U1|CAMPO</v>
      </c>
      <c r="D658" t="str">
        <f t="shared" si="147"/>
        <v>252686405</v>
      </c>
      <c r="E658" t="str">
        <f t="shared" si="148"/>
        <v>Standard</v>
      </c>
      <c r="F658" t="str">
        <f t="shared" si="149"/>
        <v>MK|BR_CH|PD_DT|CROSS_PB|VER_FM|BAN_RT|CPM_PD|VDV-MERCHANT-DECOLAR_TG|NON_ST|NON_TS|NONE_SZ|970x250_AD|CM_IT|SOC_U1|CAMPO</v>
      </c>
      <c r="G658" t="str">
        <f t="shared" si="150"/>
        <v>449049720</v>
      </c>
      <c r="H658" t="str">
        <f t="shared" si="151"/>
        <v>Display</v>
      </c>
      <c r="I658">
        <f t="shared" si="152"/>
        <v>1</v>
      </c>
      <c r="J658">
        <f t="shared" si="153"/>
        <v>0</v>
      </c>
      <c r="K658" s="4">
        <f t="shared" si="142"/>
        <v>3.8199999999999998E-2</v>
      </c>
      <c r="L658">
        <f t="shared" si="143"/>
        <v>0.09</v>
      </c>
      <c r="M658" s="4">
        <f t="shared" si="140"/>
        <v>3.82E-5</v>
      </c>
      <c r="N658" s="4">
        <f t="shared" si="141"/>
        <v>8.9999999999999992E-5</v>
      </c>
    </row>
    <row r="659" spans="1:14">
      <c r="A659" t="str">
        <f t="shared" si="144"/>
        <v>MK|BR_CN|VDV_MN|NONE_YQ|19Q1Q4_CP|PO5020004141_SP|N/A_AC|DE_OB|ACQ_U1|DCM</v>
      </c>
      <c r="B659" t="str">
        <f t="shared" si="145"/>
        <v>Verizon</v>
      </c>
      <c r="C659" t="str">
        <f t="shared" si="146"/>
        <v>MK|BR_CH|PD_DT|CROSS_PB|VER_FM|BAN_RT|CPM_PD|VDV-MERCHANT-DECOLAR_TG|NON_ST|NON_TS|NONE_SZ|970x250_AD|CM_IT|SOC_U1|MAR</v>
      </c>
      <c r="D659" t="str">
        <f t="shared" si="147"/>
        <v>252712010</v>
      </c>
      <c r="E659" t="str">
        <f t="shared" si="148"/>
        <v>Standard</v>
      </c>
      <c r="F659" t="str">
        <f t="shared" si="149"/>
        <v>MK|BR_CH|PD_DT|CROSS_PB|VER_FM|BAN_RT|CPM_PD|VDV-MERCHANT-DECOLAR_TG|NON_ST|NON_TS|NONE_SZ|970x250_AD|CM_IT|SOC_U1|MAR</v>
      </c>
      <c r="G659" t="str">
        <f t="shared" si="150"/>
        <v>449163772</v>
      </c>
      <c r="H659" t="str">
        <f t="shared" si="151"/>
        <v>Display</v>
      </c>
      <c r="I659">
        <f t="shared" si="152"/>
        <v>1</v>
      </c>
      <c r="J659">
        <f t="shared" si="153"/>
        <v>0</v>
      </c>
      <c r="K659" s="4">
        <f t="shared" si="142"/>
        <v>3.8199999999999998E-2</v>
      </c>
      <c r="L659">
        <f t="shared" si="143"/>
        <v>0.09</v>
      </c>
      <c r="M659" s="4">
        <f t="shared" si="140"/>
        <v>3.82E-5</v>
      </c>
      <c r="N659" s="4">
        <f t="shared" si="141"/>
        <v>8.9999999999999992E-5</v>
      </c>
    </row>
    <row r="660" spans="1:14">
      <c r="A660" t="str">
        <f t="shared" si="144"/>
        <v>MK|BR_CN|VDV_MN|NONE_YQ|19Q1Q4_CP|PO5020004141_SP|N/A_AC|DE_OB|ACQ_U1|DCM</v>
      </c>
      <c r="B660" t="str">
        <f t="shared" si="145"/>
        <v>Verizon</v>
      </c>
      <c r="C660" t="str">
        <f t="shared" si="146"/>
        <v>MK|BR_CH|PD_DT|CROSS_PB|VER_FM|BAN_RT|CPM_PD|VDV-MERCHANT-DECOLAR_TG|NON_ST|NON_TS|NONE_SZ|970x250_AD|CM_IT|SOC_U1|PREDIO</v>
      </c>
      <c r="D660" t="str">
        <f t="shared" si="147"/>
        <v>253065316</v>
      </c>
      <c r="E660" t="str">
        <f t="shared" si="148"/>
        <v>Standard</v>
      </c>
      <c r="F660" t="str">
        <f t="shared" si="149"/>
        <v>MK|BR_CH|PD_DT|CROSS_PB|VER_FM|BAN_RT|CPM_PD|VDV-MERCHANT-DECOLAR_TG|NON_ST|NON_TS|NONE_SZ|970x250_AD|CM_IT|SOC_U1|PREDIO</v>
      </c>
      <c r="G660" t="str">
        <f t="shared" si="150"/>
        <v>449083283</v>
      </c>
      <c r="H660" t="str">
        <f t="shared" si="151"/>
        <v>Display</v>
      </c>
      <c r="I660">
        <f t="shared" si="152"/>
        <v>2</v>
      </c>
      <c r="J660">
        <f t="shared" si="153"/>
        <v>0</v>
      </c>
      <c r="K660" s="4">
        <f t="shared" si="142"/>
        <v>3.8199999999999998E-2</v>
      </c>
      <c r="L660">
        <f t="shared" si="143"/>
        <v>0.09</v>
      </c>
      <c r="M660" s="4">
        <f t="shared" si="140"/>
        <v>7.64E-5</v>
      </c>
      <c r="N660" s="4">
        <f t="shared" si="141"/>
        <v>1.7999999999999998E-4</v>
      </c>
    </row>
    <row r="661" spans="1:14">
      <c r="A661" t="str">
        <f t="shared" si="144"/>
        <v>MK|BR_CN|VDV_MN|NONE_YQ|19Q1Q4_CP|PO5020004141_SP|N/A_AC|DE_OB|ACQ_U1|DCM</v>
      </c>
      <c r="B661" t="str">
        <f t="shared" si="145"/>
        <v>Verizon</v>
      </c>
      <c r="C661" t="str">
        <f t="shared" si="146"/>
        <v>MK|BR_CH|PD_DT|CROSS_PB|VER_FM|BAN_RT|CPM_PD|VDV-PROMONACIONAL_TG|NON_ST|NON_TS|NONE_SZ|627x627_AD|CM1_IT|SOC_U1|SEMANADOBRASIL</v>
      </c>
      <c r="D661" t="str">
        <f t="shared" si="147"/>
        <v>254918774</v>
      </c>
      <c r="E661" t="str">
        <f t="shared" si="148"/>
        <v>Standard</v>
      </c>
      <c r="F661" t="str">
        <f t="shared" si="149"/>
        <v>MK|BR_CH|PD_DT|CROSS_PB|VER_FM|BAN_RT|CPM_PD|VDV-PROMONACIONAL_TG|NON_ST|NON_TS|NONE_SZ|627x627_AD|CM1_IT|SOC_U1|SEMANADOBRASIL</v>
      </c>
      <c r="G661" t="str">
        <f t="shared" si="150"/>
        <v>451188084</v>
      </c>
      <c r="H661" t="str">
        <f t="shared" si="151"/>
        <v>Display</v>
      </c>
      <c r="I661">
        <f t="shared" si="152"/>
        <v>1</v>
      </c>
      <c r="J661">
        <f t="shared" si="153"/>
        <v>1</v>
      </c>
      <c r="K661" s="4">
        <f t="shared" si="142"/>
        <v>3.8199999999999998E-2</v>
      </c>
      <c r="L661">
        <f t="shared" si="143"/>
        <v>0.09</v>
      </c>
      <c r="M661" s="4">
        <f t="shared" si="140"/>
        <v>3.82E-5</v>
      </c>
      <c r="N661" s="4">
        <f t="shared" si="141"/>
        <v>8.9999999999999992E-5</v>
      </c>
    </row>
    <row r="662" spans="1:14">
      <c r="A662" t="str">
        <f t="shared" si="144"/>
        <v>MK|BR_CN|VDV_MN|NONE_YQ|19Q1Q4_CP|PO5020004141_SP|N/A_AC|DE_OB|ACQ_U1|DCM</v>
      </c>
      <c r="B662" t="str">
        <f t="shared" si="145"/>
        <v>Verizon</v>
      </c>
      <c r="C662" t="str">
        <f t="shared" si="146"/>
        <v>MK|BR_CH|PD_DT|CROSS_PB|VER_FM|BAN_RT|CPM_PD|VDV-PROMONACIONAL_TG|NON_ST|NON_TS|NONE_SZ|720x1280_AD|CM1_IT|SOC_U1|SEMANADOBRASIL</v>
      </c>
      <c r="D662" t="str">
        <f t="shared" si="147"/>
        <v>255383355</v>
      </c>
      <c r="E662" t="str">
        <f t="shared" si="148"/>
        <v>Standard</v>
      </c>
      <c r="F662" t="str">
        <f t="shared" si="149"/>
        <v>MK|BR_CH|PD_DT|CROSS_PB|VER_FM|BAN_RT|CPM_PD|VDV-PROMONACIONAL_TG|NON_ST|NON_TS|NONE_SZ|720x1280_AD|CM1_IT|SOC_U1|SEMANADOBRASIL</v>
      </c>
      <c r="G662" t="str">
        <f t="shared" si="150"/>
        <v>451188090</v>
      </c>
      <c r="H662" t="str">
        <f t="shared" si="151"/>
        <v>Display</v>
      </c>
      <c r="I662">
        <f t="shared" si="152"/>
        <v>1</v>
      </c>
      <c r="J662">
        <f t="shared" si="153"/>
        <v>1</v>
      </c>
      <c r="K662" s="4">
        <f t="shared" si="142"/>
        <v>3.8199999999999998E-2</v>
      </c>
      <c r="L662">
        <f t="shared" si="143"/>
        <v>0.09</v>
      </c>
      <c r="M662" s="4">
        <f t="shared" si="140"/>
        <v>3.82E-5</v>
      </c>
      <c r="N662" s="4">
        <f t="shared" si="141"/>
        <v>8.9999999999999992E-5</v>
      </c>
    </row>
    <row r="663" spans="1:14">
      <c r="A663" t="str">
        <f t="shared" si="144"/>
        <v>MK|BR_CN|VDV_MN|NONE_YQ|19Q1Q4_CP|PO5020004141_SP|N/A_AC|DE_OB|ACQ_U1|DCM</v>
      </c>
      <c r="B663" t="str">
        <f t="shared" si="145"/>
        <v>Verizon</v>
      </c>
      <c r="C663" t="str">
        <f t="shared" si="146"/>
        <v>MK|BR_CH|PD_DT|CROSS_PB|VER_FM|NAT_RT|CPM_PD|VDV-PROMONACIONAL_TG|NON_ST|NON_TS|NONE_SZ|1200x627_AD|CM1_IT|SOC_U1|KVAMARELO</v>
      </c>
      <c r="D663" t="str">
        <f t="shared" si="147"/>
        <v>253472006</v>
      </c>
      <c r="E663" t="str">
        <f t="shared" si="148"/>
        <v>Dynamic Click</v>
      </c>
      <c r="F663" t="str">
        <f t="shared" si="149"/>
        <v>MK|BR_CH|PD_DT|CROSS_PB|VER_FM|NAT_RT|CPM_PD|VDV-PROMONACIONAL_TG|NON_ST|NON_TS|NONE_SZ|1200x627_AD|CM1_IT|SOC_U1|KVAMARELO</v>
      </c>
      <c r="G663" t="str">
        <f t="shared" si="150"/>
        <v>449860640</v>
      </c>
      <c r="H663" t="str">
        <f t="shared" si="151"/>
        <v>Tracking</v>
      </c>
      <c r="I663">
        <f t="shared" si="152"/>
        <v>33567164</v>
      </c>
      <c r="J663">
        <f t="shared" si="153"/>
        <v>327192</v>
      </c>
      <c r="K663" s="4">
        <f t="shared" si="142"/>
        <v>3.5000000000000001E-3</v>
      </c>
      <c r="L663">
        <f t="shared" si="143"/>
        <v>0.02</v>
      </c>
      <c r="M663" s="4">
        <f t="shared" si="140"/>
        <v>1145.172</v>
      </c>
      <c r="N663" s="4">
        <f t="shared" si="141"/>
        <v>6543.84</v>
      </c>
    </row>
    <row r="664" spans="1:14">
      <c r="A664" t="str">
        <f t="shared" si="144"/>
        <v>MK|BR_CN|VDV_MN|NONE_YQ|19Q1Q4_CP|PO5020004141_SP|N/A_AC|DE_OB|ACQ_U1|DCM</v>
      </c>
      <c r="B664" t="str">
        <f t="shared" si="145"/>
        <v>Verizon</v>
      </c>
      <c r="C664" t="str">
        <f t="shared" si="146"/>
        <v>MK|BR_CH|PD_DT|CROSS_PB|VER_FM|NAT_RT|CPM_PD|VDV-PROMONACIONAL_TG|NON_ST|NON_TS|NONE_SZ|1200x627_AD|CM1_IT|SOC_U1|SEMANADOBRASIL</v>
      </c>
      <c r="D664" t="str">
        <f t="shared" si="147"/>
        <v>255357874</v>
      </c>
      <c r="E664" t="str">
        <f t="shared" si="148"/>
        <v>Dynamic Click</v>
      </c>
      <c r="F664" t="str">
        <f t="shared" si="149"/>
        <v>MK|BR_CH|PD_DT|CROSS_PB|VER_FM|NAT_RT|CPM_PD|VDV-PROMONACIONAL_TG|NON_ST|NON_TS|NONE_SZ|1200x627_AD|CM1_IT|SOC_U1|SEMANADOBRASIL</v>
      </c>
      <c r="G664" t="str">
        <f t="shared" si="150"/>
        <v>451385677</v>
      </c>
      <c r="H664" t="str">
        <f t="shared" si="151"/>
        <v>Tracking</v>
      </c>
      <c r="I664">
        <f t="shared" si="152"/>
        <v>249943</v>
      </c>
      <c r="J664">
        <f t="shared" si="153"/>
        <v>2220</v>
      </c>
      <c r="K664" s="4">
        <f t="shared" si="142"/>
        <v>3.5000000000000001E-3</v>
      </c>
      <c r="L664">
        <f t="shared" si="143"/>
        <v>0.02</v>
      </c>
      <c r="M664" s="4">
        <f t="shared" si="140"/>
        <v>7.7700000000000005</v>
      </c>
      <c r="N664" s="4">
        <f t="shared" si="141"/>
        <v>44.4</v>
      </c>
    </row>
    <row r="665" spans="1:14">
      <c r="A665" t="str">
        <f t="shared" si="144"/>
        <v>MK|BR_CN|VDV_MN|NONE_YQ|19Q1Q4_CP|PO5020004141_SP|N/A_AC|DE_OB|ACQ_U1|DCM</v>
      </c>
      <c r="B665" t="str">
        <f t="shared" si="145"/>
        <v>Verizon</v>
      </c>
      <c r="C665" t="str">
        <f t="shared" si="146"/>
        <v>MK|BR_CH|PD_DT|CROSS_PB|VER_FM|NAT_RT|CPM_PD|VDV-PROMONACIONAL_TG|NON_ST|NON_TS|NONE_SZ|627x627_AD|CM1_IT|OO_U1|KVAMARELO_U2|TESTE-DSP</v>
      </c>
      <c r="D665" t="str">
        <f t="shared" si="147"/>
        <v>253822499</v>
      </c>
      <c r="E665" t="str">
        <f t="shared" si="148"/>
        <v>Dynamic Click</v>
      </c>
      <c r="F665" t="str">
        <f t="shared" si="149"/>
        <v>MK|BR_CH|PD_DT|CROSS_PB|VER_FM|NAT_RT|CPM_PD|VDV-PROMONACIONAL_TG|NON_ST|NON_TS|NONE_SZ|627x627_AD|CM1_IT|OO_U1|KVAMARELO_U2|TESTE-DSP</v>
      </c>
      <c r="G665" t="str">
        <f t="shared" si="150"/>
        <v>450214568</v>
      </c>
      <c r="H665" t="str">
        <f t="shared" si="151"/>
        <v>Tracking</v>
      </c>
      <c r="I665">
        <f t="shared" si="152"/>
        <v>621938</v>
      </c>
      <c r="J665">
        <f t="shared" si="153"/>
        <v>12571</v>
      </c>
      <c r="K665" s="4">
        <f t="shared" si="142"/>
        <v>3.5000000000000001E-3</v>
      </c>
      <c r="L665">
        <f t="shared" si="143"/>
        <v>0.02</v>
      </c>
      <c r="M665" s="4">
        <f t="shared" si="140"/>
        <v>43.9985</v>
      </c>
      <c r="N665" s="4">
        <f t="shared" si="141"/>
        <v>251.42000000000002</v>
      </c>
    </row>
    <row r="666" spans="1:14">
      <c r="A666" t="str">
        <f t="shared" si="144"/>
        <v>MK|BR_CN|VDV_MN|NONE_YQ|19Q1Q4_CP|PO5020004141_SP|N/A_AC|DE_OB|ACQ_U1|DCM</v>
      </c>
      <c r="B666" t="str">
        <f t="shared" si="145"/>
        <v>Verizon</v>
      </c>
      <c r="C666" t="str">
        <f t="shared" si="146"/>
        <v>MK|BR_CH|PD_DT|CROSS_PB|VER_FM|NAT_RT|CPM_PD|VDV-PROMONACIONAL_TG|NON_ST|NON_TS|NONE_SZ|627x627_AD|CM1_IT|SOC_U1|SEMANADOBRASIL</v>
      </c>
      <c r="D666" t="str">
        <f t="shared" si="147"/>
        <v>255022919</v>
      </c>
      <c r="E666" t="str">
        <f t="shared" si="148"/>
        <v>Dynamic Click</v>
      </c>
      <c r="F666" t="str">
        <f t="shared" si="149"/>
        <v>MK|BR_CH|PD_DT|CROSS_PB|VER_FM|NAT_RT|CPM_PD|VDV-PROMONACIONAL_TG|NON_ST|NON_TS|NONE_SZ|627x627_AD|CM1_IT|SOC_U1|SEMANADOBRASIL</v>
      </c>
      <c r="G666" t="str">
        <f t="shared" si="150"/>
        <v>451384063</v>
      </c>
      <c r="H666" t="str">
        <f t="shared" si="151"/>
        <v>Tracking</v>
      </c>
      <c r="I666">
        <f t="shared" si="152"/>
        <v>0</v>
      </c>
      <c r="J666">
        <f t="shared" si="153"/>
        <v>2</v>
      </c>
      <c r="K666" s="4">
        <f t="shared" si="142"/>
        <v>3.5000000000000001E-3</v>
      </c>
      <c r="L666">
        <f t="shared" si="143"/>
        <v>0.02</v>
      </c>
      <c r="M666" s="4">
        <f t="shared" si="140"/>
        <v>7.0000000000000001E-3</v>
      </c>
      <c r="N666" s="4">
        <f t="shared" si="141"/>
        <v>0.04</v>
      </c>
    </row>
    <row r="667" spans="1:14">
      <c r="A667" t="str">
        <f t="shared" si="144"/>
        <v>MK|BR_CN|VDV_MN|NONE_YQ|19Q1Q4_CP|PO5020004141_SP|N/A_AC|DE_OB|ACQ_U1|DCM</v>
      </c>
      <c r="B667" t="str">
        <f t="shared" si="145"/>
        <v>Verizon</v>
      </c>
      <c r="C667" t="str">
        <f t="shared" si="146"/>
        <v>MK|BR_CH|PD_DT|CROSS_PB|VER_FM|NAT_RT|CPM_PD|VDV-PROMONACIONAL_TG|NON_ST|NON_TS|NONE_SZ|720x1280_AD|CM1_IT|SOC_U1|SEMANADOBRASIL</v>
      </c>
      <c r="D667" t="str">
        <f t="shared" si="147"/>
        <v>255491046</v>
      </c>
      <c r="E667" t="str">
        <f t="shared" si="148"/>
        <v>Dynamic Click</v>
      </c>
      <c r="F667" t="str">
        <f t="shared" si="149"/>
        <v>MK|BR_CH|PD_DT|CROSS_PB|VER_FM|NAT_RT|CPM_PD|VDV-PROMONACIONAL_TG|NON_ST|NON_TS|NONE_SZ|720x1280_AD|CM1_IT|SOC_U1|SEMANADOBRASIL</v>
      </c>
      <c r="G667" t="str">
        <f t="shared" si="150"/>
        <v>451333037</v>
      </c>
      <c r="H667" t="str">
        <f t="shared" si="151"/>
        <v>Tracking</v>
      </c>
      <c r="I667">
        <f t="shared" si="152"/>
        <v>0</v>
      </c>
      <c r="J667">
        <f t="shared" si="153"/>
        <v>2</v>
      </c>
      <c r="K667" s="4">
        <f t="shared" si="142"/>
        <v>3.5000000000000001E-3</v>
      </c>
      <c r="L667">
        <f t="shared" si="143"/>
        <v>0.02</v>
      </c>
      <c r="M667" s="4">
        <f t="shared" si="140"/>
        <v>7.0000000000000001E-3</v>
      </c>
      <c r="N667" s="4">
        <f t="shared" si="141"/>
        <v>0.04</v>
      </c>
    </row>
    <row r="668" spans="1:14">
      <c r="A668" t="str">
        <f t="shared" si="144"/>
        <v>MK|BR_CN|VDV_MN|NONE_YQ|19Q1Q4_CP|PO5020004141_SP|N/A_AC|DE_OB|ACQ_U1|DCM</v>
      </c>
      <c r="B668" t="str">
        <f t="shared" si="145"/>
        <v>Verizon</v>
      </c>
      <c r="C668" t="str">
        <f t="shared" si="146"/>
        <v>MK|BR_CH|PSD_DT|CROSS_PB|VER_FM|NAT_RT|CPM_PD|VDV-MERCHANT-NETSHOES_TG|NON_ST|NON_TS|NONE_SZ|1200x627_AD|CM1_IT|SOC_U1|FEMININO_U2|15OFF</v>
      </c>
      <c r="D668" t="str">
        <f t="shared" si="147"/>
        <v>253535321</v>
      </c>
      <c r="E668" t="str">
        <f t="shared" si="148"/>
        <v>Dynamic Click</v>
      </c>
      <c r="F668" t="str">
        <f t="shared" si="149"/>
        <v>MK|BR_CH|PSD_DT|CROSS_PB|VER_FM|NAT_RT|CPM_PD|VDV-MERCHANT-NETSHOES_TG|NON_ST|NON_TS|NONE_SZ|1200x627_AD|CM1_IT|SOC_U1|FEMININO_U2|15OFF</v>
      </c>
      <c r="G668" t="str">
        <f t="shared" si="150"/>
        <v>449895537</v>
      </c>
      <c r="H668" t="str">
        <f t="shared" si="151"/>
        <v>Tracking</v>
      </c>
      <c r="I668">
        <f t="shared" si="152"/>
        <v>1021</v>
      </c>
      <c r="J668">
        <f t="shared" si="153"/>
        <v>121</v>
      </c>
      <c r="K668" s="4">
        <f t="shared" si="142"/>
        <v>3.5000000000000001E-3</v>
      </c>
      <c r="L668">
        <f t="shared" si="143"/>
        <v>0.02</v>
      </c>
      <c r="M668" s="4">
        <f t="shared" si="140"/>
        <v>0.42349999999999999</v>
      </c>
      <c r="N668" s="4">
        <f t="shared" si="141"/>
        <v>2.42</v>
      </c>
    </row>
    <row r="669" spans="1:14">
      <c r="A669" t="str">
        <f t="shared" si="144"/>
        <v>MK|BR_CN|VDV_MN|NONE_YQ|19Q1Q4_CP|PO5020004141_SP|N/A_AC|DE_OB|ACQ_U1|DCM</v>
      </c>
      <c r="B669" t="str">
        <f t="shared" si="145"/>
        <v>Verizon</v>
      </c>
      <c r="C669" t="str">
        <f t="shared" si="146"/>
        <v>MK|BR_CH|PV_DT|CROSS_PB|VER_FM|INV_RT|CPM_PD|VDV-PROMONACIONAL_TG|NON_ST|NON_TS|NONE_SZ|1X1_AD|CM1_IT|SOC_U1|CHANCECHANCE_U2|32''</v>
      </c>
      <c r="D669" t="str">
        <f t="shared" si="147"/>
        <v>254463878</v>
      </c>
      <c r="E669" t="str">
        <f t="shared" si="148"/>
        <v>Rich Media display banner</v>
      </c>
      <c r="F669" t="str">
        <f t="shared" si="149"/>
        <v>MK|BR_CH|PV_DT|CROSS_PB|VER_FM|INV_RT|CPM_PD|VDV-PROMONACIONAL_TG|NON_ST|NON_TS|NONE_SZ|1X1_AD|CM1_IT|SOC_U1|CHANCECHANCE_U2|32''</v>
      </c>
      <c r="G669" t="str">
        <f t="shared" si="150"/>
        <v>450739923</v>
      </c>
      <c r="H669" t="str">
        <f t="shared" si="151"/>
        <v>In-Stream Video</v>
      </c>
      <c r="I669">
        <f t="shared" si="152"/>
        <v>955959</v>
      </c>
      <c r="J669">
        <f t="shared" si="153"/>
        <v>8134</v>
      </c>
      <c r="K669" s="4">
        <f t="shared" si="142"/>
        <v>0.6</v>
      </c>
      <c r="L669">
        <f t="shared" si="143"/>
        <v>0.35</v>
      </c>
      <c r="M669" s="4">
        <f t="shared" si="140"/>
        <v>573.57540000000006</v>
      </c>
      <c r="N669" s="4">
        <f t="shared" si="141"/>
        <v>334.58564999999999</v>
      </c>
    </row>
    <row r="670" spans="1:14">
      <c r="A670" t="str">
        <f t="shared" si="144"/>
        <v>MK|BR_CN|VDV_MN|NONE_YQ|19Q1Q4_CP|PO5020004141_SP|N/A_AC|DE_OB|ACQ_U1|DCM</v>
      </c>
      <c r="B670" t="str">
        <f t="shared" si="145"/>
        <v>instagram.com</v>
      </c>
      <c r="C670" t="str">
        <f t="shared" si="146"/>
        <v>MK|BR_CH|PSD_DT|CROSS_PB|FCBK_FM|GIF_RT|CPM_PD|VDV-PROMONACIONAL_TG|NON_ST|NON_TS|NONE_SZ|1X1_AD|CM1_IT|SOC_U1|CHANCECHANCE_U2|BASEVDV_U3|FUTEBOL</v>
      </c>
      <c r="D670" t="str">
        <f t="shared" si="147"/>
        <v>255126045</v>
      </c>
      <c r="E670" t="str">
        <f t="shared" si="148"/>
        <v>Dynamic Click</v>
      </c>
      <c r="F670" t="str">
        <f t="shared" si="149"/>
        <v>MK|BR_CH|PSD_DT|CROSS_PB|FCBK_FM|GIF_RT|CPM_PD|VDV-PROMONACIONAL_TG|NON_ST|NON_TS|NONE_SZ|1X1_AD|CM1_IT|SOC_U1|CHANCECHANCE_U2|BASEVDV_U3|FUTEBOL</v>
      </c>
      <c r="G670" t="str">
        <f t="shared" si="150"/>
        <v>450991805</v>
      </c>
      <c r="H670" t="str">
        <f t="shared" si="151"/>
        <v>Tracking</v>
      </c>
      <c r="I670">
        <f t="shared" si="152"/>
        <v>0</v>
      </c>
      <c r="J670">
        <f t="shared" si="153"/>
        <v>193</v>
      </c>
      <c r="K670" s="4">
        <f t="shared" si="142"/>
        <v>3.5000000000000001E-3</v>
      </c>
      <c r="L670">
        <f t="shared" si="143"/>
        <v>0.02</v>
      </c>
      <c r="M670" s="4">
        <f t="shared" si="140"/>
        <v>0.67549999999999999</v>
      </c>
      <c r="N670" s="4">
        <f t="shared" si="141"/>
        <v>3.86</v>
      </c>
    </row>
    <row r="671" spans="1:14">
      <c r="A671" t="str">
        <f t="shared" si="144"/>
        <v>MK|BR_CN|VDV_MN|NONE_YQ|19Q1Q4_CP|PO5020004141_SP|N/A_AC|DE_OB|ACQ_U1|DCM</v>
      </c>
      <c r="B671" t="str">
        <f t="shared" si="145"/>
        <v>instagram.com</v>
      </c>
      <c r="C671" t="str">
        <f t="shared" si="146"/>
        <v>MK|BR_CH|PSD_DT|CROSS_PB|FCBK_FM|STRY_RT|CPM_PD|VDV-MERCHANT-MOVIDA_TG|NON_ST|NON_TS|NONE_SZ|1X1_AD|CM1_IT|SOC_U1|25OFF</v>
      </c>
      <c r="D671" t="str">
        <f t="shared" si="147"/>
        <v>256167687</v>
      </c>
      <c r="E671" t="str">
        <f t="shared" si="148"/>
        <v>Dynamic Click</v>
      </c>
      <c r="F671" t="str">
        <f t="shared" si="149"/>
        <v>MK|BR_CH|PSD_DT|CROSS_PB|FCBK_FM|STRY_RT|CPM_PD|VDV-MERCHANT-MOVIDA_TG|NON_ST|NON_TS|NONE_SZ|1X1_AD|CM1_IT|SOC_U1|25OFF</v>
      </c>
      <c r="G671" t="str">
        <f t="shared" si="150"/>
        <v>451881486</v>
      </c>
      <c r="H671" t="str">
        <f t="shared" si="151"/>
        <v>Tracking</v>
      </c>
      <c r="I671">
        <f t="shared" si="152"/>
        <v>0</v>
      </c>
      <c r="J671">
        <f t="shared" si="153"/>
        <v>178</v>
      </c>
      <c r="K671" s="4">
        <f t="shared" si="142"/>
        <v>3.5000000000000001E-3</v>
      </c>
      <c r="L671">
        <f t="shared" si="143"/>
        <v>0.02</v>
      </c>
      <c r="M671" s="4">
        <f t="shared" si="140"/>
        <v>0.623</v>
      </c>
      <c r="N671" s="4">
        <f t="shared" si="141"/>
        <v>3.56</v>
      </c>
    </row>
    <row r="672" spans="1:14">
      <c r="A672" t="str">
        <f t="shared" si="144"/>
        <v>MK|BR_CN|VDV_MN|NONE_YQ|19Q1Q4_CP|PO5020004141_SP|N/A_AC|DE_OB|ACQ_U1|DCM</v>
      </c>
      <c r="B672" t="str">
        <f t="shared" si="145"/>
        <v>instagram.com</v>
      </c>
      <c r="C672" t="str">
        <f t="shared" si="146"/>
        <v>MK|BR_CH|PSD_DT|CROSS_PB|FCBK_FM|STRY_RT|CPM_PD|VDV-PROMONACIONAL_TG|NON_ST|NON_TS|NONE_SZ|1X1_AD|CM1_IT|SOC_U1|CHANCECHANCE</v>
      </c>
      <c r="D672" t="str">
        <f t="shared" si="147"/>
        <v>255052710</v>
      </c>
      <c r="E672" t="str">
        <f t="shared" si="148"/>
        <v>Dynamic Click</v>
      </c>
      <c r="F672" t="str">
        <f t="shared" si="149"/>
        <v>MK|BR_CH|PSD_DT|CROSS_PB|FCBK_FM|STRY_RT|CPM_PD|VDV-PROMONACIONAL_TG|NON_ST|NON_TS|NONE_SZ|1X1_AD|CM1_IT|SOC_U1|CHANCECHANCE</v>
      </c>
      <c r="G672" t="str">
        <f t="shared" si="150"/>
        <v>450854811</v>
      </c>
      <c r="H672" t="str">
        <f t="shared" si="151"/>
        <v>Tracking</v>
      </c>
      <c r="I672">
        <f t="shared" si="152"/>
        <v>0</v>
      </c>
      <c r="J672">
        <f t="shared" si="153"/>
        <v>3676</v>
      </c>
      <c r="K672" s="4">
        <f t="shared" si="142"/>
        <v>3.5000000000000001E-3</v>
      </c>
      <c r="L672">
        <f t="shared" si="143"/>
        <v>0.02</v>
      </c>
      <c r="M672" s="4">
        <f t="shared" si="140"/>
        <v>12.866</v>
      </c>
      <c r="N672" s="4">
        <f t="shared" si="141"/>
        <v>73.52</v>
      </c>
    </row>
    <row r="673" spans="1:14">
      <c r="A673" t="str">
        <f t="shared" si="144"/>
        <v>MK|BR_CN|VDV_MN|NONE_YQ|19Q1Q4_CP|PO5020004141_SP|N/A_AC|DE_OB|ACQ_U1|DCM</v>
      </c>
      <c r="B673" t="str">
        <f t="shared" si="145"/>
        <v>instagram.com</v>
      </c>
      <c r="C673" t="str">
        <f t="shared" si="146"/>
        <v>MK|BR_CH|PSD_DT|CROSS_PB|FCBK_FM|STRY_RT|CPM_PD|VDV-PROMONACIONAL_TG|NON_ST|NON_TS|NONE_SZ|1X1_AD|CM1_IT|SOC_U1|CHANCECHANCE_U2|BASEVDV_U3|BASQUETE</v>
      </c>
      <c r="D673" t="str">
        <f t="shared" si="147"/>
        <v>255126060</v>
      </c>
      <c r="E673" t="str">
        <f t="shared" si="148"/>
        <v>Dynamic Click</v>
      </c>
      <c r="F673" t="str">
        <f t="shared" si="149"/>
        <v>MK|BR_CH|PSD_DT|CROSS_PB|FCBK_FM|STRY_RT|CPM_PD|VDV-PROMONACIONAL_TG|NON_ST|NON_TS|NONE_SZ|1X1_AD|CM1_IT|SOC_U1|CHANCECHANCE_U2|BASEVDV_U3|BASQUETE</v>
      </c>
      <c r="G673" t="str">
        <f t="shared" si="150"/>
        <v>450991820</v>
      </c>
      <c r="H673" t="str">
        <f t="shared" si="151"/>
        <v>Tracking</v>
      </c>
      <c r="I673">
        <f t="shared" si="152"/>
        <v>0</v>
      </c>
      <c r="J673">
        <f t="shared" si="153"/>
        <v>130</v>
      </c>
      <c r="K673" s="4">
        <f t="shared" si="142"/>
        <v>3.5000000000000001E-3</v>
      </c>
      <c r="L673">
        <f t="shared" si="143"/>
        <v>0.02</v>
      </c>
      <c r="M673" s="4">
        <f t="shared" si="140"/>
        <v>0.45500000000000002</v>
      </c>
      <c r="N673" s="4">
        <f t="shared" si="141"/>
        <v>2.6</v>
      </c>
    </row>
    <row r="674" spans="1:14">
      <c r="A674" t="str">
        <f t="shared" si="144"/>
        <v>MK|BR_CN|VDV_MN|NONE_YQ|19Q1Q4_CP|PO5020004141_SP|N/A_AC|DE_OB|ACQ_U1|DCM</v>
      </c>
      <c r="B674" t="str">
        <f t="shared" si="145"/>
        <v>instagram.com</v>
      </c>
      <c r="C674" t="str">
        <f t="shared" si="146"/>
        <v>MK|BR_CH|PSD_DT|CROSS_PB|FCBK_FM|STRY_RT|CPM_PD|VDV-PROMONACIONAL_TG|NON_ST|NON_TS|NONE_SZ|1X1_AD|CM1_IT|SOC_U1|DEBITO_U2|EXPECTATIVA-REALIDADE</v>
      </c>
      <c r="D674" t="str">
        <f t="shared" si="147"/>
        <v>254917985</v>
      </c>
      <c r="E674" t="str">
        <f t="shared" si="148"/>
        <v>Dynamic Click</v>
      </c>
      <c r="F674" t="str">
        <f t="shared" si="149"/>
        <v>MK|BR_CH|PSD_DT|CROSS_PB|FCBK_FM|STRY_RT|CPM_PD|VDV-PROMONACIONAL_TG|NON_ST|NON_TS|NONE_SZ|1X1_AD|CM1_IT|SOC_U1|DEBITO_U2|EXPECTATIVA-REALIDADE</v>
      </c>
      <c r="G674" t="str">
        <f t="shared" si="150"/>
        <v>451281751</v>
      </c>
      <c r="H674" t="str">
        <f t="shared" si="151"/>
        <v>Tracking</v>
      </c>
      <c r="I674">
        <f t="shared" si="152"/>
        <v>0</v>
      </c>
      <c r="J674">
        <f t="shared" si="153"/>
        <v>909</v>
      </c>
      <c r="K674" s="4">
        <f t="shared" si="142"/>
        <v>3.5000000000000001E-3</v>
      </c>
      <c r="L674">
        <f t="shared" si="143"/>
        <v>0.02</v>
      </c>
      <c r="M674" s="4">
        <f t="shared" ref="M674:M737" si="154">IF(E674="Dynamic Click",J674*K674,K674*$I674/1000)</f>
        <v>3.1815000000000002</v>
      </c>
      <c r="N674" s="4">
        <f t="shared" ref="N674:N737" si="155">IF(E674="Dynamic Click",J674*L674,L674*$I674/1000)</f>
        <v>18.18</v>
      </c>
    </row>
    <row r="675" spans="1:14">
      <c r="A675" t="str">
        <f t="shared" si="144"/>
        <v>MK|BR_CN|VDV_MN|NONE_YQ|19Q1Q4_CP|PO5020004141_SP|N/A_AC|DE_OB|ACQ_U1|DCM</v>
      </c>
      <c r="B675" t="str">
        <f t="shared" si="145"/>
        <v>instagram.com</v>
      </c>
      <c r="C675" t="str">
        <f t="shared" si="146"/>
        <v>MK|BR_CH|PSD_DT|CROSS_PB|FCBK_FM|STRY_RT|CPM_PD|VDV-PROMONACIONAL_TG|NON_ST|NON_TS|NONE_SZ|1X1_AD|CM1_IT|SOC_U1|DEBITO_U2|INVADINDO-TIMELINE_U3|CAFE</v>
      </c>
      <c r="D675" t="str">
        <f t="shared" si="147"/>
        <v>254917976</v>
      </c>
      <c r="E675" t="str">
        <f t="shared" si="148"/>
        <v>Dynamic Click</v>
      </c>
      <c r="F675" t="str">
        <f t="shared" si="149"/>
        <v>MK|BR_CH|PSD_DT|CROSS_PB|FCBK_FM|STRY_RT|CPM_PD|VDV-PROMONACIONAL_TG|NON_ST|NON_TS|NONE_SZ|1X1_AD|CM1_IT|SOC_U1|DEBITO_U2|INVADINDO-TIMELINE_U3|CAFE</v>
      </c>
      <c r="G675" t="str">
        <f t="shared" si="150"/>
        <v>451281742</v>
      </c>
      <c r="H675" t="str">
        <f t="shared" si="151"/>
        <v>Tracking</v>
      </c>
      <c r="I675">
        <f t="shared" si="152"/>
        <v>0</v>
      </c>
      <c r="J675">
        <f t="shared" si="153"/>
        <v>164</v>
      </c>
      <c r="K675" s="4">
        <f t="shared" si="142"/>
        <v>3.5000000000000001E-3</v>
      </c>
      <c r="L675">
        <f t="shared" si="143"/>
        <v>0.02</v>
      </c>
      <c r="M675" s="4">
        <f t="shared" si="154"/>
        <v>0.57400000000000007</v>
      </c>
      <c r="N675" s="4">
        <f t="shared" si="155"/>
        <v>3.2800000000000002</v>
      </c>
    </row>
    <row r="676" spans="1:14">
      <c r="A676" t="str">
        <f t="shared" si="144"/>
        <v>MK|BR_CN|VDV_MN|NONE_YQ|19Q1Q4_CP|PO5020004141_SP|N/A_AC|DE_OB|ACQ_U1|DCM</v>
      </c>
      <c r="B676" t="str">
        <f t="shared" si="145"/>
        <v>instagram.com</v>
      </c>
      <c r="C676" t="str">
        <f t="shared" si="146"/>
        <v>MK|BR_CH|PSD_DT|CROSS_PB|FCBK_FM|STRY_RT|CPM_PD|VDV-PROMONACIONAL_TG|NON_ST|NON_TS|NONE_SZ|1X1_AD|CM1_IT|SOC_U1|DEBITO_U2|INVADINDO-TIMELINE_U3|DOCE</v>
      </c>
      <c r="D676" t="str">
        <f t="shared" si="147"/>
        <v>254917973</v>
      </c>
      <c r="E676" t="str">
        <f t="shared" si="148"/>
        <v>Dynamic Click</v>
      </c>
      <c r="F676" t="str">
        <f t="shared" si="149"/>
        <v>MK|BR_CH|PSD_DT|CROSS_PB|FCBK_FM|STRY_RT|CPM_PD|VDV-PROMONACIONAL_TG|NON_ST|NON_TS|NONE_SZ|1X1_AD|CM1_IT|SOC_U1|DEBITO_U2|INVADINDO-TIMELINE_U3|DOCE</v>
      </c>
      <c r="G676" t="str">
        <f t="shared" si="150"/>
        <v>451281739</v>
      </c>
      <c r="H676" t="str">
        <f t="shared" si="151"/>
        <v>Tracking</v>
      </c>
      <c r="I676">
        <f t="shared" si="152"/>
        <v>0</v>
      </c>
      <c r="J676">
        <f t="shared" si="153"/>
        <v>1255</v>
      </c>
      <c r="K676" s="4">
        <f t="shared" si="142"/>
        <v>3.5000000000000001E-3</v>
      </c>
      <c r="L676">
        <f t="shared" si="143"/>
        <v>0.02</v>
      </c>
      <c r="M676" s="4">
        <f t="shared" si="154"/>
        <v>4.3925000000000001</v>
      </c>
      <c r="N676" s="4">
        <f t="shared" si="155"/>
        <v>25.1</v>
      </c>
    </row>
    <row r="677" spans="1:14">
      <c r="A677" t="str">
        <f t="shared" si="144"/>
        <v>MK|BR_CN|VDV_MN|NONE_YQ|19Q1Q4_CP|PO5020004141_SP|N/A_AC|DE_OB|ACQ_U1|DCM</v>
      </c>
      <c r="B677" t="str">
        <f t="shared" si="145"/>
        <v>instagram.com</v>
      </c>
      <c r="C677" t="str">
        <f t="shared" si="146"/>
        <v>MK|BR_CH|PSD_DT|CROSS_PB|FCBK_FM|STRY_RT|CPM_PD|VDV-PROMONACIONAL_TG|NON_ST|NON_TS|NONE_SZ|1X1_AD|CM1_IT|SOC_U1|GANHADORESATUALIZADOS</v>
      </c>
      <c r="D677" t="str">
        <f t="shared" si="147"/>
        <v>256384401</v>
      </c>
      <c r="E677" t="str">
        <f t="shared" si="148"/>
        <v>Dynamic Click</v>
      </c>
      <c r="F677" t="str">
        <f t="shared" si="149"/>
        <v>MK|BR_CH|PSD_DT|CROSS_PB|FCBK_FM|STRY_RT|CPM_PD|VDV-PROMONACIONAL_TG|NON_ST|NON_TS|NONE_SZ|1X1_AD|CM1_IT|SOC_U1|GANHADORESATUALIZADOS</v>
      </c>
      <c r="G677" t="str">
        <f t="shared" si="150"/>
        <v>452128572</v>
      </c>
      <c r="H677" t="str">
        <f t="shared" si="151"/>
        <v>Tracking</v>
      </c>
      <c r="I677">
        <f t="shared" si="152"/>
        <v>0</v>
      </c>
      <c r="J677">
        <f t="shared" si="153"/>
        <v>2105</v>
      </c>
      <c r="K677" s="4">
        <f t="shared" si="142"/>
        <v>3.5000000000000001E-3</v>
      </c>
      <c r="L677">
        <f t="shared" si="143"/>
        <v>0.02</v>
      </c>
      <c r="M677" s="4">
        <f t="shared" si="154"/>
        <v>7.3674999999999997</v>
      </c>
      <c r="N677" s="4">
        <f t="shared" si="155"/>
        <v>42.1</v>
      </c>
    </row>
    <row r="678" spans="1:14">
      <c r="A678" t="str">
        <f t="shared" si="144"/>
        <v>MK|BR_CN|VDV_MN|NONE_YQ|19Q1Q4_CP|PO5020004141_SP|N/A_AC|DE_OB|ACQ_U1|DCM</v>
      </c>
      <c r="B678" t="str">
        <f t="shared" si="145"/>
        <v>instagram.com</v>
      </c>
      <c r="C678" t="str">
        <f t="shared" si="146"/>
        <v>MK|BR_CH|PSD_DT|CROSS_PB|INST_FM|STRY_RT|CPM_PD|VCO-MERCHANT-GPA_TG|NON_ST|NON_TS|NONE_SZ|1X1_AD|CM1_IT|SOC_U1|PAIEFILHA</v>
      </c>
      <c r="D678" t="str">
        <f t="shared" si="147"/>
        <v>254095836</v>
      </c>
      <c r="E678" t="str">
        <f t="shared" si="148"/>
        <v>Dynamic Click</v>
      </c>
      <c r="F678" t="str">
        <f t="shared" si="149"/>
        <v>MK|BR_CH|PSD_DT|CROSS_PB|INST_FM|STRY_RT|CPM_PD|VCO-MERCHANT-GPA_TG|NON_ST|NON_TS|NONE_SZ|1X1_AD|CM1_IT|SOC_U1|PAIEFILHA</v>
      </c>
      <c r="G678" t="str">
        <f t="shared" si="150"/>
        <v>450078163</v>
      </c>
      <c r="H678" t="str">
        <f t="shared" si="151"/>
        <v>Tracking</v>
      </c>
      <c r="I678">
        <f t="shared" si="152"/>
        <v>0</v>
      </c>
      <c r="J678">
        <f t="shared" si="153"/>
        <v>8</v>
      </c>
      <c r="K678" s="4">
        <f t="shared" si="142"/>
        <v>3.5000000000000001E-3</v>
      </c>
      <c r="L678">
        <f t="shared" si="143"/>
        <v>0.02</v>
      </c>
      <c r="M678" s="4">
        <f t="shared" si="154"/>
        <v>2.8000000000000001E-2</v>
      </c>
      <c r="N678" s="4">
        <f t="shared" si="155"/>
        <v>0.16</v>
      </c>
    </row>
    <row r="679" spans="1:14">
      <c r="A679" t="str">
        <f t="shared" si="144"/>
        <v>MK|BR_CN|VDV_MN|NONE_YQ|19Q1Q4_CP|PO5020004141_SP|N/A_AC|DE_OB|ACQ_U1|DCM</v>
      </c>
      <c r="B679" t="str">
        <f t="shared" si="145"/>
        <v>instagram.com</v>
      </c>
      <c r="C679" t="str">
        <f t="shared" si="146"/>
        <v>MK|BR_CH|PSD_DT|CROSS_PB|INST_FM|STRY_RT|CPM_PD|VDV-EDUCACIONAL_TG|NON_ST|NON_TS|NONE_SZ|1X1_AD|CM1_IT|SOC_U1|DEBITO</v>
      </c>
      <c r="D679" t="str">
        <f t="shared" si="147"/>
        <v>252202866</v>
      </c>
      <c r="E679" t="str">
        <f t="shared" si="148"/>
        <v>Dynamic Click</v>
      </c>
      <c r="F679" t="str">
        <f t="shared" si="149"/>
        <v>MK|BR_CH|PSD_DT|CROSS_PB|INST_FM|STRY_RT|CPM_PD|VDV-EDUCACIONAL_TG|NON_ST|NON_TS|NONE_SZ|1X1_AD|CM1_IT|SOC_U1|DEBITO</v>
      </c>
      <c r="G679" t="str">
        <f t="shared" si="150"/>
        <v>448185455</v>
      </c>
      <c r="H679" t="str">
        <f t="shared" si="151"/>
        <v>Tracking</v>
      </c>
      <c r="I679">
        <f t="shared" si="152"/>
        <v>0</v>
      </c>
      <c r="J679">
        <f t="shared" si="153"/>
        <v>1</v>
      </c>
      <c r="K679" s="4">
        <f t="shared" si="142"/>
        <v>3.5000000000000001E-3</v>
      </c>
      <c r="L679">
        <f t="shared" si="143"/>
        <v>0.02</v>
      </c>
      <c r="M679" s="4">
        <f t="shared" si="154"/>
        <v>3.5000000000000001E-3</v>
      </c>
      <c r="N679" s="4">
        <f t="shared" si="155"/>
        <v>0.02</v>
      </c>
    </row>
    <row r="680" spans="1:14">
      <c r="A680" t="str">
        <f t="shared" si="144"/>
        <v>MK|BR_CN|VDV_MN|NONE_YQ|19Q1Q4_CP|PO5020004141_SP|N/A_AC|DE_OB|ACQ_U1|DCM</v>
      </c>
      <c r="B680" t="str">
        <f t="shared" si="145"/>
        <v>instagram.com</v>
      </c>
      <c r="C680" t="str">
        <f t="shared" si="146"/>
        <v>MK|BR_CH|PSD_DT|CROSS_PB|INST_FM|STRY_RT|CPM_PD|VDV-EDUCACIONAL_TG|NON_ST|NON_TS|NONE_SZ|1X1_AD|CM1_IT|SOC_U1|DESCONTO</v>
      </c>
      <c r="D680" t="str">
        <f t="shared" si="147"/>
        <v>251415409</v>
      </c>
      <c r="E680" t="str">
        <f t="shared" si="148"/>
        <v>Dynamic Click</v>
      </c>
      <c r="F680" t="str">
        <f t="shared" si="149"/>
        <v>MK|BR_CH|PSD_DT|CROSS_PB|INST_FM|STRY_RT|CPM_PD|VDV-EDUCACIONAL_TG|NON_ST|NON_TS|NONE_SZ|1X1_AD|CM1_IT|SOC_U1|DESCONTO</v>
      </c>
      <c r="G680" t="str">
        <f t="shared" si="150"/>
        <v>447484704</v>
      </c>
      <c r="H680" t="str">
        <f t="shared" si="151"/>
        <v>Tracking</v>
      </c>
      <c r="I680">
        <f t="shared" si="152"/>
        <v>0</v>
      </c>
      <c r="J680">
        <f t="shared" si="153"/>
        <v>1</v>
      </c>
      <c r="K680" s="4">
        <f t="shared" si="142"/>
        <v>3.5000000000000001E-3</v>
      </c>
      <c r="L680">
        <f t="shared" si="143"/>
        <v>0.02</v>
      </c>
      <c r="M680" s="4">
        <f t="shared" si="154"/>
        <v>3.5000000000000001E-3</v>
      </c>
      <c r="N680" s="4">
        <f t="shared" si="155"/>
        <v>0.02</v>
      </c>
    </row>
    <row r="681" spans="1:14">
      <c r="A681" t="str">
        <f t="shared" si="144"/>
        <v>MK|BR_CN|VDV_MN|NONE_YQ|19Q1Q4_CP|PO5020004141_SP|N/A_AC|DE_OB|ACQ_U1|DCM</v>
      </c>
      <c r="B681" t="str">
        <f t="shared" si="145"/>
        <v>instagram.com</v>
      </c>
      <c r="C681" t="str">
        <f t="shared" si="146"/>
        <v>MK|BR_CH|PSD_DT|CROSS_PB|INST_FM|STRY_RT|CPM_PD|VDV-EDUCACIONAL_TG|NON_ST|NON_TS|NONE_SZ|1X1_AD|CM1_IT|SOC_U1|VIAGEM_U2|OFERTA</v>
      </c>
      <c r="D681" t="str">
        <f t="shared" si="147"/>
        <v>251415754</v>
      </c>
      <c r="E681" t="str">
        <f t="shared" si="148"/>
        <v>Dynamic Click</v>
      </c>
      <c r="F681" t="str">
        <f t="shared" si="149"/>
        <v>MK|BR_CH|PSD_DT|CROSS_PB|INST_FM|STRY_RT|CPM_PD|VDV-EDUCACIONAL_TG|NON_ST|NON_TS|NONE_SZ|1X1_AD|CM1_IT|SOC_U1|VIAGEM_U2|OFERTA</v>
      </c>
      <c r="G681" t="str">
        <f t="shared" si="150"/>
        <v>447486120</v>
      </c>
      <c r="H681" t="str">
        <f t="shared" si="151"/>
        <v>Tracking</v>
      </c>
      <c r="I681">
        <f t="shared" si="152"/>
        <v>0</v>
      </c>
      <c r="J681">
        <f t="shared" si="153"/>
        <v>3</v>
      </c>
      <c r="K681" s="4">
        <f t="shared" si="142"/>
        <v>3.5000000000000001E-3</v>
      </c>
      <c r="L681">
        <f t="shared" si="143"/>
        <v>0.02</v>
      </c>
      <c r="M681" s="4">
        <f t="shared" si="154"/>
        <v>1.0500000000000001E-2</v>
      </c>
      <c r="N681" s="4">
        <f t="shared" si="155"/>
        <v>0.06</v>
      </c>
    </row>
    <row r="682" spans="1:14">
      <c r="A682" t="str">
        <f t="shared" si="144"/>
        <v>MK|BR_CN|VDV_MN|NONE_YQ|19Q1Q4_CP|PO5020004141_SP|N/A_AC|DE_OB|ACQ_U1|DCM</v>
      </c>
      <c r="B682" t="str">
        <f t="shared" si="145"/>
        <v>instagram.com</v>
      </c>
      <c r="C682" t="str">
        <f t="shared" si="146"/>
        <v>MK|BR_CH|PSD_DT|CROSS_PB|INST_FM|STRY_RT|CPM_PD|VDV-MERCHANT-DECOLAR_TG|NON_ST|NON_TS|NONE_SZ|1X1_AD|CM1_IT|SOC_U1|MONTANHA</v>
      </c>
      <c r="D682" t="str">
        <f t="shared" si="147"/>
        <v>253832709</v>
      </c>
      <c r="E682" t="str">
        <f t="shared" si="148"/>
        <v>Dynamic Click</v>
      </c>
      <c r="F682" t="str">
        <f t="shared" si="149"/>
        <v>MK|BR_CH|PSD_DT|CROSS_PB|INST_FM|STRY_RT|CPM_PD|VDV-MERCHANT-DECOLAR_TG|NON_ST|NON_TS|NONE_SZ|1X1_AD|CM1_IT|SOC_U1|MONTANHA</v>
      </c>
      <c r="G682" t="str">
        <f t="shared" si="150"/>
        <v>449743794</v>
      </c>
      <c r="H682" t="str">
        <f t="shared" si="151"/>
        <v>Tracking</v>
      </c>
      <c r="I682">
        <f t="shared" si="152"/>
        <v>0</v>
      </c>
      <c r="J682">
        <f t="shared" si="153"/>
        <v>61</v>
      </c>
      <c r="K682" s="4">
        <f t="shared" si="142"/>
        <v>3.5000000000000001E-3</v>
      </c>
      <c r="L682">
        <f t="shared" si="143"/>
        <v>0.02</v>
      </c>
      <c r="M682" s="4">
        <f t="shared" si="154"/>
        <v>0.2135</v>
      </c>
      <c r="N682" s="4">
        <f t="shared" si="155"/>
        <v>1.22</v>
      </c>
    </row>
    <row r="683" spans="1:14">
      <c r="A683" t="str">
        <f t="shared" si="144"/>
        <v>MK|BR_CN|VDV_MN|NONE_YQ|19Q1Q4_CP|PO5020004141_SP|N/A_AC|DE_OB|ACQ_U1|DCM</v>
      </c>
      <c r="B683" t="str">
        <f t="shared" si="145"/>
        <v>instagram.com</v>
      </c>
      <c r="C683" t="str">
        <f t="shared" si="146"/>
        <v>MK|BR_CH|PSD_DT|CROSS_PB|INST_FM|STRY_RT|CPM_PD|VDV-MERCHANT-DECOLAR_TG|NON_ST|NON_TS|NONE_SZ|1X1_AD|CM1_IT|SOC_U1|PRAIA</v>
      </c>
      <c r="D683" t="str">
        <f t="shared" si="147"/>
        <v>253832721</v>
      </c>
      <c r="E683" t="str">
        <f t="shared" si="148"/>
        <v>Dynamic Click</v>
      </c>
      <c r="F683" t="str">
        <f t="shared" si="149"/>
        <v>MK|BR_CH|PSD_DT|CROSS_PB|INST_FM|STRY_RT|CPM_PD|VDV-MERCHANT-DECOLAR_TG|NON_ST|NON_TS|NONE_SZ|1X1_AD|CM1_IT|SOC_U1|PRAIA</v>
      </c>
      <c r="G683" t="str">
        <f t="shared" si="150"/>
        <v>449743773</v>
      </c>
      <c r="H683" t="str">
        <f t="shared" si="151"/>
        <v>Tracking</v>
      </c>
      <c r="I683">
        <f t="shared" si="152"/>
        <v>0</v>
      </c>
      <c r="J683">
        <f t="shared" si="153"/>
        <v>411</v>
      </c>
      <c r="K683" s="4">
        <f t="shared" si="142"/>
        <v>3.5000000000000001E-3</v>
      </c>
      <c r="L683">
        <f t="shared" si="143"/>
        <v>0.02</v>
      </c>
      <c r="M683" s="4">
        <f t="shared" si="154"/>
        <v>1.4385000000000001</v>
      </c>
      <c r="N683" s="4">
        <f t="shared" si="155"/>
        <v>8.2200000000000006</v>
      </c>
    </row>
    <row r="684" spans="1:14">
      <c r="A684" t="str">
        <f t="shared" si="144"/>
        <v>MK|BR_CN|VDV_MN|NONE_YQ|19Q1Q4_CP|PO5020004141_SP|N/A_AC|DE_OB|ACQ_U1|DCM</v>
      </c>
      <c r="B684" t="str">
        <f t="shared" si="145"/>
        <v>instagram.com</v>
      </c>
      <c r="C684" t="str">
        <f t="shared" si="146"/>
        <v>MK|BR_CH|PSD_DT|CROSS_PB|INST_FM|STRY_RT|CPM_PD|VDV-MERCHANT-MOVIDA_TG|NON_ST|NON_TS|NONE_SZ|1X1_AD|CM1_IT|SOC_U1|20OFF</v>
      </c>
      <c r="D684" t="str">
        <f t="shared" si="147"/>
        <v>251272737</v>
      </c>
      <c r="E684" t="str">
        <f t="shared" si="148"/>
        <v>Dynamic Click</v>
      </c>
      <c r="F684" t="str">
        <f t="shared" si="149"/>
        <v>MK|BR_CH|PSD_DT|CROSS_PB|INST_FM|STRY_RT|CPM_PD|VDV-MERCHANT-MOVIDA_TG|NON_ST|NON_TS|NONE_SZ|1X1_AD|CM1_IT|SOC_U1|20OFF</v>
      </c>
      <c r="G684" t="str">
        <f t="shared" si="150"/>
        <v>447378208</v>
      </c>
      <c r="H684" t="str">
        <f t="shared" si="151"/>
        <v>Tracking</v>
      </c>
      <c r="I684">
        <f t="shared" si="152"/>
        <v>0</v>
      </c>
      <c r="J684">
        <f t="shared" si="153"/>
        <v>1</v>
      </c>
      <c r="K684" s="4">
        <f t="shared" ref="K684:K747" si="156">IF(LEFT(B684,3)="DBM",0,VLOOKUP(E684,tabela,2,FALSE))</f>
        <v>3.5000000000000001E-3</v>
      </c>
      <c r="L684">
        <f t="shared" ref="L684:L747" si="157">VLOOKUP(E684,tabela,3,FALSE)</f>
        <v>0.02</v>
      </c>
      <c r="M684" s="4">
        <f t="shared" si="154"/>
        <v>3.5000000000000001E-3</v>
      </c>
      <c r="N684" s="4">
        <f t="shared" si="155"/>
        <v>0.02</v>
      </c>
    </row>
    <row r="685" spans="1:14">
      <c r="A685" t="str">
        <f t="shared" si="144"/>
        <v>MK|BR_CN|VDV_MN|NONE_YQ|19Q1Q4_CP|PO5020004141_SP|N/A_AC|DE_OB|ACQ_U1|DCM</v>
      </c>
      <c r="B685" t="str">
        <f t="shared" si="145"/>
        <v>instagram.com</v>
      </c>
      <c r="C685" t="str">
        <f t="shared" si="146"/>
        <v>MK|BR_CH|PSD_DT|CROSS_PB|INST_FM|STRY_RT|CPM_PD|VDV-MERCHANT-NETSHOES_TG|NON_ST|NON_TS|NONE_SZ|1X1_AD|CM1_IT|SOC_U1|FEMININO_U2|15OFF</v>
      </c>
      <c r="D685" t="str">
        <f t="shared" si="147"/>
        <v>254166018</v>
      </c>
      <c r="E685" t="str">
        <f t="shared" si="148"/>
        <v>Dynamic Click</v>
      </c>
      <c r="F685" t="str">
        <f t="shared" si="149"/>
        <v>MK|BR_CH|PSD_DT|CROSS_PB|INST_FM|STRY_RT|CPM_PD|VDV-MERCHANT-NETSHOES_TG|NON_ST|NON_TS|NONE_SZ|1X1_AD|CM1_IT|SOC_U1|FEMININO_U2|15OFF</v>
      </c>
      <c r="G685" t="str">
        <f t="shared" si="150"/>
        <v>450146041</v>
      </c>
      <c r="H685" t="str">
        <f t="shared" si="151"/>
        <v>Tracking</v>
      </c>
      <c r="I685">
        <f t="shared" si="152"/>
        <v>0</v>
      </c>
      <c r="J685">
        <f t="shared" si="153"/>
        <v>1383</v>
      </c>
      <c r="K685" s="4">
        <f t="shared" si="156"/>
        <v>3.5000000000000001E-3</v>
      </c>
      <c r="L685">
        <f t="shared" si="157"/>
        <v>0.02</v>
      </c>
      <c r="M685" s="4">
        <f t="shared" si="154"/>
        <v>4.8405000000000005</v>
      </c>
      <c r="N685" s="4">
        <f t="shared" si="155"/>
        <v>27.66</v>
      </c>
    </row>
    <row r="686" spans="1:14">
      <c r="A686" t="str">
        <f t="shared" si="144"/>
        <v>MK|BR_CN|VDV_MN|NONE_YQ|19Q1Q4_CP|PO5020004141_SP|N/A_AC|DE_OB|ACQ_U1|DCM</v>
      </c>
      <c r="B686" t="str">
        <f t="shared" si="145"/>
        <v>instagram.com</v>
      </c>
      <c r="C686" t="str">
        <f t="shared" si="146"/>
        <v>MK|BR_CH|PSD_DT|CROSS_PB|INST_FM|STRY_RT|CPM_PD|VDV-MERCHANT-RAPPI_TG|NON_ST|NON_TS|NONE_SZ|1X1_AD|CM1_IT|SOC_U1|LARANJA</v>
      </c>
      <c r="D686" t="str">
        <f t="shared" si="147"/>
        <v>251876717</v>
      </c>
      <c r="E686" t="str">
        <f t="shared" si="148"/>
        <v>Dynamic Click</v>
      </c>
      <c r="F686" t="str">
        <f t="shared" si="149"/>
        <v>MK|BR_CH|PSD_DT|CROSS_PB|INST_FM|STRY_RT|CPM_PD|VDV-MERCHANT-RAPPI_TG|NON_ST|NON_TS|NONE_SZ|1X1_AD|CM1_IT|SOC_U1|LARANJA</v>
      </c>
      <c r="G686" t="str">
        <f t="shared" si="150"/>
        <v>448257749</v>
      </c>
      <c r="H686" t="str">
        <f t="shared" si="151"/>
        <v>Tracking</v>
      </c>
      <c r="I686">
        <f t="shared" si="152"/>
        <v>0</v>
      </c>
      <c r="J686">
        <f t="shared" si="153"/>
        <v>79</v>
      </c>
      <c r="K686" s="4">
        <f t="shared" si="156"/>
        <v>3.5000000000000001E-3</v>
      </c>
      <c r="L686">
        <f t="shared" si="157"/>
        <v>0.02</v>
      </c>
      <c r="M686" s="4">
        <f t="shared" si="154"/>
        <v>0.27650000000000002</v>
      </c>
      <c r="N686" s="4">
        <f t="shared" si="155"/>
        <v>1.58</v>
      </c>
    </row>
    <row r="687" spans="1:14">
      <c r="A687" t="str">
        <f t="shared" si="144"/>
        <v>MK|BR_CN|VDV_MN|NONE_YQ|19Q1Q4_CP|PO5020004141_SP|N/A_AC|DE_OB|ACQ_U1|DCM</v>
      </c>
      <c r="B687" t="str">
        <f t="shared" si="145"/>
        <v>instagram.com</v>
      </c>
      <c r="C687" t="str">
        <f t="shared" si="146"/>
        <v>MK|BR_CH|PSD_DT|CROSS_PB|INST_FM|STRY_RT|CPM_PD|VDV-MERCHANT-ZATTINI_TG|NON_ST|NON_TS|NONE_SZ|1X1_AD|CM1_IT|SOC_U1|FEMININO_U2|15OFF</v>
      </c>
      <c r="D687" t="str">
        <f t="shared" si="147"/>
        <v>254166021</v>
      </c>
      <c r="E687" t="str">
        <f t="shared" si="148"/>
        <v>Dynamic Click</v>
      </c>
      <c r="F687" t="str">
        <f t="shared" si="149"/>
        <v>MK|BR_CH|PSD_DT|CROSS_PB|INST_FM|STRY_RT|CPM_PD|VDV-MERCHANT-ZATTINI_TG|NON_ST|NON_TS|NONE_SZ|1X1_AD|CM1_IT|SOC_U1|FEMININO_U2|15OFF</v>
      </c>
      <c r="G687" t="str">
        <f t="shared" si="150"/>
        <v>450146044</v>
      </c>
      <c r="H687" t="str">
        <f t="shared" si="151"/>
        <v>Tracking</v>
      </c>
      <c r="I687">
        <f t="shared" si="152"/>
        <v>0</v>
      </c>
      <c r="J687">
        <f t="shared" si="153"/>
        <v>101</v>
      </c>
      <c r="K687" s="4">
        <f t="shared" si="156"/>
        <v>3.5000000000000001E-3</v>
      </c>
      <c r="L687">
        <f t="shared" si="157"/>
        <v>0.02</v>
      </c>
      <c r="M687" s="4">
        <f t="shared" si="154"/>
        <v>0.35349999999999998</v>
      </c>
      <c r="N687" s="4">
        <f t="shared" si="155"/>
        <v>2.02</v>
      </c>
    </row>
    <row r="688" spans="1:14">
      <c r="A688" t="str">
        <f t="shared" si="144"/>
        <v>MK|BR_CN|VDV_MN|NONE_YQ|19Q1Q4_CP|PO5020004141_SP|N/A_AC|DE_OB|ACQ_U1|DCM</v>
      </c>
      <c r="B688" t="str">
        <f t="shared" si="145"/>
        <v>instagram.com</v>
      </c>
      <c r="C688" t="str">
        <f t="shared" si="146"/>
        <v>MK|BR_CH|PSD_DT|CROSS_PB|INST_FM|STRY_RT|CPM_PD|VDV-PROMONACIONAL_TG|NON_ST|NON_TS|NONE_SZ|1X1_AD|CM1_IT|SOC_U1|CHANCECHANCE_U2|BASQUETE</v>
      </c>
      <c r="D688" t="str">
        <f t="shared" si="147"/>
        <v>254380283</v>
      </c>
      <c r="E688" t="str">
        <f t="shared" si="148"/>
        <v>Dynamic Click</v>
      </c>
      <c r="F688" t="str">
        <f t="shared" si="149"/>
        <v>MK|BR_CH|PSD_DT|CROSS_PB|INST_FM|STRY_RT|CPM_PD|VDV-PROMONACIONAL_TG|NON_ST|NON_TS|NONE_SZ|1X1_AD|CM1_IT|SOC_U1|CHANCECHANCE_U2|BASQUETE</v>
      </c>
      <c r="G688" t="str">
        <f t="shared" si="150"/>
        <v>450664545</v>
      </c>
      <c r="H688" t="str">
        <f t="shared" si="151"/>
        <v>Tracking</v>
      </c>
      <c r="I688">
        <f t="shared" si="152"/>
        <v>0</v>
      </c>
      <c r="J688">
        <f t="shared" si="153"/>
        <v>427</v>
      </c>
      <c r="K688" s="4">
        <f t="shared" si="156"/>
        <v>3.5000000000000001E-3</v>
      </c>
      <c r="L688">
        <f t="shared" si="157"/>
        <v>0.02</v>
      </c>
      <c r="M688" s="4">
        <f t="shared" si="154"/>
        <v>1.4944999999999999</v>
      </c>
      <c r="N688" s="4">
        <f t="shared" si="155"/>
        <v>8.5400000000000009</v>
      </c>
    </row>
    <row r="689" spans="1:14">
      <c r="A689" t="str">
        <f t="shared" si="144"/>
        <v>MK|BR_CN|VDV_MN|NONE_YQ|19Q1Q4_CP|PO5020004141_SP|N/A_AC|DE_OB|ACQ_U1|DCM</v>
      </c>
      <c r="B689" t="str">
        <f t="shared" si="145"/>
        <v>instagram.com</v>
      </c>
      <c r="C689" t="str">
        <f t="shared" si="146"/>
        <v>MK|BR_CH|PSD_DT|CROSS_PB|INST_FM|STRY_RT|CPM_PD|VDV-PROMONACIONAL_TG|NON_ST|NON_TS|NONE_SZ|1X1_AD|CM1_IT|SOC_U1|CHANCECHANCE_U2|FUTEBOL</v>
      </c>
      <c r="D689" t="str">
        <f t="shared" si="147"/>
        <v>254380280</v>
      </c>
      <c r="E689" t="str">
        <f t="shared" si="148"/>
        <v>Dynamic Click</v>
      </c>
      <c r="F689" t="str">
        <f t="shared" si="149"/>
        <v>MK|BR_CH|PSD_DT|CROSS_PB|INST_FM|STRY_RT|CPM_PD|VDV-PROMONACIONAL_TG|NON_ST|NON_TS|NONE_SZ|1X1_AD|CM1_IT|SOC_U1|CHANCECHANCE_U2|FUTEBOL</v>
      </c>
      <c r="G689" t="str">
        <f t="shared" si="150"/>
        <v>450664542</v>
      </c>
      <c r="H689" t="str">
        <f t="shared" si="151"/>
        <v>Tracking</v>
      </c>
      <c r="I689">
        <f t="shared" si="152"/>
        <v>0</v>
      </c>
      <c r="J689">
        <f t="shared" si="153"/>
        <v>316</v>
      </c>
      <c r="K689" s="4">
        <f t="shared" si="156"/>
        <v>3.5000000000000001E-3</v>
      </c>
      <c r="L689">
        <f t="shared" si="157"/>
        <v>0.02</v>
      </c>
      <c r="M689" s="4">
        <f t="shared" si="154"/>
        <v>1.1060000000000001</v>
      </c>
      <c r="N689" s="4">
        <f t="shared" si="155"/>
        <v>6.32</v>
      </c>
    </row>
    <row r="690" spans="1:14">
      <c r="A690" t="str">
        <f t="shared" si="144"/>
        <v>MK|BR_CN|VDV_MN|NONE_YQ|19Q1Q4_CP|PO5020004141_SP|N/A_AC|DE_OB|ACQ_U1|DCM</v>
      </c>
      <c r="B690" t="str">
        <f t="shared" si="145"/>
        <v>instagram.com</v>
      </c>
      <c r="C690" t="str">
        <f t="shared" si="146"/>
        <v>MK|BR_CH|PSD_DT|CROSS_PB|INST_FM|STRY_RT|CPM_PD|VDV-PROMONACIONAL_TG|NON_ST|NON_TS|NONE_SZ|1X1_AD|CM1_IT|SOC_U1|GANHADORES</v>
      </c>
      <c r="D690" t="str">
        <f t="shared" si="147"/>
        <v>253116236</v>
      </c>
      <c r="E690" t="str">
        <f t="shared" si="148"/>
        <v>Dynamic Click</v>
      </c>
      <c r="F690" t="str">
        <f t="shared" si="149"/>
        <v>MK|BR_CH|PSD_DT|CROSS_PB|INST_FM|STRY_RT|CPM_PD|VDV-PROMONACIONAL_TG|NON_ST|NON_TS|NONE_SZ|1X1_AD|CM1_IT|SOC_U1|GANHADORES</v>
      </c>
      <c r="G690" t="str">
        <f t="shared" si="150"/>
        <v>449500568</v>
      </c>
      <c r="H690" t="str">
        <f t="shared" si="151"/>
        <v>Tracking</v>
      </c>
      <c r="I690">
        <f t="shared" si="152"/>
        <v>0</v>
      </c>
      <c r="J690">
        <f t="shared" si="153"/>
        <v>3144</v>
      </c>
      <c r="K690" s="4">
        <f t="shared" si="156"/>
        <v>3.5000000000000001E-3</v>
      </c>
      <c r="L690">
        <f t="shared" si="157"/>
        <v>0.02</v>
      </c>
      <c r="M690" s="4">
        <f t="shared" si="154"/>
        <v>11.004</v>
      </c>
      <c r="N690" s="4">
        <f t="shared" si="155"/>
        <v>62.88</v>
      </c>
    </row>
    <row r="691" spans="1:14">
      <c r="A691" t="str">
        <f t="shared" si="144"/>
        <v>MK|BR_CN|VDV_MN|NONE_YQ|19Q1Q4_CP|PO5020004141_SP|N/A_AC|DE_OB|ACQ_U1|DCM</v>
      </c>
      <c r="B691" t="str">
        <f t="shared" si="145"/>
        <v>instagram.com</v>
      </c>
      <c r="C691" t="str">
        <f t="shared" si="146"/>
        <v>MK|BR_CH|PSD_DT|CROSS_PB|INST_FM|STRY_RT|CPM_PD|VDV-PROMONACIONAL_TG|NON_ST|NON_TS|NONE_SZ|1X1_AD|CM1_IT|SOC_U1|PAGUECOMVISA</v>
      </c>
      <c r="D691" t="str">
        <f t="shared" si="147"/>
        <v>249133270</v>
      </c>
      <c r="E691" t="str">
        <f t="shared" si="148"/>
        <v>Dynamic Click</v>
      </c>
      <c r="F691" t="str">
        <f t="shared" si="149"/>
        <v>MK|BR_CH|PSD_DT|CROSS_PB|INST_FM|STRY_RT|CPM_PD|VDV-PROMONACIONAL_TG|NON_ST|NON_TS|NONE_SZ|1X1_AD|CM1_IT|SOC_U1|PAGUECOMVISA</v>
      </c>
      <c r="G691" t="str">
        <f t="shared" si="150"/>
        <v>445448845</v>
      </c>
      <c r="H691" t="str">
        <f t="shared" si="151"/>
        <v>Tracking</v>
      </c>
      <c r="I691">
        <f t="shared" si="152"/>
        <v>0</v>
      </c>
      <c r="J691">
        <f t="shared" si="153"/>
        <v>952</v>
      </c>
      <c r="K691" s="4">
        <f t="shared" si="156"/>
        <v>3.5000000000000001E-3</v>
      </c>
      <c r="L691">
        <f t="shared" si="157"/>
        <v>0.02</v>
      </c>
      <c r="M691" s="4">
        <f t="shared" si="154"/>
        <v>3.3319999999999999</v>
      </c>
      <c r="N691" s="4">
        <f t="shared" si="155"/>
        <v>19.04</v>
      </c>
    </row>
    <row r="692" spans="1:14">
      <c r="A692" t="str">
        <f t="shared" si="144"/>
        <v>MK|BR_CN|VDV_MN|NONE_YQ|19Q1Q4_CP|PO5020004141_SP|N/A_AC|DE_OB|ACQ_U1|DCM</v>
      </c>
      <c r="B692" t="str">
        <f t="shared" si="145"/>
        <v>instagram.com</v>
      </c>
      <c r="C692" t="str">
        <f t="shared" si="146"/>
        <v>MK|BR_CH|PSD_DT|CROSS_PB|INST_FM|STRY_RT|CPM_PD|VDV-PROMONACIONAL_TG|NON_ST|NON_TS|NONE_SZ|1X1_AD|CM1_IT|SOC_U1|PARTICIPE_U2|PAGUECOMVISA</v>
      </c>
      <c r="D692" t="str">
        <f t="shared" si="147"/>
        <v>252876919</v>
      </c>
      <c r="E692" t="str">
        <f t="shared" si="148"/>
        <v>Dynamic Click</v>
      </c>
      <c r="F692" t="str">
        <f t="shared" si="149"/>
        <v>MK|BR_CH|PSD_DT|CROSS_PB|INST_FM|STRY_RT|CPM_PD|VDV-PROMONACIONAL_TG|NON_ST|NON_TS|NONE_SZ|1X1_AD|CM1_IT|SOC_U1|PARTICIPE_U2|PAGUECOMVISA</v>
      </c>
      <c r="G692" t="str">
        <f t="shared" si="150"/>
        <v>448862058</v>
      </c>
      <c r="H692" t="str">
        <f t="shared" si="151"/>
        <v>Tracking</v>
      </c>
      <c r="I692">
        <f t="shared" si="152"/>
        <v>0</v>
      </c>
      <c r="J692">
        <f t="shared" si="153"/>
        <v>247</v>
      </c>
      <c r="K692" s="4">
        <f t="shared" si="156"/>
        <v>3.5000000000000001E-3</v>
      </c>
      <c r="L692">
        <f t="shared" si="157"/>
        <v>0.02</v>
      </c>
      <c r="M692" s="4">
        <f t="shared" si="154"/>
        <v>0.86450000000000005</v>
      </c>
      <c r="N692" s="4">
        <f t="shared" si="155"/>
        <v>4.9400000000000004</v>
      </c>
    </row>
    <row r="693" spans="1:14">
      <c r="A693">
        <f t="shared" si="144"/>
        <v>0</v>
      </c>
      <c r="B693">
        <f t="shared" si="145"/>
        <v>0</v>
      </c>
      <c r="C693">
        <f t="shared" si="146"/>
        <v>0</v>
      </c>
      <c r="D693">
        <f t="shared" si="147"/>
        <v>0</v>
      </c>
      <c r="E693" t="e">
        <f t="shared" si="148"/>
        <v>#N/A</v>
      </c>
      <c r="F693">
        <f t="shared" si="149"/>
        <v>0</v>
      </c>
      <c r="G693">
        <f t="shared" si="150"/>
        <v>0</v>
      </c>
      <c r="H693">
        <f t="shared" si="151"/>
        <v>0</v>
      </c>
      <c r="I693">
        <f t="shared" si="152"/>
        <v>0</v>
      </c>
      <c r="J693">
        <f t="shared" si="153"/>
        <v>0</v>
      </c>
      <c r="K693" s="4" t="e">
        <f t="shared" si="156"/>
        <v>#N/A</v>
      </c>
      <c r="L693" t="e">
        <f t="shared" si="157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4"/>
        <v>0</v>
      </c>
      <c r="B694">
        <f t="shared" si="145"/>
        <v>0</v>
      </c>
      <c r="C694">
        <f t="shared" si="146"/>
        <v>0</v>
      </c>
      <c r="D694">
        <f t="shared" si="147"/>
        <v>0</v>
      </c>
      <c r="E694" t="e">
        <f t="shared" si="148"/>
        <v>#N/A</v>
      </c>
      <c r="F694">
        <f t="shared" si="149"/>
        <v>0</v>
      </c>
      <c r="G694">
        <f t="shared" si="150"/>
        <v>0</v>
      </c>
      <c r="H694">
        <f t="shared" si="151"/>
        <v>0</v>
      </c>
      <c r="I694">
        <f t="shared" si="152"/>
        <v>0</v>
      </c>
      <c r="J694">
        <f t="shared" si="153"/>
        <v>0</v>
      </c>
      <c r="K694" s="4" t="e">
        <f t="shared" si="156"/>
        <v>#N/A</v>
      </c>
      <c r="L694" t="e">
        <f t="shared" si="157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4"/>
        <v>0</v>
      </c>
      <c r="B695">
        <f t="shared" si="145"/>
        <v>0</v>
      </c>
      <c r="C695">
        <f t="shared" si="146"/>
        <v>0</v>
      </c>
      <c r="D695">
        <f t="shared" si="147"/>
        <v>0</v>
      </c>
      <c r="E695" t="e">
        <f t="shared" si="148"/>
        <v>#N/A</v>
      </c>
      <c r="F695">
        <f t="shared" si="149"/>
        <v>0</v>
      </c>
      <c r="G695">
        <f t="shared" si="150"/>
        <v>0</v>
      </c>
      <c r="H695">
        <f t="shared" si="151"/>
        <v>0</v>
      </c>
      <c r="I695">
        <f t="shared" si="152"/>
        <v>0</v>
      </c>
      <c r="J695">
        <f t="shared" si="153"/>
        <v>0</v>
      </c>
      <c r="K695" s="4" t="e">
        <f t="shared" si="156"/>
        <v>#N/A</v>
      </c>
      <c r="L695" t="e">
        <f t="shared" si="157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4"/>
        <v>0</v>
      </c>
      <c r="B696">
        <f t="shared" si="145"/>
        <v>0</v>
      </c>
      <c r="C696">
        <f t="shared" si="146"/>
        <v>0</v>
      </c>
      <c r="D696">
        <f t="shared" si="147"/>
        <v>0</v>
      </c>
      <c r="E696" t="e">
        <f t="shared" si="148"/>
        <v>#N/A</v>
      </c>
      <c r="F696">
        <f t="shared" si="149"/>
        <v>0</v>
      </c>
      <c r="G696">
        <f t="shared" si="150"/>
        <v>0</v>
      </c>
      <c r="H696">
        <f t="shared" si="151"/>
        <v>0</v>
      </c>
      <c r="I696">
        <f t="shared" si="152"/>
        <v>0</v>
      </c>
      <c r="J696">
        <f t="shared" si="153"/>
        <v>0</v>
      </c>
      <c r="K696" s="4" t="e">
        <f t="shared" si="156"/>
        <v>#N/A</v>
      </c>
      <c r="L696" t="e">
        <f t="shared" si="157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4"/>
        <v>0</v>
      </c>
      <c r="B697">
        <f t="shared" si="145"/>
        <v>0</v>
      </c>
      <c r="C697">
        <f t="shared" si="146"/>
        <v>0</v>
      </c>
      <c r="D697">
        <f t="shared" si="147"/>
        <v>0</v>
      </c>
      <c r="E697" t="e">
        <f t="shared" si="148"/>
        <v>#N/A</v>
      </c>
      <c r="F697">
        <f t="shared" si="149"/>
        <v>0</v>
      </c>
      <c r="G697">
        <f t="shared" si="150"/>
        <v>0</v>
      </c>
      <c r="H697">
        <f t="shared" si="151"/>
        <v>0</v>
      </c>
      <c r="I697">
        <f t="shared" si="152"/>
        <v>0</v>
      </c>
      <c r="J697">
        <f t="shared" si="153"/>
        <v>0</v>
      </c>
      <c r="K697" s="4" t="e">
        <f t="shared" si="156"/>
        <v>#N/A</v>
      </c>
      <c r="L697" t="e">
        <f t="shared" si="157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4"/>
        <v>0</v>
      </c>
      <c r="B698">
        <f t="shared" si="145"/>
        <v>0</v>
      </c>
      <c r="C698">
        <f t="shared" si="146"/>
        <v>0</v>
      </c>
      <c r="D698">
        <f t="shared" si="147"/>
        <v>0</v>
      </c>
      <c r="E698" t="e">
        <f t="shared" si="148"/>
        <v>#N/A</v>
      </c>
      <c r="F698">
        <f t="shared" si="149"/>
        <v>0</v>
      </c>
      <c r="G698">
        <f t="shared" si="150"/>
        <v>0</v>
      </c>
      <c r="H698">
        <f t="shared" si="151"/>
        <v>0</v>
      </c>
      <c r="I698">
        <f t="shared" si="152"/>
        <v>0</v>
      </c>
      <c r="J698">
        <f t="shared" si="153"/>
        <v>0</v>
      </c>
      <c r="K698" s="4" t="e">
        <f t="shared" si="156"/>
        <v>#N/A</v>
      </c>
      <c r="L698" t="e">
        <f t="shared" si="157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4"/>
        <v>0</v>
      </c>
      <c r="B699">
        <f t="shared" si="145"/>
        <v>0</v>
      </c>
      <c r="C699">
        <f t="shared" si="146"/>
        <v>0</v>
      </c>
      <c r="D699">
        <f t="shared" si="147"/>
        <v>0</v>
      </c>
      <c r="E699" t="e">
        <f t="shared" si="148"/>
        <v>#N/A</v>
      </c>
      <c r="F699">
        <f t="shared" si="149"/>
        <v>0</v>
      </c>
      <c r="G699">
        <f t="shared" si="150"/>
        <v>0</v>
      </c>
      <c r="H699">
        <f t="shared" si="151"/>
        <v>0</v>
      </c>
      <c r="I699">
        <f t="shared" si="152"/>
        <v>0</v>
      </c>
      <c r="J699">
        <f t="shared" si="153"/>
        <v>0</v>
      </c>
      <c r="K699" s="4" t="e">
        <f t="shared" si="156"/>
        <v>#N/A</v>
      </c>
      <c r="L699" t="e">
        <f t="shared" si="157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4"/>
        <v>0</v>
      </c>
      <c r="B700">
        <f t="shared" si="145"/>
        <v>0</v>
      </c>
      <c r="C700">
        <f t="shared" si="146"/>
        <v>0</v>
      </c>
      <c r="D700">
        <f t="shared" si="147"/>
        <v>0</v>
      </c>
      <c r="E700" t="e">
        <f t="shared" si="148"/>
        <v>#N/A</v>
      </c>
      <c r="F700">
        <f t="shared" si="149"/>
        <v>0</v>
      </c>
      <c r="G700">
        <f t="shared" si="150"/>
        <v>0</v>
      </c>
      <c r="H700">
        <f t="shared" si="151"/>
        <v>0</v>
      </c>
      <c r="I700">
        <f t="shared" si="152"/>
        <v>0</v>
      </c>
      <c r="J700">
        <f t="shared" si="153"/>
        <v>0</v>
      </c>
      <c r="K700" s="4" t="e">
        <f t="shared" si="156"/>
        <v>#N/A</v>
      </c>
      <c r="L700" t="e">
        <f t="shared" si="157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4"/>
        <v>0</v>
      </c>
      <c r="B701">
        <f t="shared" si="145"/>
        <v>0</v>
      </c>
      <c r="C701">
        <f t="shared" si="146"/>
        <v>0</v>
      </c>
      <c r="D701">
        <f t="shared" si="147"/>
        <v>0</v>
      </c>
      <c r="E701" t="e">
        <f t="shared" si="148"/>
        <v>#N/A</v>
      </c>
      <c r="F701">
        <f t="shared" si="149"/>
        <v>0</v>
      </c>
      <c r="G701">
        <f t="shared" si="150"/>
        <v>0</v>
      </c>
      <c r="H701">
        <f t="shared" si="151"/>
        <v>0</v>
      </c>
      <c r="I701">
        <f t="shared" si="152"/>
        <v>0</v>
      </c>
      <c r="J701">
        <f t="shared" si="153"/>
        <v>0</v>
      </c>
      <c r="K701" s="4" t="e">
        <f t="shared" si="156"/>
        <v>#N/A</v>
      </c>
      <c r="L701" t="e">
        <f t="shared" si="157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4"/>
        <v>0</v>
      </c>
      <c r="B702">
        <f t="shared" si="145"/>
        <v>0</v>
      </c>
      <c r="C702">
        <f t="shared" si="146"/>
        <v>0</v>
      </c>
      <c r="D702">
        <f t="shared" si="147"/>
        <v>0</v>
      </c>
      <c r="E702" t="e">
        <f t="shared" si="148"/>
        <v>#N/A</v>
      </c>
      <c r="F702">
        <f t="shared" si="149"/>
        <v>0</v>
      </c>
      <c r="G702">
        <f t="shared" si="150"/>
        <v>0</v>
      </c>
      <c r="H702">
        <f t="shared" si="151"/>
        <v>0</v>
      </c>
      <c r="I702">
        <f t="shared" si="152"/>
        <v>0</v>
      </c>
      <c r="J702">
        <f t="shared" si="153"/>
        <v>0</v>
      </c>
      <c r="K702" s="4" t="e">
        <f t="shared" si="156"/>
        <v>#N/A</v>
      </c>
      <c r="L702" t="e">
        <f t="shared" si="157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4"/>
        <v>0</v>
      </c>
      <c r="B703">
        <f t="shared" si="145"/>
        <v>0</v>
      </c>
      <c r="C703">
        <f t="shared" si="146"/>
        <v>0</v>
      </c>
      <c r="D703">
        <f t="shared" si="147"/>
        <v>0</v>
      </c>
      <c r="E703" t="e">
        <f t="shared" si="148"/>
        <v>#N/A</v>
      </c>
      <c r="F703">
        <f t="shared" si="149"/>
        <v>0</v>
      </c>
      <c r="G703">
        <f t="shared" si="150"/>
        <v>0</v>
      </c>
      <c r="H703">
        <f t="shared" si="151"/>
        <v>0</v>
      </c>
      <c r="I703">
        <f t="shared" si="152"/>
        <v>0</v>
      </c>
      <c r="J703">
        <f t="shared" si="153"/>
        <v>0</v>
      </c>
      <c r="K703" s="4" t="e">
        <f t="shared" si="156"/>
        <v>#N/A</v>
      </c>
      <c r="L703" t="e">
        <f t="shared" si="157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4"/>
        <v>0</v>
      </c>
      <c r="B704">
        <f t="shared" si="145"/>
        <v>0</v>
      </c>
      <c r="C704">
        <f t="shared" si="146"/>
        <v>0</v>
      </c>
      <c r="D704">
        <f t="shared" si="147"/>
        <v>0</v>
      </c>
      <c r="E704" t="e">
        <f t="shared" si="148"/>
        <v>#N/A</v>
      </c>
      <c r="F704">
        <f t="shared" si="149"/>
        <v>0</v>
      </c>
      <c r="G704">
        <f t="shared" si="150"/>
        <v>0</v>
      </c>
      <c r="H704">
        <f t="shared" si="151"/>
        <v>0</v>
      </c>
      <c r="I704">
        <f t="shared" si="152"/>
        <v>0</v>
      </c>
      <c r="J704">
        <f t="shared" si="153"/>
        <v>0</v>
      </c>
      <c r="K704" s="4" t="e">
        <f t="shared" si="156"/>
        <v>#N/A</v>
      </c>
      <c r="L704" t="e">
        <f t="shared" si="157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4"/>
        <v>0</v>
      </c>
      <c r="B705">
        <f t="shared" si="145"/>
        <v>0</v>
      </c>
      <c r="C705">
        <f t="shared" si="146"/>
        <v>0</v>
      </c>
      <c r="D705">
        <f t="shared" si="147"/>
        <v>0</v>
      </c>
      <c r="E705" t="e">
        <f t="shared" si="148"/>
        <v>#N/A</v>
      </c>
      <c r="F705">
        <f t="shared" si="149"/>
        <v>0</v>
      </c>
      <c r="G705">
        <f t="shared" si="150"/>
        <v>0</v>
      </c>
      <c r="H705">
        <f t="shared" si="151"/>
        <v>0</v>
      </c>
      <c r="I705">
        <f t="shared" si="152"/>
        <v>0</v>
      </c>
      <c r="J705">
        <f t="shared" si="153"/>
        <v>0</v>
      </c>
      <c r="K705" s="4" t="e">
        <f t="shared" si="156"/>
        <v>#N/A</v>
      </c>
      <c r="L705" t="e">
        <f t="shared" si="157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8">bd_campaign</f>
        <v>0</v>
      </c>
      <c r="B706">
        <f t="shared" ref="B706:B769" si="159">bd_site</f>
        <v>0</v>
      </c>
      <c r="C706">
        <f t="shared" ref="C706:C769" si="160">bd_placement</f>
        <v>0</v>
      </c>
      <c r="D706">
        <f t="shared" ref="D706:D769" si="161">bd_placementID</f>
        <v>0</v>
      </c>
      <c r="E706" t="e">
        <f t="shared" ref="E706:E769" si="162">VLOOKUP(CONCATENATE(bd_adtype,"_",bd_creativetype),tabela,2,FALSE)</f>
        <v>#N/A</v>
      </c>
      <c r="F706">
        <f t="shared" ref="F706:F769" si="163">bd_ad</f>
        <v>0</v>
      </c>
      <c r="G706">
        <f t="shared" ref="G706:G769" si="164">bd_adid</f>
        <v>0</v>
      </c>
      <c r="H706">
        <f t="shared" ref="H706:H769" si="165">bd_creativetype</f>
        <v>0</v>
      </c>
      <c r="I706">
        <f t="shared" ref="I706:I769" si="166">bd_impression</f>
        <v>0</v>
      </c>
      <c r="J706">
        <f t="shared" ref="J706:J769" si="167">bd_clicks</f>
        <v>0</v>
      </c>
      <c r="K706" s="4" t="e">
        <f t="shared" si="156"/>
        <v>#N/A</v>
      </c>
      <c r="L706" t="e">
        <f t="shared" si="157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8"/>
        <v>0</v>
      </c>
      <c r="B707">
        <f t="shared" si="159"/>
        <v>0</v>
      </c>
      <c r="C707">
        <f t="shared" si="160"/>
        <v>0</v>
      </c>
      <c r="D707">
        <f t="shared" si="161"/>
        <v>0</v>
      </c>
      <c r="E707" t="e">
        <f t="shared" si="162"/>
        <v>#N/A</v>
      </c>
      <c r="F707">
        <f t="shared" si="163"/>
        <v>0</v>
      </c>
      <c r="G707">
        <f t="shared" si="164"/>
        <v>0</v>
      </c>
      <c r="H707">
        <f t="shared" si="165"/>
        <v>0</v>
      </c>
      <c r="I707">
        <f t="shared" si="166"/>
        <v>0</v>
      </c>
      <c r="J707">
        <f t="shared" si="167"/>
        <v>0</v>
      </c>
      <c r="K707" s="4" t="e">
        <f t="shared" si="156"/>
        <v>#N/A</v>
      </c>
      <c r="L707" t="e">
        <f t="shared" si="157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8"/>
        <v>0</v>
      </c>
      <c r="B708">
        <f t="shared" si="159"/>
        <v>0</v>
      </c>
      <c r="C708">
        <f t="shared" si="160"/>
        <v>0</v>
      </c>
      <c r="D708">
        <f t="shared" si="161"/>
        <v>0</v>
      </c>
      <c r="E708" t="e">
        <f t="shared" si="162"/>
        <v>#N/A</v>
      </c>
      <c r="F708">
        <f t="shared" si="163"/>
        <v>0</v>
      </c>
      <c r="G708">
        <f t="shared" si="164"/>
        <v>0</v>
      </c>
      <c r="H708">
        <f t="shared" si="165"/>
        <v>0</v>
      </c>
      <c r="I708">
        <f t="shared" si="166"/>
        <v>0</v>
      </c>
      <c r="J708">
        <f t="shared" si="167"/>
        <v>0</v>
      </c>
      <c r="K708" s="4" t="e">
        <f t="shared" si="156"/>
        <v>#N/A</v>
      </c>
      <c r="L708" t="e">
        <f t="shared" si="157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8"/>
        <v>0</v>
      </c>
      <c r="B709">
        <f t="shared" si="159"/>
        <v>0</v>
      </c>
      <c r="C709">
        <f t="shared" si="160"/>
        <v>0</v>
      </c>
      <c r="D709">
        <f t="shared" si="161"/>
        <v>0</v>
      </c>
      <c r="E709" t="e">
        <f t="shared" si="162"/>
        <v>#N/A</v>
      </c>
      <c r="F709">
        <f t="shared" si="163"/>
        <v>0</v>
      </c>
      <c r="G709">
        <f t="shared" si="164"/>
        <v>0</v>
      </c>
      <c r="H709">
        <f t="shared" si="165"/>
        <v>0</v>
      </c>
      <c r="I709">
        <f t="shared" si="166"/>
        <v>0</v>
      </c>
      <c r="J709">
        <f t="shared" si="167"/>
        <v>0</v>
      </c>
      <c r="K709" s="4" t="e">
        <f t="shared" si="156"/>
        <v>#N/A</v>
      </c>
      <c r="L709" t="e">
        <f t="shared" si="157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8"/>
        <v>0</v>
      </c>
      <c r="B710">
        <f t="shared" si="159"/>
        <v>0</v>
      </c>
      <c r="C710">
        <f t="shared" si="160"/>
        <v>0</v>
      </c>
      <c r="D710">
        <f t="shared" si="161"/>
        <v>0</v>
      </c>
      <c r="E710" t="e">
        <f t="shared" si="162"/>
        <v>#N/A</v>
      </c>
      <c r="F710">
        <f t="shared" si="163"/>
        <v>0</v>
      </c>
      <c r="G710">
        <f t="shared" si="164"/>
        <v>0</v>
      </c>
      <c r="H710">
        <f t="shared" si="165"/>
        <v>0</v>
      </c>
      <c r="I710">
        <f t="shared" si="166"/>
        <v>0</v>
      </c>
      <c r="J710">
        <f t="shared" si="167"/>
        <v>0</v>
      </c>
      <c r="K710" s="4" t="e">
        <f t="shared" si="156"/>
        <v>#N/A</v>
      </c>
      <c r="L710" t="e">
        <f t="shared" si="157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8"/>
        <v>0</v>
      </c>
      <c r="B711">
        <f t="shared" si="159"/>
        <v>0</v>
      </c>
      <c r="C711">
        <f t="shared" si="160"/>
        <v>0</v>
      </c>
      <c r="D711">
        <f t="shared" si="161"/>
        <v>0</v>
      </c>
      <c r="E711" t="e">
        <f t="shared" si="162"/>
        <v>#N/A</v>
      </c>
      <c r="F711">
        <f t="shared" si="163"/>
        <v>0</v>
      </c>
      <c r="G711">
        <f t="shared" si="164"/>
        <v>0</v>
      </c>
      <c r="H711">
        <f t="shared" si="165"/>
        <v>0</v>
      </c>
      <c r="I711">
        <f t="shared" si="166"/>
        <v>0</v>
      </c>
      <c r="J711">
        <f t="shared" si="167"/>
        <v>0</v>
      </c>
      <c r="K711" s="4" t="e">
        <f t="shared" si="156"/>
        <v>#N/A</v>
      </c>
      <c r="L711" t="e">
        <f t="shared" si="157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8"/>
        <v>0</v>
      </c>
      <c r="B712">
        <f t="shared" si="159"/>
        <v>0</v>
      </c>
      <c r="C712">
        <f t="shared" si="160"/>
        <v>0</v>
      </c>
      <c r="D712">
        <f t="shared" si="161"/>
        <v>0</v>
      </c>
      <c r="E712" t="e">
        <f t="shared" si="162"/>
        <v>#N/A</v>
      </c>
      <c r="F712">
        <f t="shared" si="163"/>
        <v>0</v>
      </c>
      <c r="G712">
        <f t="shared" si="164"/>
        <v>0</v>
      </c>
      <c r="H712">
        <f t="shared" si="165"/>
        <v>0</v>
      </c>
      <c r="I712">
        <f t="shared" si="166"/>
        <v>0</v>
      </c>
      <c r="J712">
        <f t="shared" si="167"/>
        <v>0</v>
      </c>
      <c r="K712" s="4" t="e">
        <f t="shared" si="156"/>
        <v>#N/A</v>
      </c>
      <c r="L712" t="e">
        <f t="shared" si="157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8"/>
        <v>0</v>
      </c>
      <c r="B713">
        <f t="shared" si="159"/>
        <v>0</v>
      </c>
      <c r="C713">
        <f t="shared" si="160"/>
        <v>0</v>
      </c>
      <c r="D713">
        <f t="shared" si="161"/>
        <v>0</v>
      </c>
      <c r="E713" t="e">
        <f t="shared" si="162"/>
        <v>#N/A</v>
      </c>
      <c r="F713">
        <f t="shared" si="163"/>
        <v>0</v>
      </c>
      <c r="G713">
        <f t="shared" si="164"/>
        <v>0</v>
      </c>
      <c r="H713">
        <f t="shared" si="165"/>
        <v>0</v>
      </c>
      <c r="I713">
        <f t="shared" si="166"/>
        <v>0</v>
      </c>
      <c r="J713">
        <f t="shared" si="167"/>
        <v>0</v>
      </c>
      <c r="K713" s="4" t="e">
        <f t="shared" si="156"/>
        <v>#N/A</v>
      </c>
      <c r="L713" t="e">
        <f t="shared" si="157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8"/>
        <v>0</v>
      </c>
      <c r="B714">
        <f t="shared" si="159"/>
        <v>0</v>
      </c>
      <c r="C714">
        <f t="shared" si="160"/>
        <v>0</v>
      </c>
      <c r="D714">
        <f t="shared" si="161"/>
        <v>0</v>
      </c>
      <c r="E714" t="e">
        <f t="shared" si="162"/>
        <v>#N/A</v>
      </c>
      <c r="F714">
        <f t="shared" si="163"/>
        <v>0</v>
      </c>
      <c r="G714">
        <f t="shared" si="164"/>
        <v>0</v>
      </c>
      <c r="H714">
        <f t="shared" si="165"/>
        <v>0</v>
      </c>
      <c r="I714">
        <f t="shared" si="166"/>
        <v>0</v>
      </c>
      <c r="J714">
        <f t="shared" si="167"/>
        <v>0</v>
      </c>
      <c r="K714" s="4" t="e">
        <f t="shared" si="156"/>
        <v>#N/A</v>
      </c>
      <c r="L714" t="e">
        <f t="shared" si="157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8"/>
        <v>0</v>
      </c>
      <c r="B715">
        <f t="shared" si="159"/>
        <v>0</v>
      </c>
      <c r="C715">
        <f t="shared" si="160"/>
        <v>0</v>
      </c>
      <c r="D715">
        <f t="shared" si="161"/>
        <v>0</v>
      </c>
      <c r="E715" t="e">
        <f t="shared" si="162"/>
        <v>#N/A</v>
      </c>
      <c r="F715">
        <f t="shared" si="163"/>
        <v>0</v>
      </c>
      <c r="G715">
        <f t="shared" si="164"/>
        <v>0</v>
      </c>
      <c r="H715">
        <f t="shared" si="165"/>
        <v>0</v>
      </c>
      <c r="I715">
        <f t="shared" si="166"/>
        <v>0</v>
      </c>
      <c r="J715">
        <f t="shared" si="167"/>
        <v>0</v>
      </c>
      <c r="K715" s="4" t="e">
        <f t="shared" si="156"/>
        <v>#N/A</v>
      </c>
      <c r="L715" t="e">
        <f t="shared" si="157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8"/>
        <v>0</v>
      </c>
      <c r="B716">
        <f t="shared" si="159"/>
        <v>0</v>
      </c>
      <c r="C716">
        <f t="shared" si="160"/>
        <v>0</v>
      </c>
      <c r="D716">
        <f t="shared" si="161"/>
        <v>0</v>
      </c>
      <c r="E716" t="e">
        <f t="shared" si="162"/>
        <v>#N/A</v>
      </c>
      <c r="F716">
        <f t="shared" si="163"/>
        <v>0</v>
      </c>
      <c r="G716">
        <f t="shared" si="164"/>
        <v>0</v>
      </c>
      <c r="H716">
        <f t="shared" si="165"/>
        <v>0</v>
      </c>
      <c r="I716">
        <f t="shared" si="166"/>
        <v>0</v>
      </c>
      <c r="J716">
        <f t="shared" si="167"/>
        <v>0</v>
      </c>
      <c r="K716" s="4" t="e">
        <f t="shared" si="156"/>
        <v>#N/A</v>
      </c>
      <c r="L716" t="e">
        <f t="shared" si="157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8"/>
        <v>0</v>
      </c>
      <c r="B717">
        <f t="shared" si="159"/>
        <v>0</v>
      </c>
      <c r="C717">
        <f t="shared" si="160"/>
        <v>0</v>
      </c>
      <c r="D717">
        <f t="shared" si="161"/>
        <v>0</v>
      </c>
      <c r="E717" t="e">
        <f t="shared" si="162"/>
        <v>#N/A</v>
      </c>
      <c r="F717">
        <f t="shared" si="163"/>
        <v>0</v>
      </c>
      <c r="G717">
        <f t="shared" si="164"/>
        <v>0</v>
      </c>
      <c r="H717">
        <f t="shared" si="165"/>
        <v>0</v>
      </c>
      <c r="I717">
        <f t="shared" si="166"/>
        <v>0</v>
      </c>
      <c r="J717">
        <f t="shared" si="167"/>
        <v>0</v>
      </c>
      <c r="K717" s="4" t="e">
        <f t="shared" si="156"/>
        <v>#N/A</v>
      </c>
      <c r="L717" t="e">
        <f t="shared" si="157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8"/>
        <v>0</v>
      </c>
      <c r="B718">
        <f t="shared" si="159"/>
        <v>0</v>
      </c>
      <c r="C718">
        <f t="shared" si="160"/>
        <v>0</v>
      </c>
      <c r="D718">
        <f t="shared" si="161"/>
        <v>0</v>
      </c>
      <c r="E718" t="e">
        <f t="shared" si="162"/>
        <v>#N/A</v>
      </c>
      <c r="F718">
        <f t="shared" si="163"/>
        <v>0</v>
      </c>
      <c r="G718">
        <f t="shared" si="164"/>
        <v>0</v>
      </c>
      <c r="H718">
        <f t="shared" si="165"/>
        <v>0</v>
      </c>
      <c r="I718">
        <f t="shared" si="166"/>
        <v>0</v>
      </c>
      <c r="J718">
        <f t="shared" si="167"/>
        <v>0</v>
      </c>
      <c r="K718" s="4" t="e">
        <f t="shared" si="156"/>
        <v>#N/A</v>
      </c>
      <c r="L718" t="e">
        <f t="shared" si="157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8"/>
        <v>0</v>
      </c>
      <c r="B719">
        <f t="shared" si="159"/>
        <v>0</v>
      </c>
      <c r="C719">
        <f t="shared" si="160"/>
        <v>0</v>
      </c>
      <c r="D719">
        <f t="shared" si="161"/>
        <v>0</v>
      </c>
      <c r="E719" t="e">
        <f t="shared" si="162"/>
        <v>#N/A</v>
      </c>
      <c r="F719">
        <f t="shared" si="163"/>
        <v>0</v>
      </c>
      <c r="G719">
        <f t="shared" si="164"/>
        <v>0</v>
      </c>
      <c r="H719">
        <f t="shared" si="165"/>
        <v>0</v>
      </c>
      <c r="I719">
        <f t="shared" si="166"/>
        <v>0</v>
      </c>
      <c r="J719">
        <f t="shared" si="167"/>
        <v>0</v>
      </c>
      <c r="K719" s="4" t="e">
        <f t="shared" si="156"/>
        <v>#N/A</v>
      </c>
      <c r="L719" t="e">
        <f t="shared" si="157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8"/>
        <v>0</v>
      </c>
      <c r="B720">
        <f t="shared" si="159"/>
        <v>0</v>
      </c>
      <c r="C720">
        <f t="shared" si="160"/>
        <v>0</v>
      </c>
      <c r="D720">
        <f t="shared" si="161"/>
        <v>0</v>
      </c>
      <c r="E720" t="e">
        <f t="shared" si="162"/>
        <v>#N/A</v>
      </c>
      <c r="F720">
        <f t="shared" si="163"/>
        <v>0</v>
      </c>
      <c r="G720">
        <f t="shared" si="164"/>
        <v>0</v>
      </c>
      <c r="H720">
        <f t="shared" si="165"/>
        <v>0</v>
      </c>
      <c r="I720">
        <f t="shared" si="166"/>
        <v>0</v>
      </c>
      <c r="J720">
        <f t="shared" si="167"/>
        <v>0</v>
      </c>
      <c r="K720" s="4" t="e">
        <f t="shared" si="156"/>
        <v>#N/A</v>
      </c>
      <c r="L720" t="e">
        <f t="shared" si="157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8"/>
        <v>0</v>
      </c>
      <c r="B721">
        <f t="shared" si="159"/>
        <v>0</v>
      </c>
      <c r="C721">
        <f t="shared" si="160"/>
        <v>0</v>
      </c>
      <c r="D721">
        <f t="shared" si="161"/>
        <v>0</v>
      </c>
      <c r="E721" t="e">
        <f t="shared" si="162"/>
        <v>#N/A</v>
      </c>
      <c r="F721">
        <f t="shared" si="163"/>
        <v>0</v>
      </c>
      <c r="G721">
        <f t="shared" si="164"/>
        <v>0</v>
      </c>
      <c r="H721">
        <f t="shared" si="165"/>
        <v>0</v>
      </c>
      <c r="I721">
        <f t="shared" si="166"/>
        <v>0</v>
      </c>
      <c r="J721">
        <f t="shared" si="167"/>
        <v>0</v>
      </c>
      <c r="K721" s="4" t="e">
        <f t="shared" si="156"/>
        <v>#N/A</v>
      </c>
      <c r="L721" t="e">
        <f t="shared" si="157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8"/>
        <v>0</v>
      </c>
      <c r="B722">
        <f t="shared" si="159"/>
        <v>0</v>
      </c>
      <c r="C722">
        <f t="shared" si="160"/>
        <v>0</v>
      </c>
      <c r="D722">
        <f t="shared" si="161"/>
        <v>0</v>
      </c>
      <c r="E722" t="e">
        <f t="shared" si="162"/>
        <v>#N/A</v>
      </c>
      <c r="F722">
        <f t="shared" si="163"/>
        <v>0</v>
      </c>
      <c r="G722">
        <f t="shared" si="164"/>
        <v>0</v>
      </c>
      <c r="H722">
        <f t="shared" si="165"/>
        <v>0</v>
      </c>
      <c r="I722">
        <f t="shared" si="166"/>
        <v>0</v>
      </c>
      <c r="J722">
        <f t="shared" si="167"/>
        <v>0</v>
      </c>
      <c r="K722" s="4" t="e">
        <f t="shared" si="156"/>
        <v>#N/A</v>
      </c>
      <c r="L722" t="e">
        <f t="shared" si="157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8"/>
        <v>0</v>
      </c>
      <c r="B723">
        <f t="shared" si="159"/>
        <v>0</v>
      </c>
      <c r="C723">
        <f t="shared" si="160"/>
        <v>0</v>
      </c>
      <c r="D723">
        <f t="shared" si="161"/>
        <v>0</v>
      </c>
      <c r="E723" t="e">
        <f t="shared" si="162"/>
        <v>#N/A</v>
      </c>
      <c r="F723">
        <f t="shared" si="163"/>
        <v>0</v>
      </c>
      <c r="G723">
        <f t="shared" si="164"/>
        <v>0</v>
      </c>
      <c r="H723">
        <f t="shared" si="165"/>
        <v>0</v>
      </c>
      <c r="I723">
        <f t="shared" si="166"/>
        <v>0</v>
      </c>
      <c r="J723">
        <f t="shared" si="167"/>
        <v>0</v>
      </c>
      <c r="K723" s="4" t="e">
        <f t="shared" si="156"/>
        <v>#N/A</v>
      </c>
      <c r="L723" t="e">
        <f t="shared" si="157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8"/>
        <v>0</v>
      </c>
      <c r="B724">
        <f t="shared" si="159"/>
        <v>0</v>
      </c>
      <c r="C724">
        <f t="shared" si="160"/>
        <v>0</v>
      </c>
      <c r="D724">
        <f t="shared" si="161"/>
        <v>0</v>
      </c>
      <c r="E724" t="e">
        <f t="shared" si="162"/>
        <v>#N/A</v>
      </c>
      <c r="F724">
        <f t="shared" si="163"/>
        <v>0</v>
      </c>
      <c r="G724">
        <f t="shared" si="164"/>
        <v>0</v>
      </c>
      <c r="H724">
        <f t="shared" si="165"/>
        <v>0</v>
      </c>
      <c r="I724">
        <f t="shared" si="166"/>
        <v>0</v>
      </c>
      <c r="J724">
        <f t="shared" si="167"/>
        <v>0</v>
      </c>
      <c r="K724" s="4" t="e">
        <f t="shared" si="156"/>
        <v>#N/A</v>
      </c>
      <c r="L724" t="e">
        <f t="shared" si="157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8"/>
        <v>0</v>
      </c>
      <c r="B725">
        <f t="shared" si="159"/>
        <v>0</v>
      </c>
      <c r="C725">
        <f t="shared" si="160"/>
        <v>0</v>
      </c>
      <c r="D725">
        <f t="shared" si="161"/>
        <v>0</v>
      </c>
      <c r="E725" t="e">
        <f t="shared" si="162"/>
        <v>#N/A</v>
      </c>
      <c r="F725">
        <f t="shared" si="163"/>
        <v>0</v>
      </c>
      <c r="G725">
        <f t="shared" si="164"/>
        <v>0</v>
      </c>
      <c r="H725">
        <f t="shared" si="165"/>
        <v>0</v>
      </c>
      <c r="I725">
        <f t="shared" si="166"/>
        <v>0</v>
      </c>
      <c r="J725">
        <f t="shared" si="167"/>
        <v>0</v>
      </c>
      <c r="K725" s="4" t="e">
        <f t="shared" si="156"/>
        <v>#N/A</v>
      </c>
      <c r="L725" t="e">
        <f t="shared" si="157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8"/>
        <v>0</v>
      </c>
      <c r="B726">
        <f t="shared" si="159"/>
        <v>0</v>
      </c>
      <c r="C726">
        <f t="shared" si="160"/>
        <v>0</v>
      </c>
      <c r="D726">
        <f t="shared" si="161"/>
        <v>0</v>
      </c>
      <c r="E726" t="e">
        <f t="shared" si="162"/>
        <v>#N/A</v>
      </c>
      <c r="F726">
        <f t="shared" si="163"/>
        <v>0</v>
      </c>
      <c r="G726">
        <f t="shared" si="164"/>
        <v>0</v>
      </c>
      <c r="H726">
        <f t="shared" si="165"/>
        <v>0</v>
      </c>
      <c r="I726">
        <f t="shared" si="166"/>
        <v>0</v>
      </c>
      <c r="J726">
        <f t="shared" si="167"/>
        <v>0</v>
      </c>
      <c r="K726" s="4" t="e">
        <f t="shared" si="156"/>
        <v>#N/A</v>
      </c>
      <c r="L726" t="e">
        <f t="shared" si="157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8"/>
        <v>0</v>
      </c>
      <c r="B727">
        <f t="shared" si="159"/>
        <v>0</v>
      </c>
      <c r="C727">
        <f t="shared" si="160"/>
        <v>0</v>
      </c>
      <c r="D727">
        <f t="shared" si="161"/>
        <v>0</v>
      </c>
      <c r="E727" t="e">
        <f t="shared" si="162"/>
        <v>#N/A</v>
      </c>
      <c r="F727">
        <f t="shared" si="163"/>
        <v>0</v>
      </c>
      <c r="G727">
        <f t="shared" si="164"/>
        <v>0</v>
      </c>
      <c r="H727">
        <f t="shared" si="165"/>
        <v>0</v>
      </c>
      <c r="I727">
        <f t="shared" si="166"/>
        <v>0</v>
      </c>
      <c r="J727">
        <f t="shared" si="167"/>
        <v>0</v>
      </c>
      <c r="K727" s="4" t="e">
        <f t="shared" si="156"/>
        <v>#N/A</v>
      </c>
      <c r="L727" t="e">
        <f t="shared" si="157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8"/>
        <v>0</v>
      </c>
      <c r="B728">
        <f t="shared" si="159"/>
        <v>0</v>
      </c>
      <c r="C728">
        <f t="shared" si="160"/>
        <v>0</v>
      </c>
      <c r="D728">
        <f t="shared" si="161"/>
        <v>0</v>
      </c>
      <c r="E728" t="e">
        <f t="shared" si="162"/>
        <v>#N/A</v>
      </c>
      <c r="F728">
        <f t="shared" si="163"/>
        <v>0</v>
      </c>
      <c r="G728">
        <f t="shared" si="164"/>
        <v>0</v>
      </c>
      <c r="H728">
        <f t="shared" si="165"/>
        <v>0</v>
      </c>
      <c r="I728">
        <f t="shared" si="166"/>
        <v>0</v>
      </c>
      <c r="J728">
        <f t="shared" si="167"/>
        <v>0</v>
      </c>
      <c r="K728" s="4" t="e">
        <f t="shared" si="156"/>
        <v>#N/A</v>
      </c>
      <c r="L728" t="e">
        <f t="shared" si="157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8"/>
        <v>0</v>
      </c>
      <c r="B729">
        <f t="shared" si="159"/>
        <v>0</v>
      </c>
      <c r="C729">
        <f t="shared" si="160"/>
        <v>0</v>
      </c>
      <c r="D729">
        <f t="shared" si="161"/>
        <v>0</v>
      </c>
      <c r="E729" t="e">
        <f t="shared" si="162"/>
        <v>#N/A</v>
      </c>
      <c r="F729">
        <f t="shared" si="163"/>
        <v>0</v>
      </c>
      <c r="G729">
        <f t="shared" si="164"/>
        <v>0</v>
      </c>
      <c r="H729">
        <f t="shared" si="165"/>
        <v>0</v>
      </c>
      <c r="I729">
        <f t="shared" si="166"/>
        <v>0</v>
      </c>
      <c r="J729">
        <f t="shared" si="167"/>
        <v>0</v>
      </c>
      <c r="K729" s="4" t="e">
        <f t="shared" si="156"/>
        <v>#N/A</v>
      </c>
      <c r="L729" t="e">
        <f t="shared" si="157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8"/>
        <v>0</v>
      </c>
      <c r="B730">
        <f t="shared" si="159"/>
        <v>0</v>
      </c>
      <c r="C730">
        <f t="shared" si="160"/>
        <v>0</v>
      </c>
      <c r="D730">
        <f t="shared" si="161"/>
        <v>0</v>
      </c>
      <c r="E730" t="e">
        <f t="shared" si="162"/>
        <v>#N/A</v>
      </c>
      <c r="F730">
        <f t="shared" si="163"/>
        <v>0</v>
      </c>
      <c r="G730">
        <f t="shared" si="164"/>
        <v>0</v>
      </c>
      <c r="H730">
        <f t="shared" si="165"/>
        <v>0</v>
      </c>
      <c r="I730">
        <f t="shared" si="166"/>
        <v>0</v>
      </c>
      <c r="J730">
        <f t="shared" si="167"/>
        <v>0</v>
      </c>
      <c r="K730" s="4" t="e">
        <f t="shared" si="156"/>
        <v>#N/A</v>
      </c>
      <c r="L730" t="e">
        <f t="shared" si="157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8"/>
        <v>0</v>
      </c>
      <c r="B731">
        <f t="shared" si="159"/>
        <v>0</v>
      </c>
      <c r="C731">
        <f t="shared" si="160"/>
        <v>0</v>
      </c>
      <c r="D731">
        <f t="shared" si="161"/>
        <v>0</v>
      </c>
      <c r="E731" t="e">
        <f t="shared" si="162"/>
        <v>#N/A</v>
      </c>
      <c r="F731">
        <f t="shared" si="163"/>
        <v>0</v>
      </c>
      <c r="G731">
        <f t="shared" si="164"/>
        <v>0</v>
      </c>
      <c r="H731">
        <f t="shared" si="165"/>
        <v>0</v>
      </c>
      <c r="I731">
        <f t="shared" si="166"/>
        <v>0</v>
      </c>
      <c r="J731">
        <f t="shared" si="167"/>
        <v>0</v>
      </c>
      <c r="K731" s="4" t="e">
        <f t="shared" si="156"/>
        <v>#N/A</v>
      </c>
      <c r="L731" t="e">
        <f t="shared" si="157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8"/>
        <v>0</v>
      </c>
      <c r="B732">
        <f t="shared" si="159"/>
        <v>0</v>
      </c>
      <c r="C732">
        <f t="shared" si="160"/>
        <v>0</v>
      </c>
      <c r="D732">
        <f t="shared" si="161"/>
        <v>0</v>
      </c>
      <c r="E732" t="e">
        <f t="shared" si="162"/>
        <v>#N/A</v>
      </c>
      <c r="F732">
        <f t="shared" si="163"/>
        <v>0</v>
      </c>
      <c r="G732">
        <f t="shared" si="164"/>
        <v>0</v>
      </c>
      <c r="H732">
        <f t="shared" si="165"/>
        <v>0</v>
      </c>
      <c r="I732">
        <f t="shared" si="166"/>
        <v>0</v>
      </c>
      <c r="J732">
        <f t="shared" si="167"/>
        <v>0</v>
      </c>
      <c r="K732" s="4" t="e">
        <f t="shared" si="156"/>
        <v>#N/A</v>
      </c>
      <c r="L732" t="e">
        <f t="shared" si="157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8"/>
        <v>0</v>
      </c>
      <c r="B733">
        <f t="shared" si="159"/>
        <v>0</v>
      </c>
      <c r="C733">
        <f t="shared" si="160"/>
        <v>0</v>
      </c>
      <c r="D733">
        <f t="shared" si="161"/>
        <v>0</v>
      </c>
      <c r="E733" t="e">
        <f t="shared" si="162"/>
        <v>#N/A</v>
      </c>
      <c r="F733">
        <f t="shared" si="163"/>
        <v>0</v>
      </c>
      <c r="G733">
        <f t="shared" si="164"/>
        <v>0</v>
      </c>
      <c r="H733">
        <f t="shared" si="165"/>
        <v>0</v>
      </c>
      <c r="I733">
        <f t="shared" si="166"/>
        <v>0</v>
      </c>
      <c r="J733">
        <f t="shared" si="167"/>
        <v>0</v>
      </c>
      <c r="K733" s="4" t="e">
        <f t="shared" si="156"/>
        <v>#N/A</v>
      </c>
      <c r="L733" t="e">
        <f t="shared" si="157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8"/>
        <v>0</v>
      </c>
      <c r="B734">
        <f t="shared" si="159"/>
        <v>0</v>
      </c>
      <c r="C734">
        <f t="shared" si="160"/>
        <v>0</v>
      </c>
      <c r="D734">
        <f t="shared" si="161"/>
        <v>0</v>
      </c>
      <c r="E734" t="e">
        <f t="shared" si="162"/>
        <v>#N/A</v>
      </c>
      <c r="F734">
        <f t="shared" si="163"/>
        <v>0</v>
      </c>
      <c r="G734">
        <f t="shared" si="164"/>
        <v>0</v>
      </c>
      <c r="H734">
        <f t="shared" si="165"/>
        <v>0</v>
      </c>
      <c r="I734">
        <f t="shared" si="166"/>
        <v>0</v>
      </c>
      <c r="J734">
        <f t="shared" si="167"/>
        <v>0</v>
      </c>
      <c r="K734" s="4" t="e">
        <f t="shared" si="156"/>
        <v>#N/A</v>
      </c>
      <c r="L734" t="e">
        <f t="shared" si="157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8"/>
        <v>0</v>
      </c>
      <c r="B735">
        <f t="shared" si="159"/>
        <v>0</v>
      </c>
      <c r="C735">
        <f t="shared" si="160"/>
        <v>0</v>
      </c>
      <c r="D735">
        <f t="shared" si="161"/>
        <v>0</v>
      </c>
      <c r="E735" t="e">
        <f t="shared" si="162"/>
        <v>#N/A</v>
      </c>
      <c r="F735">
        <f t="shared" si="163"/>
        <v>0</v>
      </c>
      <c r="G735">
        <f t="shared" si="164"/>
        <v>0</v>
      </c>
      <c r="H735">
        <f t="shared" si="165"/>
        <v>0</v>
      </c>
      <c r="I735">
        <f t="shared" si="166"/>
        <v>0</v>
      </c>
      <c r="J735">
        <f t="shared" si="167"/>
        <v>0</v>
      </c>
      <c r="K735" s="4" t="e">
        <f t="shared" si="156"/>
        <v>#N/A</v>
      </c>
      <c r="L735" t="e">
        <f t="shared" si="157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8"/>
        <v>0</v>
      </c>
      <c r="B736">
        <f t="shared" si="159"/>
        <v>0</v>
      </c>
      <c r="C736">
        <f t="shared" si="160"/>
        <v>0</v>
      </c>
      <c r="D736">
        <f t="shared" si="161"/>
        <v>0</v>
      </c>
      <c r="E736" t="e">
        <f t="shared" si="162"/>
        <v>#N/A</v>
      </c>
      <c r="F736">
        <f t="shared" si="163"/>
        <v>0</v>
      </c>
      <c r="G736">
        <f t="shared" si="164"/>
        <v>0</v>
      </c>
      <c r="H736">
        <f t="shared" si="165"/>
        <v>0</v>
      </c>
      <c r="I736">
        <f t="shared" si="166"/>
        <v>0</v>
      </c>
      <c r="J736">
        <f t="shared" si="167"/>
        <v>0</v>
      </c>
      <c r="K736" s="4" t="e">
        <f t="shared" si="156"/>
        <v>#N/A</v>
      </c>
      <c r="L736" t="e">
        <f t="shared" si="157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8"/>
        <v>0</v>
      </c>
      <c r="B737">
        <f t="shared" si="159"/>
        <v>0</v>
      </c>
      <c r="C737">
        <f t="shared" si="160"/>
        <v>0</v>
      </c>
      <c r="D737">
        <f t="shared" si="161"/>
        <v>0</v>
      </c>
      <c r="E737" t="e">
        <f t="shared" si="162"/>
        <v>#N/A</v>
      </c>
      <c r="F737">
        <f t="shared" si="163"/>
        <v>0</v>
      </c>
      <c r="G737">
        <f t="shared" si="164"/>
        <v>0</v>
      </c>
      <c r="H737">
        <f t="shared" si="165"/>
        <v>0</v>
      </c>
      <c r="I737">
        <f t="shared" si="166"/>
        <v>0</v>
      </c>
      <c r="J737">
        <f t="shared" si="167"/>
        <v>0</v>
      </c>
      <c r="K737" s="4" t="e">
        <f t="shared" si="156"/>
        <v>#N/A</v>
      </c>
      <c r="L737" t="e">
        <f t="shared" si="157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8"/>
        <v>0</v>
      </c>
      <c r="B738">
        <f t="shared" si="159"/>
        <v>0</v>
      </c>
      <c r="C738">
        <f t="shared" si="160"/>
        <v>0</v>
      </c>
      <c r="D738">
        <f t="shared" si="161"/>
        <v>0</v>
      </c>
      <c r="E738" t="e">
        <f t="shared" si="162"/>
        <v>#N/A</v>
      </c>
      <c r="F738">
        <f t="shared" si="163"/>
        <v>0</v>
      </c>
      <c r="G738">
        <f t="shared" si="164"/>
        <v>0</v>
      </c>
      <c r="H738">
        <f t="shared" si="165"/>
        <v>0</v>
      </c>
      <c r="I738">
        <f t="shared" si="166"/>
        <v>0</v>
      </c>
      <c r="J738">
        <f t="shared" si="167"/>
        <v>0</v>
      </c>
      <c r="K738" s="4" t="e">
        <f t="shared" si="156"/>
        <v>#N/A</v>
      </c>
      <c r="L738" t="e">
        <f t="shared" si="157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8"/>
        <v>0</v>
      </c>
      <c r="B739">
        <f t="shared" si="159"/>
        <v>0</v>
      </c>
      <c r="C739">
        <f t="shared" si="160"/>
        <v>0</v>
      </c>
      <c r="D739">
        <f t="shared" si="161"/>
        <v>0</v>
      </c>
      <c r="E739" t="e">
        <f t="shared" si="162"/>
        <v>#N/A</v>
      </c>
      <c r="F739">
        <f t="shared" si="163"/>
        <v>0</v>
      </c>
      <c r="G739">
        <f t="shared" si="164"/>
        <v>0</v>
      </c>
      <c r="H739">
        <f t="shared" si="165"/>
        <v>0</v>
      </c>
      <c r="I739">
        <f t="shared" si="166"/>
        <v>0</v>
      </c>
      <c r="J739">
        <f t="shared" si="167"/>
        <v>0</v>
      </c>
      <c r="K739" s="4" t="e">
        <f t="shared" si="156"/>
        <v>#N/A</v>
      </c>
      <c r="L739" t="e">
        <f t="shared" si="157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8"/>
        <v>0</v>
      </c>
      <c r="B740">
        <f t="shared" si="159"/>
        <v>0</v>
      </c>
      <c r="C740">
        <f t="shared" si="160"/>
        <v>0</v>
      </c>
      <c r="D740">
        <f t="shared" si="161"/>
        <v>0</v>
      </c>
      <c r="E740" t="e">
        <f t="shared" si="162"/>
        <v>#N/A</v>
      </c>
      <c r="F740">
        <f t="shared" si="163"/>
        <v>0</v>
      </c>
      <c r="G740">
        <f t="shared" si="164"/>
        <v>0</v>
      </c>
      <c r="H740">
        <f t="shared" si="165"/>
        <v>0</v>
      </c>
      <c r="I740">
        <f t="shared" si="166"/>
        <v>0</v>
      </c>
      <c r="J740">
        <f t="shared" si="167"/>
        <v>0</v>
      </c>
      <c r="K740" s="4" t="e">
        <f t="shared" si="156"/>
        <v>#N/A</v>
      </c>
      <c r="L740" t="e">
        <f t="shared" si="157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8"/>
        <v>0</v>
      </c>
      <c r="B741">
        <f t="shared" si="159"/>
        <v>0</v>
      </c>
      <c r="C741">
        <f t="shared" si="160"/>
        <v>0</v>
      </c>
      <c r="D741">
        <f t="shared" si="161"/>
        <v>0</v>
      </c>
      <c r="E741" t="e">
        <f t="shared" si="162"/>
        <v>#N/A</v>
      </c>
      <c r="F741">
        <f t="shared" si="163"/>
        <v>0</v>
      </c>
      <c r="G741">
        <f t="shared" si="164"/>
        <v>0</v>
      </c>
      <c r="H741">
        <f t="shared" si="165"/>
        <v>0</v>
      </c>
      <c r="I741">
        <f t="shared" si="166"/>
        <v>0</v>
      </c>
      <c r="J741">
        <f t="shared" si="167"/>
        <v>0</v>
      </c>
      <c r="K741" s="4" t="e">
        <f t="shared" si="156"/>
        <v>#N/A</v>
      </c>
      <c r="L741" t="e">
        <f t="shared" si="157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8"/>
        <v>0</v>
      </c>
      <c r="B742">
        <f t="shared" si="159"/>
        <v>0</v>
      </c>
      <c r="C742">
        <f t="shared" si="160"/>
        <v>0</v>
      </c>
      <c r="D742">
        <f t="shared" si="161"/>
        <v>0</v>
      </c>
      <c r="E742" t="e">
        <f t="shared" si="162"/>
        <v>#N/A</v>
      </c>
      <c r="F742">
        <f t="shared" si="163"/>
        <v>0</v>
      </c>
      <c r="G742">
        <f t="shared" si="164"/>
        <v>0</v>
      </c>
      <c r="H742">
        <f t="shared" si="165"/>
        <v>0</v>
      </c>
      <c r="I742">
        <f t="shared" si="166"/>
        <v>0</v>
      </c>
      <c r="J742">
        <f t="shared" si="167"/>
        <v>0</v>
      </c>
      <c r="K742" s="4" t="e">
        <f t="shared" si="156"/>
        <v>#N/A</v>
      </c>
      <c r="L742" t="e">
        <f t="shared" si="157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8"/>
        <v>0</v>
      </c>
      <c r="B743">
        <f t="shared" si="159"/>
        <v>0</v>
      </c>
      <c r="C743">
        <f t="shared" si="160"/>
        <v>0</v>
      </c>
      <c r="D743">
        <f t="shared" si="161"/>
        <v>0</v>
      </c>
      <c r="E743" t="e">
        <f t="shared" si="162"/>
        <v>#N/A</v>
      </c>
      <c r="F743">
        <f t="shared" si="163"/>
        <v>0</v>
      </c>
      <c r="G743">
        <f t="shared" si="164"/>
        <v>0</v>
      </c>
      <c r="H743">
        <f t="shared" si="165"/>
        <v>0</v>
      </c>
      <c r="I743">
        <f t="shared" si="166"/>
        <v>0</v>
      </c>
      <c r="J743">
        <f t="shared" si="167"/>
        <v>0</v>
      </c>
      <c r="K743" s="4" t="e">
        <f t="shared" si="156"/>
        <v>#N/A</v>
      </c>
      <c r="L743" t="e">
        <f t="shared" si="157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8"/>
        <v>0</v>
      </c>
      <c r="B744">
        <f t="shared" si="159"/>
        <v>0</v>
      </c>
      <c r="C744">
        <f t="shared" si="160"/>
        <v>0</v>
      </c>
      <c r="D744">
        <f t="shared" si="161"/>
        <v>0</v>
      </c>
      <c r="E744" t="e">
        <f t="shared" si="162"/>
        <v>#N/A</v>
      </c>
      <c r="F744">
        <f t="shared" si="163"/>
        <v>0</v>
      </c>
      <c r="G744">
        <f t="shared" si="164"/>
        <v>0</v>
      </c>
      <c r="H744">
        <f t="shared" si="165"/>
        <v>0</v>
      </c>
      <c r="I744">
        <f t="shared" si="166"/>
        <v>0</v>
      </c>
      <c r="J744">
        <f t="shared" si="167"/>
        <v>0</v>
      </c>
      <c r="K744" s="4" t="e">
        <f t="shared" si="156"/>
        <v>#N/A</v>
      </c>
      <c r="L744" t="e">
        <f t="shared" si="157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8"/>
        <v>0</v>
      </c>
      <c r="B745">
        <f t="shared" si="159"/>
        <v>0</v>
      </c>
      <c r="C745">
        <f t="shared" si="160"/>
        <v>0</v>
      </c>
      <c r="D745">
        <f t="shared" si="161"/>
        <v>0</v>
      </c>
      <c r="E745" t="e">
        <f t="shared" si="162"/>
        <v>#N/A</v>
      </c>
      <c r="F745">
        <f t="shared" si="163"/>
        <v>0</v>
      </c>
      <c r="G745">
        <f t="shared" si="164"/>
        <v>0</v>
      </c>
      <c r="H745">
        <f t="shared" si="165"/>
        <v>0</v>
      </c>
      <c r="I745">
        <f t="shared" si="166"/>
        <v>0</v>
      </c>
      <c r="J745">
        <f t="shared" si="167"/>
        <v>0</v>
      </c>
      <c r="K745" s="4" t="e">
        <f t="shared" si="156"/>
        <v>#N/A</v>
      </c>
      <c r="L745" t="e">
        <f t="shared" si="157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8"/>
        <v>0</v>
      </c>
      <c r="B746">
        <f t="shared" si="159"/>
        <v>0</v>
      </c>
      <c r="C746">
        <f t="shared" si="160"/>
        <v>0</v>
      </c>
      <c r="D746">
        <f t="shared" si="161"/>
        <v>0</v>
      </c>
      <c r="E746" t="e">
        <f t="shared" si="162"/>
        <v>#N/A</v>
      </c>
      <c r="F746">
        <f t="shared" si="163"/>
        <v>0</v>
      </c>
      <c r="G746">
        <f t="shared" si="164"/>
        <v>0</v>
      </c>
      <c r="H746">
        <f t="shared" si="165"/>
        <v>0</v>
      </c>
      <c r="I746">
        <f t="shared" si="166"/>
        <v>0</v>
      </c>
      <c r="J746">
        <f t="shared" si="167"/>
        <v>0</v>
      </c>
      <c r="K746" s="4" t="e">
        <f t="shared" si="156"/>
        <v>#N/A</v>
      </c>
      <c r="L746" t="e">
        <f t="shared" si="157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8"/>
        <v>0</v>
      </c>
      <c r="B747">
        <f t="shared" si="159"/>
        <v>0</v>
      </c>
      <c r="C747">
        <f t="shared" si="160"/>
        <v>0</v>
      </c>
      <c r="D747">
        <f t="shared" si="161"/>
        <v>0</v>
      </c>
      <c r="E747" t="e">
        <f t="shared" si="162"/>
        <v>#N/A</v>
      </c>
      <c r="F747">
        <f t="shared" si="163"/>
        <v>0</v>
      </c>
      <c r="G747">
        <f t="shared" si="164"/>
        <v>0</v>
      </c>
      <c r="H747">
        <f t="shared" si="165"/>
        <v>0</v>
      </c>
      <c r="I747">
        <f t="shared" si="166"/>
        <v>0</v>
      </c>
      <c r="J747">
        <f t="shared" si="167"/>
        <v>0</v>
      </c>
      <c r="K747" s="4" t="e">
        <f t="shared" si="156"/>
        <v>#N/A</v>
      </c>
      <c r="L747" t="e">
        <f t="shared" si="157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8"/>
        <v>0</v>
      </c>
      <c r="B748">
        <f t="shared" si="159"/>
        <v>0</v>
      </c>
      <c r="C748">
        <f t="shared" si="160"/>
        <v>0</v>
      </c>
      <c r="D748">
        <f t="shared" si="161"/>
        <v>0</v>
      </c>
      <c r="E748" t="e">
        <f t="shared" si="162"/>
        <v>#N/A</v>
      </c>
      <c r="F748">
        <f t="shared" si="163"/>
        <v>0</v>
      </c>
      <c r="G748">
        <f t="shared" si="164"/>
        <v>0</v>
      </c>
      <c r="H748">
        <f t="shared" si="165"/>
        <v>0</v>
      </c>
      <c r="I748">
        <f t="shared" si="166"/>
        <v>0</v>
      </c>
      <c r="J748">
        <f t="shared" si="167"/>
        <v>0</v>
      </c>
      <c r="K748" s="4" t="e">
        <f t="shared" ref="K748:K811" si="170">IF(LEFT(B748,3)="DBM",0,VLOOKUP(E748,tabela,2,FALSE))</f>
        <v>#N/A</v>
      </c>
      <c r="L748" t="e">
        <f t="shared" ref="L748:L811" si="171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8"/>
        <v>0</v>
      </c>
      <c r="B749">
        <f t="shared" si="159"/>
        <v>0</v>
      </c>
      <c r="C749">
        <f t="shared" si="160"/>
        <v>0</v>
      </c>
      <c r="D749">
        <f t="shared" si="161"/>
        <v>0</v>
      </c>
      <c r="E749" t="e">
        <f t="shared" si="162"/>
        <v>#N/A</v>
      </c>
      <c r="F749">
        <f t="shared" si="163"/>
        <v>0</v>
      </c>
      <c r="G749">
        <f t="shared" si="164"/>
        <v>0</v>
      </c>
      <c r="H749">
        <f t="shared" si="165"/>
        <v>0</v>
      </c>
      <c r="I749">
        <f t="shared" si="166"/>
        <v>0</v>
      </c>
      <c r="J749">
        <f t="shared" si="167"/>
        <v>0</v>
      </c>
      <c r="K749" s="4" t="e">
        <f t="shared" si="170"/>
        <v>#N/A</v>
      </c>
      <c r="L749" t="e">
        <f t="shared" si="171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8"/>
        <v>0</v>
      </c>
      <c r="B750">
        <f t="shared" si="159"/>
        <v>0</v>
      </c>
      <c r="C750">
        <f t="shared" si="160"/>
        <v>0</v>
      </c>
      <c r="D750">
        <f t="shared" si="161"/>
        <v>0</v>
      </c>
      <c r="E750" t="e">
        <f t="shared" si="162"/>
        <v>#N/A</v>
      </c>
      <c r="F750">
        <f t="shared" si="163"/>
        <v>0</v>
      </c>
      <c r="G750">
        <f t="shared" si="164"/>
        <v>0</v>
      </c>
      <c r="H750">
        <f t="shared" si="165"/>
        <v>0</v>
      </c>
      <c r="I750">
        <f t="shared" si="166"/>
        <v>0</v>
      </c>
      <c r="J750">
        <f t="shared" si="167"/>
        <v>0</v>
      </c>
      <c r="K750" s="4" t="e">
        <f t="shared" si="170"/>
        <v>#N/A</v>
      </c>
      <c r="L750" t="e">
        <f t="shared" si="171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8"/>
        <v>0</v>
      </c>
      <c r="B751">
        <f t="shared" si="159"/>
        <v>0</v>
      </c>
      <c r="C751">
        <f t="shared" si="160"/>
        <v>0</v>
      </c>
      <c r="D751">
        <f t="shared" si="161"/>
        <v>0</v>
      </c>
      <c r="E751" t="e">
        <f t="shared" si="162"/>
        <v>#N/A</v>
      </c>
      <c r="F751">
        <f t="shared" si="163"/>
        <v>0</v>
      </c>
      <c r="G751">
        <f t="shared" si="164"/>
        <v>0</v>
      </c>
      <c r="H751">
        <f t="shared" si="165"/>
        <v>0</v>
      </c>
      <c r="I751">
        <f t="shared" si="166"/>
        <v>0</v>
      </c>
      <c r="J751">
        <f t="shared" si="167"/>
        <v>0</v>
      </c>
      <c r="K751" s="4" t="e">
        <f t="shared" si="170"/>
        <v>#N/A</v>
      </c>
      <c r="L751" t="e">
        <f t="shared" si="171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8"/>
        <v>0</v>
      </c>
      <c r="B752">
        <f t="shared" si="159"/>
        <v>0</v>
      </c>
      <c r="C752">
        <f t="shared" si="160"/>
        <v>0</v>
      </c>
      <c r="D752">
        <f t="shared" si="161"/>
        <v>0</v>
      </c>
      <c r="E752" t="e">
        <f t="shared" si="162"/>
        <v>#N/A</v>
      </c>
      <c r="F752">
        <f t="shared" si="163"/>
        <v>0</v>
      </c>
      <c r="G752">
        <f t="shared" si="164"/>
        <v>0</v>
      </c>
      <c r="H752">
        <f t="shared" si="165"/>
        <v>0</v>
      </c>
      <c r="I752">
        <f t="shared" si="166"/>
        <v>0</v>
      </c>
      <c r="J752">
        <f t="shared" si="167"/>
        <v>0</v>
      </c>
      <c r="K752" s="4" t="e">
        <f t="shared" si="170"/>
        <v>#N/A</v>
      </c>
      <c r="L752" t="e">
        <f t="shared" si="171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8"/>
        <v>0</v>
      </c>
      <c r="B753">
        <f t="shared" si="159"/>
        <v>0</v>
      </c>
      <c r="C753">
        <f t="shared" si="160"/>
        <v>0</v>
      </c>
      <c r="D753">
        <f t="shared" si="161"/>
        <v>0</v>
      </c>
      <c r="E753" t="e">
        <f t="shared" si="162"/>
        <v>#N/A</v>
      </c>
      <c r="F753">
        <f t="shared" si="163"/>
        <v>0</v>
      </c>
      <c r="G753">
        <f t="shared" si="164"/>
        <v>0</v>
      </c>
      <c r="H753">
        <f t="shared" si="165"/>
        <v>0</v>
      </c>
      <c r="I753">
        <f t="shared" si="166"/>
        <v>0</v>
      </c>
      <c r="J753">
        <f t="shared" si="167"/>
        <v>0</v>
      </c>
      <c r="K753" s="4" t="e">
        <f t="shared" si="170"/>
        <v>#N/A</v>
      </c>
      <c r="L753" t="e">
        <f t="shared" si="171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8"/>
        <v>0</v>
      </c>
      <c r="B754">
        <f t="shared" si="159"/>
        <v>0</v>
      </c>
      <c r="C754">
        <f t="shared" si="160"/>
        <v>0</v>
      </c>
      <c r="D754">
        <f t="shared" si="161"/>
        <v>0</v>
      </c>
      <c r="E754" t="e">
        <f t="shared" si="162"/>
        <v>#N/A</v>
      </c>
      <c r="F754">
        <f t="shared" si="163"/>
        <v>0</v>
      </c>
      <c r="G754">
        <f t="shared" si="164"/>
        <v>0</v>
      </c>
      <c r="H754">
        <f t="shared" si="165"/>
        <v>0</v>
      </c>
      <c r="I754">
        <f t="shared" si="166"/>
        <v>0</v>
      </c>
      <c r="J754">
        <f t="shared" si="167"/>
        <v>0</v>
      </c>
      <c r="K754" s="4" t="e">
        <f t="shared" si="170"/>
        <v>#N/A</v>
      </c>
      <c r="L754" t="e">
        <f t="shared" si="171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8"/>
        <v>0</v>
      </c>
      <c r="B755">
        <f t="shared" si="159"/>
        <v>0</v>
      </c>
      <c r="C755">
        <f t="shared" si="160"/>
        <v>0</v>
      </c>
      <c r="D755">
        <f t="shared" si="161"/>
        <v>0</v>
      </c>
      <c r="E755" t="e">
        <f t="shared" si="162"/>
        <v>#N/A</v>
      </c>
      <c r="F755">
        <f t="shared" si="163"/>
        <v>0</v>
      </c>
      <c r="G755">
        <f t="shared" si="164"/>
        <v>0</v>
      </c>
      <c r="H755">
        <f t="shared" si="165"/>
        <v>0</v>
      </c>
      <c r="I755">
        <f t="shared" si="166"/>
        <v>0</v>
      </c>
      <c r="J755">
        <f t="shared" si="167"/>
        <v>0</v>
      </c>
      <c r="K755" s="4" t="e">
        <f t="shared" si="170"/>
        <v>#N/A</v>
      </c>
      <c r="L755" t="e">
        <f t="shared" si="171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8"/>
        <v>0</v>
      </c>
      <c r="B756">
        <f t="shared" si="159"/>
        <v>0</v>
      </c>
      <c r="C756">
        <f t="shared" si="160"/>
        <v>0</v>
      </c>
      <c r="D756">
        <f t="shared" si="161"/>
        <v>0</v>
      </c>
      <c r="E756" t="e">
        <f t="shared" si="162"/>
        <v>#N/A</v>
      </c>
      <c r="F756">
        <f t="shared" si="163"/>
        <v>0</v>
      </c>
      <c r="G756">
        <f t="shared" si="164"/>
        <v>0</v>
      </c>
      <c r="H756">
        <f t="shared" si="165"/>
        <v>0</v>
      </c>
      <c r="I756">
        <f t="shared" si="166"/>
        <v>0</v>
      </c>
      <c r="J756">
        <f t="shared" si="167"/>
        <v>0</v>
      </c>
      <c r="K756" s="4" t="e">
        <f t="shared" si="170"/>
        <v>#N/A</v>
      </c>
      <c r="L756" t="e">
        <f t="shared" si="171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8"/>
        <v>0</v>
      </c>
      <c r="B757">
        <f t="shared" si="159"/>
        <v>0</v>
      </c>
      <c r="C757">
        <f t="shared" si="160"/>
        <v>0</v>
      </c>
      <c r="D757">
        <f t="shared" si="161"/>
        <v>0</v>
      </c>
      <c r="E757" t="e">
        <f t="shared" si="162"/>
        <v>#N/A</v>
      </c>
      <c r="F757">
        <f t="shared" si="163"/>
        <v>0</v>
      </c>
      <c r="G757">
        <f t="shared" si="164"/>
        <v>0</v>
      </c>
      <c r="H757">
        <f t="shared" si="165"/>
        <v>0</v>
      </c>
      <c r="I757">
        <f t="shared" si="166"/>
        <v>0</v>
      </c>
      <c r="J757">
        <f t="shared" si="167"/>
        <v>0</v>
      </c>
      <c r="K757" s="4" t="e">
        <f t="shared" si="170"/>
        <v>#N/A</v>
      </c>
      <c r="L757" t="e">
        <f t="shared" si="171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8"/>
        <v>0</v>
      </c>
      <c r="B758">
        <f t="shared" si="159"/>
        <v>0</v>
      </c>
      <c r="C758">
        <f t="shared" si="160"/>
        <v>0</v>
      </c>
      <c r="D758">
        <f t="shared" si="161"/>
        <v>0</v>
      </c>
      <c r="E758" t="e">
        <f t="shared" si="162"/>
        <v>#N/A</v>
      </c>
      <c r="F758">
        <f t="shared" si="163"/>
        <v>0</v>
      </c>
      <c r="G758">
        <f t="shared" si="164"/>
        <v>0</v>
      </c>
      <c r="H758">
        <f t="shared" si="165"/>
        <v>0</v>
      </c>
      <c r="I758">
        <f t="shared" si="166"/>
        <v>0</v>
      </c>
      <c r="J758">
        <f t="shared" si="167"/>
        <v>0</v>
      </c>
      <c r="K758" s="4" t="e">
        <f t="shared" si="170"/>
        <v>#N/A</v>
      </c>
      <c r="L758" t="e">
        <f t="shared" si="171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8"/>
        <v>0</v>
      </c>
      <c r="B759">
        <f t="shared" si="159"/>
        <v>0</v>
      </c>
      <c r="C759">
        <f t="shared" si="160"/>
        <v>0</v>
      </c>
      <c r="D759">
        <f t="shared" si="161"/>
        <v>0</v>
      </c>
      <c r="E759" t="e">
        <f t="shared" si="162"/>
        <v>#N/A</v>
      </c>
      <c r="F759">
        <f t="shared" si="163"/>
        <v>0</v>
      </c>
      <c r="G759">
        <f t="shared" si="164"/>
        <v>0</v>
      </c>
      <c r="H759">
        <f t="shared" si="165"/>
        <v>0</v>
      </c>
      <c r="I759">
        <f t="shared" si="166"/>
        <v>0</v>
      </c>
      <c r="J759">
        <f t="shared" si="167"/>
        <v>0</v>
      </c>
      <c r="K759" s="4" t="e">
        <f t="shared" si="170"/>
        <v>#N/A</v>
      </c>
      <c r="L759" t="e">
        <f t="shared" si="171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8"/>
        <v>0</v>
      </c>
      <c r="B760">
        <f t="shared" si="159"/>
        <v>0</v>
      </c>
      <c r="C760">
        <f t="shared" si="160"/>
        <v>0</v>
      </c>
      <c r="D760">
        <f t="shared" si="161"/>
        <v>0</v>
      </c>
      <c r="E760" t="e">
        <f t="shared" si="162"/>
        <v>#N/A</v>
      </c>
      <c r="F760">
        <f t="shared" si="163"/>
        <v>0</v>
      </c>
      <c r="G760">
        <f t="shared" si="164"/>
        <v>0</v>
      </c>
      <c r="H760">
        <f t="shared" si="165"/>
        <v>0</v>
      </c>
      <c r="I760">
        <f t="shared" si="166"/>
        <v>0</v>
      </c>
      <c r="J760">
        <f t="shared" si="167"/>
        <v>0</v>
      </c>
      <c r="K760" s="4" t="e">
        <f t="shared" si="170"/>
        <v>#N/A</v>
      </c>
      <c r="L760" t="e">
        <f t="shared" si="171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8"/>
        <v>0</v>
      </c>
      <c r="B761">
        <f t="shared" si="159"/>
        <v>0</v>
      </c>
      <c r="C761">
        <f t="shared" si="160"/>
        <v>0</v>
      </c>
      <c r="D761">
        <f t="shared" si="161"/>
        <v>0</v>
      </c>
      <c r="E761" t="e">
        <f t="shared" si="162"/>
        <v>#N/A</v>
      </c>
      <c r="F761">
        <f t="shared" si="163"/>
        <v>0</v>
      </c>
      <c r="G761">
        <f t="shared" si="164"/>
        <v>0</v>
      </c>
      <c r="H761">
        <f t="shared" si="165"/>
        <v>0</v>
      </c>
      <c r="I761">
        <f t="shared" si="166"/>
        <v>0</v>
      </c>
      <c r="J761">
        <f t="shared" si="167"/>
        <v>0</v>
      </c>
      <c r="K761" s="4" t="e">
        <f t="shared" si="170"/>
        <v>#N/A</v>
      </c>
      <c r="L761" t="e">
        <f t="shared" si="171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8"/>
        <v>0</v>
      </c>
      <c r="B762">
        <f t="shared" si="159"/>
        <v>0</v>
      </c>
      <c r="C762">
        <f t="shared" si="160"/>
        <v>0</v>
      </c>
      <c r="D762">
        <f t="shared" si="161"/>
        <v>0</v>
      </c>
      <c r="E762" t="e">
        <f t="shared" si="162"/>
        <v>#N/A</v>
      </c>
      <c r="F762">
        <f t="shared" si="163"/>
        <v>0</v>
      </c>
      <c r="G762">
        <f t="shared" si="164"/>
        <v>0</v>
      </c>
      <c r="H762">
        <f t="shared" si="165"/>
        <v>0</v>
      </c>
      <c r="I762">
        <f t="shared" si="166"/>
        <v>0</v>
      </c>
      <c r="J762">
        <f t="shared" si="167"/>
        <v>0</v>
      </c>
      <c r="K762" s="4" t="e">
        <f t="shared" si="170"/>
        <v>#N/A</v>
      </c>
      <c r="L762" t="e">
        <f t="shared" si="171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8"/>
        <v>0</v>
      </c>
      <c r="B763">
        <f t="shared" si="159"/>
        <v>0</v>
      </c>
      <c r="C763">
        <f t="shared" si="160"/>
        <v>0</v>
      </c>
      <c r="D763">
        <f t="shared" si="161"/>
        <v>0</v>
      </c>
      <c r="E763" t="e">
        <f t="shared" si="162"/>
        <v>#N/A</v>
      </c>
      <c r="F763">
        <f t="shared" si="163"/>
        <v>0</v>
      </c>
      <c r="G763">
        <f t="shared" si="164"/>
        <v>0</v>
      </c>
      <c r="H763">
        <f t="shared" si="165"/>
        <v>0</v>
      </c>
      <c r="I763">
        <f t="shared" si="166"/>
        <v>0</v>
      </c>
      <c r="J763">
        <f t="shared" si="167"/>
        <v>0</v>
      </c>
      <c r="K763" s="4" t="e">
        <f t="shared" si="170"/>
        <v>#N/A</v>
      </c>
      <c r="L763" t="e">
        <f t="shared" si="171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8"/>
        <v>0</v>
      </c>
      <c r="B764">
        <f t="shared" si="159"/>
        <v>0</v>
      </c>
      <c r="C764">
        <f t="shared" si="160"/>
        <v>0</v>
      </c>
      <c r="D764">
        <f t="shared" si="161"/>
        <v>0</v>
      </c>
      <c r="E764" t="e">
        <f t="shared" si="162"/>
        <v>#N/A</v>
      </c>
      <c r="F764">
        <f t="shared" si="163"/>
        <v>0</v>
      </c>
      <c r="G764">
        <f t="shared" si="164"/>
        <v>0</v>
      </c>
      <c r="H764">
        <f t="shared" si="165"/>
        <v>0</v>
      </c>
      <c r="I764">
        <f t="shared" si="166"/>
        <v>0</v>
      </c>
      <c r="J764">
        <f t="shared" si="167"/>
        <v>0</v>
      </c>
      <c r="K764" s="4" t="e">
        <f t="shared" si="170"/>
        <v>#N/A</v>
      </c>
      <c r="L764" t="e">
        <f t="shared" si="171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8"/>
        <v>0</v>
      </c>
      <c r="B765">
        <f t="shared" si="159"/>
        <v>0</v>
      </c>
      <c r="C765">
        <f t="shared" si="160"/>
        <v>0</v>
      </c>
      <c r="D765">
        <f t="shared" si="161"/>
        <v>0</v>
      </c>
      <c r="E765" t="e">
        <f t="shared" si="162"/>
        <v>#N/A</v>
      </c>
      <c r="F765">
        <f t="shared" si="163"/>
        <v>0</v>
      </c>
      <c r="G765">
        <f t="shared" si="164"/>
        <v>0</v>
      </c>
      <c r="H765">
        <f t="shared" si="165"/>
        <v>0</v>
      </c>
      <c r="I765">
        <f t="shared" si="166"/>
        <v>0</v>
      </c>
      <c r="J765">
        <f t="shared" si="167"/>
        <v>0</v>
      </c>
      <c r="K765" s="4" t="e">
        <f t="shared" si="170"/>
        <v>#N/A</v>
      </c>
      <c r="L765" t="e">
        <f t="shared" si="171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8"/>
        <v>0</v>
      </c>
      <c r="B766">
        <f t="shared" si="159"/>
        <v>0</v>
      </c>
      <c r="C766">
        <f t="shared" si="160"/>
        <v>0</v>
      </c>
      <c r="D766">
        <f t="shared" si="161"/>
        <v>0</v>
      </c>
      <c r="E766" t="e">
        <f t="shared" si="162"/>
        <v>#N/A</v>
      </c>
      <c r="F766">
        <f t="shared" si="163"/>
        <v>0</v>
      </c>
      <c r="G766">
        <f t="shared" si="164"/>
        <v>0</v>
      </c>
      <c r="H766">
        <f t="shared" si="165"/>
        <v>0</v>
      </c>
      <c r="I766">
        <f t="shared" si="166"/>
        <v>0</v>
      </c>
      <c r="J766">
        <f t="shared" si="167"/>
        <v>0</v>
      </c>
      <c r="K766" s="4" t="e">
        <f t="shared" si="170"/>
        <v>#N/A</v>
      </c>
      <c r="L766" t="e">
        <f t="shared" si="171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8"/>
        <v>0</v>
      </c>
      <c r="B767">
        <f t="shared" si="159"/>
        <v>0</v>
      </c>
      <c r="C767">
        <f t="shared" si="160"/>
        <v>0</v>
      </c>
      <c r="D767">
        <f t="shared" si="161"/>
        <v>0</v>
      </c>
      <c r="E767" t="e">
        <f t="shared" si="162"/>
        <v>#N/A</v>
      </c>
      <c r="F767">
        <f t="shared" si="163"/>
        <v>0</v>
      </c>
      <c r="G767">
        <f t="shared" si="164"/>
        <v>0</v>
      </c>
      <c r="H767">
        <f t="shared" si="165"/>
        <v>0</v>
      </c>
      <c r="I767">
        <f t="shared" si="166"/>
        <v>0</v>
      </c>
      <c r="J767">
        <f t="shared" si="167"/>
        <v>0</v>
      </c>
      <c r="K767" s="4" t="e">
        <f t="shared" si="170"/>
        <v>#N/A</v>
      </c>
      <c r="L767" t="e">
        <f t="shared" si="171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8"/>
        <v>0</v>
      </c>
      <c r="B768">
        <f t="shared" si="159"/>
        <v>0</v>
      </c>
      <c r="C768">
        <f t="shared" si="160"/>
        <v>0</v>
      </c>
      <c r="D768">
        <f t="shared" si="161"/>
        <v>0</v>
      </c>
      <c r="E768" t="e">
        <f t="shared" si="162"/>
        <v>#N/A</v>
      </c>
      <c r="F768">
        <f t="shared" si="163"/>
        <v>0</v>
      </c>
      <c r="G768">
        <f t="shared" si="164"/>
        <v>0</v>
      </c>
      <c r="H768">
        <f t="shared" si="165"/>
        <v>0</v>
      </c>
      <c r="I768">
        <f t="shared" si="166"/>
        <v>0</v>
      </c>
      <c r="J768">
        <f t="shared" si="167"/>
        <v>0</v>
      </c>
      <c r="K768" s="4" t="e">
        <f t="shared" si="170"/>
        <v>#N/A</v>
      </c>
      <c r="L768" t="e">
        <f t="shared" si="171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8"/>
        <v>0</v>
      </c>
      <c r="B769">
        <f t="shared" si="159"/>
        <v>0</v>
      </c>
      <c r="C769">
        <f t="shared" si="160"/>
        <v>0</v>
      </c>
      <c r="D769">
        <f t="shared" si="161"/>
        <v>0</v>
      </c>
      <c r="E769" t="e">
        <f t="shared" si="162"/>
        <v>#N/A</v>
      </c>
      <c r="F769">
        <f t="shared" si="163"/>
        <v>0</v>
      </c>
      <c r="G769">
        <f t="shared" si="164"/>
        <v>0</v>
      </c>
      <c r="H769">
        <f t="shared" si="165"/>
        <v>0</v>
      </c>
      <c r="I769">
        <f t="shared" si="166"/>
        <v>0</v>
      </c>
      <c r="J769">
        <f t="shared" si="167"/>
        <v>0</v>
      </c>
      <c r="K769" s="4" t="e">
        <f t="shared" si="170"/>
        <v>#N/A</v>
      </c>
      <c r="L769" t="e">
        <f t="shared" si="171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2">bd_campaign</f>
        <v>0</v>
      </c>
      <c r="B770">
        <f t="shared" ref="B770:B833" si="173">bd_site</f>
        <v>0</v>
      </c>
      <c r="C770">
        <f t="shared" ref="C770:C833" si="174">bd_placement</f>
        <v>0</v>
      </c>
      <c r="D770">
        <f t="shared" ref="D770:D833" si="175">bd_placementID</f>
        <v>0</v>
      </c>
      <c r="E770" t="e">
        <f t="shared" ref="E770:E833" si="176">VLOOKUP(CONCATENATE(bd_adtype,"_",bd_creativetype),tabela,2,FALSE)</f>
        <v>#N/A</v>
      </c>
      <c r="F770">
        <f t="shared" ref="F770:F833" si="177">bd_ad</f>
        <v>0</v>
      </c>
      <c r="G770">
        <f t="shared" ref="G770:G833" si="178">bd_adid</f>
        <v>0</v>
      </c>
      <c r="H770">
        <f t="shared" ref="H770:H833" si="179">bd_creativetype</f>
        <v>0</v>
      </c>
      <c r="I770">
        <f t="shared" ref="I770:I833" si="180">bd_impression</f>
        <v>0</v>
      </c>
      <c r="J770">
        <f t="shared" ref="J770:J833" si="181">bd_clicks</f>
        <v>0</v>
      </c>
      <c r="K770" s="4" t="e">
        <f t="shared" si="170"/>
        <v>#N/A</v>
      </c>
      <c r="L770" t="e">
        <f t="shared" si="171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2"/>
        <v>0</v>
      </c>
      <c r="B771">
        <f t="shared" si="173"/>
        <v>0</v>
      </c>
      <c r="C771">
        <f t="shared" si="174"/>
        <v>0</v>
      </c>
      <c r="D771">
        <f t="shared" si="175"/>
        <v>0</v>
      </c>
      <c r="E771" t="e">
        <f t="shared" si="176"/>
        <v>#N/A</v>
      </c>
      <c r="F771">
        <f t="shared" si="177"/>
        <v>0</v>
      </c>
      <c r="G771">
        <f t="shared" si="178"/>
        <v>0</v>
      </c>
      <c r="H771">
        <f t="shared" si="179"/>
        <v>0</v>
      </c>
      <c r="I771">
        <f t="shared" si="180"/>
        <v>0</v>
      </c>
      <c r="J771">
        <f t="shared" si="181"/>
        <v>0</v>
      </c>
      <c r="K771" s="4" t="e">
        <f t="shared" si="170"/>
        <v>#N/A</v>
      </c>
      <c r="L771" t="e">
        <f t="shared" si="171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2"/>
        <v>0</v>
      </c>
      <c r="B772">
        <f t="shared" si="173"/>
        <v>0</v>
      </c>
      <c r="C772">
        <f t="shared" si="174"/>
        <v>0</v>
      </c>
      <c r="D772">
        <f t="shared" si="175"/>
        <v>0</v>
      </c>
      <c r="E772" t="e">
        <f t="shared" si="176"/>
        <v>#N/A</v>
      </c>
      <c r="F772">
        <f t="shared" si="177"/>
        <v>0</v>
      </c>
      <c r="G772">
        <f t="shared" si="178"/>
        <v>0</v>
      </c>
      <c r="H772">
        <f t="shared" si="179"/>
        <v>0</v>
      </c>
      <c r="I772">
        <f t="shared" si="180"/>
        <v>0</v>
      </c>
      <c r="J772">
        <f t="shared" si="181"/>
        <v>0</v>
      </c>
      <c r="K772" s="4" t="e">
        <f t="shared" si="170"/>
        <v>#N/A</v>
      </c>
      <c r="L772" t="e">
        <f t="shared" si="171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2"/>
        <v>0</v>
      </c>
      <c r="B773">
        <f t="shared" si="173"/>
        <v>0</v>
      </c>
      <c r="C773">
        <f t="shared" si="174"/>
        <v>0</v>
      </c>
      <c r="D773">
        <f t="shared" si="175"/>
        <v>0</v>
      </c>
      <c r="E773" t="e">
        <f t="shared" si="176"/>
        <v>#N/A</v>
      </c>
      <c r="F773">
        <f t="shared" si="177"/>
        <v>0</v>
      </c>
      <c r="G773">
        <f t="shared" si="178"/>
        <v>0</v>
      </c>
      <c r="H773">
        <f t="shared" si="179"/>
        <v>0</v>
      </c>
      <c r="I773">
        <f t="shared" si="180"/>
        <v>0</v>
      </c>
      <c r="J773">
        <f t="shared" si="181"/>
        <v>0</v>
      </c>
      <c r="K773" s="4" t="e">
        <f t="shared" si="170"/>
        <v>#N/A</v>
      </c>
      <c r="L773" t="e">
        <f t="shared" si="171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2"/>
        <v>0</v>
      </c>
      <c r="B774">
        <f t="shared" si="173"/>
        <v>0</v>
      </c>
      <c r="C774">
        <f t="shared" si="174"/>
        <v>0</v>
      </c>
      <c r="D774">
        <f t="shared" si="175"/>
        <v>0</v>
      </c>
      <c r="E774" t="e">
        <f t="shared" si="176"/>
        <v>#N/A</v>
      </c>
      <c r="F774">
        <f t="shared" si="177"/>
        <v>0</v>
      </c>
      <c r="G774">
        <f t="shared" si="178"/>
        <v>0</v>
      </c>
      <c r="H774">
        <f t="shared" si="179"/>
        <v>0</v>
      </c>
      <c r="I774">
        <f t="shared" si="180"/>
        <v>0</v>
      </c>
      <c r="J774">
        <f t="shared" si="181"/>
        <v>0</v>
      </c>
      <c r="K774" s="4" t="e">
        <f t="shared" si="170"/>
        <v>#N/A</v>
      </c>
      <c r="L774" t="e">
        <f t="shared" si="171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2"/>
        <v>0</v>
      </c>
      <c r="B775">
        <f t="shared" si="173"/>
        <v>0</v>
      </c>
      <c r="C775">
        <f t="shared" si="174"/>
        <v>0</v>
      </c>
      <c r="D775">
        <f t="shared" si="175"/>
        <v>0</v>
      </c>
      <c r="E775" t="e">
        <f t="shared" si="176"/>
        <v>#N/A</v>
      </c>
      <c r="F775">
        <f t="shared" si="177"/>
        <v>0</v>
      </c>
      <c r="G775">
        <f t="shared" si="178"/>
        <v>0</v>
      </c>
      <c r="H775">
        <f t="shared" si="179"/>
        <v>0</v>
      </c>
      <c r="I775">
        <f t="shared" si="180"/>
        <v>0</v>
      </c>
      <c r="J775">
        <f t="shared" si="181"/>
        <v>0</v>
      </c>
      <c r="K775" s="4" t="e">
        <f t="shared" si="170"/>
        <v>#N/A</v>
      </c>
      <c r="L775" t="e">
        <f t="shared" si="171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2"/>
        <v>0</v>
      </c>
      <c r="B776">
        <f t="shared" si="173"/>
        <v>0</v>
      </c>
      <c r="C776">
        <f t="shared" si="174"/>
        <v>0</v>
      </c>
      <c r="D776">
        <f t="shared" si="175"/>
        <v>0</v>
      </c>
      <c r="E776" t="e">
        <f t="shared" si="176"/>
        <v>#N/A</v>
      </c>
      <c r="F776">
        <f t="shared" si="177"/>
        <v>0</v>
      </c>
      <c r="G776">
        <f t="shared" si="178"/>
        <v>0</v>
      </c>
      <c r="H776">
        <f t="shared" si="179"/>
        <v>0</v>
      </c>
      <c r="I776">
        <f t="shared" si="180"/>
        <v>0</v>
      </c>
      <c r="J776">
        <f t="shared" si="181"/>
        <v>0</v>
      </c>
      <c r="K776" s="4" t="e">
        <f t="shared" si="170"/>
        <v>#N/A</v>
      </c>
      <c r="L776" t="e">
        <f t="shared" si="171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2"/>
        <v>0</v>
      </c>
      <c r="B777">
        <f t="shared" si="173"/>
        <v>0</v>
      </c>
      <c r="C777">
        <f t="shared" si="174"/>
        <v>0</v>
      </c>
      <c r="D777">
        <f t="shared" si="175"/>
        <v>0</v>
      </c>
      <c r="E777" t="e">
        <f t="shared" si="176"/>
        <v>#N/A</v>
      </c>
      <c r="F777">
        <f t="shared" si="177"/>
        <v>0</v>
      </c>
      <c r="G777">
        <f t="shared" si="178"/>
        <v>0</v>
      </c>
      <c r="H777">
        <f t="shared" si="179"/>
        <v>0</v>
      </c>
      <c r="I777">
        <f t="shared" si="180"/>
        <v>0</v>
      </c>
      <c r="J777">
        <f t="shared" si="181"/>
        <v>0</v>
      </c>
      <c r="K777" s="4" t="e">
        <f t="shared" si="170"/>
        <v>#N/A</v>
      </c>
      <c r="L777" t="e">
        <f t="shared" si="171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2"/>
        <v>0</v>
      </c>
      <c r="B778">
        <f t="shared" si="173"/>
        <v>0</v>
      </c>
      <c r="C778">
        <f t="shared" si="174"/>
        <v>0</v>
      </c>
      <c r="D778">
        <f t="shared" si="175"/>
        <v>0</v>
      </c>
      <c r="E778" t="e">
        <f t="shared" si="176"/>
        <v>#N/A</v>
      </c>
      <c r="F778">
        <f t="shared" si="177"/>
        <v>0</v>
      </c>
      <c r="G778">
        <f t="shared" si="178"/>
        <v>0</v>
      </c>
      <c r="H778">
        <f t="shared" si="179"/>
        <v>0</v>
      </c>
      <c r="I778">
        <f t="shared" si="180"/>
        <v>0</v>
      </c>
      <c r="J778">
        <f t="shared" si="181"/>
        <v>0</v>
      </c>
      <c r="K778" s="4" t="e">
        <f t="shared" si="170"/>
        <v>#N/A</v>
      </c>
      <c r="L778" t="e">
        <f t="shared" si="171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2"/>
        <v>0</v>
      </c>
      <c r="B779">
        <f t="shared" si="173"/>
        <v>0</v>
      </c>
      <c r="C779">
        <f t="shared" si="174"/>
        <v>0</v>
      </c>
      <c r="D779">
        <f t="shared" si="175"/>
        <v>0</v>
      </c>
      <c r="E779" t="e">
        <f t="shared" si="176"/>
        <v>#N/A</v>
      </c>
      <c r="F779">
        <f t="shared" si="177"/>
        <v>0</v>
      </c>
      <c r="G779">
        <f t="shared" si="178"/>
        <v>0</v>
      </c>
      <c r="H779">
        <f t="shared" si="179"/>
        <v>0</v>
      </c>
      <c r="I779">
        <f t="shared" si="180"/>
        <v>0</v>
      </c>
      <c r="J779">
        <f t="shared" si="181"/>
        <v>0</v>
      </c>
      <c r="K779" s="4" t="e">
        <f t="shared" si="170"/>
        <v>#N/A</v>
      </c>
      <c r="L779" t="e">
        <f t="shared" si="171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2"/>
        <v>0</v>
      </c>
      <c r="B780">
        <f t="shared" si="173"/>
        <v>0</v>
      </c>
      <c r="C780">
        <f t="shared" si="174"/>
        <v>0</v>
      </c>
      <c r="D780">
        <f t="shared" si="175"/>
        <v>0</v>
      </c>
      <c r="E780" t="e">
        <f t="shared" si="176"/>
        <v>#N/A</v>
      </c>
      <c r="F780">
        <f t="shared" si="177"/>
        <v>0</v>
      </c>
      <c r="G780">
        <f t="shared" si="178"/>
        <v>0</v>
      </c>
      <c r="H780">
        <f t="shared" si="179"/>
        <v>0</v>
      </c>
      <c r="I780">
        <f t="shared" si="180"/>
        <v>0</v>
      </c>
      <c r="J780">
        <f t="shared" si="181"/>
        <v>0</v>
      </c>
      <c r="K780" s="4" t="e">
        <f t="shared" si="170"/>
        <v>#N/A</v>
      </c>
      <c r="L780" t="e">
        <f t="shared" si="171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2"/>
        <v>0</v>
      </c>
      <c r="B781">
        <f t="shared" si="173"/>
        <v>0</v>
      </c>
      <c r="C781">
        <f t="shared" si="174"/>
        <v>0</v>
      </c>
      <c r="D781">
        <f t="shared" si="175"/>
        <v>0</v>
      </c>
      <c r="E781" t="e">
        <f t="shared" si="176"/>
        <v>#N/A</v>
      </c>
      <c r="F781">
        <f t="shared" si="177"/>
        <v>0</v>
      </c>
      <c r="G781">
        <f t="shared" si="178"/>
        <v>0</v>
      </c>
      <c r="H781">
        <f t="shared" si="179"/>
        <v>0</v>
      </c>
      <c r="I781">
        <f t="shared" si="180"/>
        <v>0</v>
      </c>
      <c r="J781">
        <f t="shared" si="181"/>
        <v>0</v>
      </c>
      <c r="K781" s="4" t="e">
        <f t="shared" si="170"/>
        <v>#N/A</v>
      </c>
      <c r="L781" t="e">
        <f t="shared" si="171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2"/>
        <v>0</v>
      </c>
      <c r="B782">
        <f t="shared" si="173"/>
        <v>0</v>
      </c>
      <c r="C782">
        <f t="shared" si="174"/>
        <v>0</v>
      </c>
      <c r="D782">
        <f t="shared" si="175"/>
        <v>0</v>
      </c>
      <c r="E782" t="e">
        <f t="shared" si="176"/>
        <v>#N/A</v>
      </c>
      <c r="F782">
        <f t="shared" si="177"/>
        <v>0</v>
      </c>
      <c r="G782">
        <f t="shared" si="178"/>
        <v>0</v>
      </c>
      <c r="H782">
        <f t="shared" si="179"/>
        <v>0</v>
      </c>
      <c r="I782">
        <f t="shared" si="180"/>
        <v>0</v>
      </c>
      <c r="J782">
        <f t="shared" si="181"/>
        <v>0</v>
      </c>
      <c r="K782" s="4" t="e">
        <f t="shared" si="170"/>
        <v>#N/A</v>
      </c>
      <c r="L782" t="e">
        <f t="shared" si="171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2"/>
        <v>0</v>
      </c>
      <c r="B783">
        <f t="shared" si="173"/>
        <v>0</v>
      </c>
      <c r="C783">
        <f t="shared" si="174"/>
        <v>0</v>
      </c>
      <c r="D783">
        <f t="shared" si="175"/>
        <v>0</v>
      </c>
      <c r="E783" t="e">
        <f t="shared" si="176"/>
        <v>#N/A</v>
      </c>
      <c r="F783">
        <f t="shared" si="177"/>
        <v>0</v>
      </c>
      <c r="G783">
        <f t="shared" si="178"/>
        <v>0</v>
      </c>
      <c r="H783">
        <f t="shared" si="179"/>
        <v>0</v>
      </c>
      <c r="I783">
        <f t="shared" si="180"/>
        <v>0</v>
      </c>
      <c r="J783">
        <f t="shared" si="181"/>
        <v>0</v>
      </c>
      <c r="K783" s="4" t="e">
        <f t="shared" si="170"/>
        <v>#N/A</v>
      </c>
      <c r="L783" t="e">
        <f t="shared" si="171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2"/>
        <v>0</v>
      </c>
      <c r="B784">
        <f t="shared" si="173"/>
        <v>0</v>
      </c>
      <c r="C784">
        <f t="shared" si="174"/>
        <v>0</v>
      </c>
      <c r="D784">
        <f t="shared" si="175"/>
        <v>0</v>
      </c>
      <c r="E784" t="e">
        <f t="shared" si="176"/>
        <v>#N/A</v>
      </c>
      <c r="F784">
        <f t="shared" si="177"/>
        <v>0</v>
      </c>
      <c r="G784">
        <f t="shared" si="178"/>
        <v>0</v>
      </c>
      <c r="H784">
        <f t="shared" si="179"/>
        <v>0</v>
      </c>
      <c r="I784">
        <f t="shared" si="180"/>
        <v>0</v>
      </c>
      <c r="J784">
        <f t="shared" si="181"/>
        <v>0</v>
      </c>
      <c r="K784" s="4" t="e">
        <f t="shared" si="170"/>
        <v>#N/A</v>
      </c>
      <c r="L784" t="e">
        <f t="shared" si="171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2"/>
        <v>0</v>
      </c>
      <c r="B785">
        <f t="shared" si="173"/>
        <v>0</v>
      </c>
      <c r="C785">
        <f t="shared" si="174"/>
        <v>0</v>
      </c>
      <c r="D785">
        <f t="shared" si="175"/>
        <v>0</v>
      </c>
      <c r="E785" t="e">
        <f t="shared" si="176"/>
        <v>#N/A</v>
      </c>
      <c r="F785">
        <f t="shared" si="177"/>
        <v>0</v>
      </c>
      <c r="G785">
        <f t="shared" si="178"/>
        <v>0</v>
      </c>
      <c r="H785">
        <f t="shared" si="179"/>
        <v>0</v>
      </c>
      <c r="I785">
        <f t="shared" si="180"/>
        <v>0</v>
      </c>
      <c r="J785">
        <f t="shared" si="181"/>
        <v>0</v>
      </c>
      <c r="K785" s="4" t="e">
        <f t="shared" si="170"/>
        <v>#N/A</v>
      </c>
      <c r="L785" t="e">
        <f t="shared" si="171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2"/>
        <v>0</v>
      </c>
      <c r="B786">
        <f t="shared" si="173"/>
        <v>0</v>
      </c>
      <c r="C786">
        <f t="shared" si="174"/>
        <v>0</v>
      </c>
      <c r="D786">
        <f t="shared" si="175"/>
        <v>0</v>
      </c>
      <c r="E786" t="e">
        <f t="shared" si="176"/>
        <v>#N/A</v>
      </c>
      <c r="F786">
        <f t="shared" si="177"/>
        <v>0</v>
      </c>
      <c r="G786">
        <f t="shared" si="178"/>
        <v>0</v>
      </c>
      <c r="H786">
        <f t="shared" si="179"/>
        <v>0</v>
      </c>
      <c r="I786">
        <f t="shared" si="180"/>
        <v>0</v>
      </c>
      <c r="J786">
        <f t="shared" si="181"/>
        <v>0</v>
      </c>
      <c r="K786" s="4" t="e">
        <f t="shared" si="170"/>
        <v>#N/A</v>
      </c>
      <c r="L786" t="e">
        <f t="shared" si="171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2"/>
        <v>0</v>
      </c>
      <c r="B787">
        <f t="shared" si="173"/>
        <v>0</v>
      </c>
      <c r="C787">
        <f t="shared" si="174"/>
        <v>0</v>
      </c>
      <c r="D787">
        <f t="shared" si="175"/>
        <v>0</v>
      </c>
      <c r="E787" t="e">
        <f t="shared" si="176"/>
        <v>#N/A</v>
      </c>
      <c r="F787">
        <f t="shared" si="177"/>
        <v>0</v>
      </c>
      <c r="G787">
        <f t="shared" si="178"/>
        <v>0</v>
      </c>
      <c r="H787">
        <f t="shared" si="179"/>
        <v>0</v>
      </c>
      <c r="I787">
        <f t="shared" si="180"/>
        <v>0</v>
      </c>
      <c r="J787">
        <f t="shared" si="181"/>
        <v>0</v>
      </c>
      <c r="K787" s="4" t="e">
        <f t="shared" si="170"/>
        <v>#N/A</v>
      </c>
      <c r="L787" t="e">
        <f t="shared" si="171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2"/>
        <v>0</v>
      </c>
      <c r="B788">
        <f t="shared" si="173"/>
        <v>0</v>
      </c>
      <c r="C788">
        <f t="shared" si="174"/>
        <v>0</v>
      </c>
      <c r="D788">
        <f t="shared" si="175"/>
        <v>0</v>
      </c>
      <c r="E788" t="e">
        <f t="shared" si="176"/>
        <v>#N/A</v>
      </c>
      <c r="F788">
        <f t="shared" si="177"/>
        <v>0</v>
      </c>
      <c r="G788">
        <f t="shared" si="178"/>
        <v>0</v>
      </c>
      <c r="H788">
        <f t="shared" si="179"/>
        <v>0</v>
      </c>
      <c r="I788">
        <f t="shared" si="180"/>
        <v>0</v>
      </c>
      <c r="J788">
        <f t="shared" si="181"/>
        <v>0</v>
      </c>
      <c r="K788" s="4" t="e">
        <f t="shared" si="170"/>
        <v>#N/A</v>
      </c>
      <c r="L788" t="e">
        <f t="shared" si="171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2"/>
        <v>0</v>
      </c>
      <c r="B789">
        <f t="shared" si="173"/>
        <v>0</v>
      </c>
      <c r="C789">
        <f t="shared" si="174"/>
        <v>0</v>
      </c>
      <c r="D789">
        <f t="shared" si="175"/>
        <v>0</v>
      </c>
      <c r="E789" t="e">
        <f t="shared" si="176"/>
        <v>#N/A</v>
      </c>
      <c r="F789">
        <f t="shared" si="177"/>
        <v>0</v>
      </c>
      <c r="G789">
        <f t="shared" si="178"/>
        <v>0</v>
      </c>
      <c r="H789">
        <f t="shared" si="179"/>
        <v>0</v>
      </c>
      <c r="I789">
        <f t="shared" si="180"/>
        <v>0</v>
      </c>
      <c r="J789">
        <f t="shared" si="181"/>
        <v>0</v>
      </c>
      <c r="K789" s="4" t="e">
        <f t="shared" si="170"/>
        <v>#N/A</v>
      </c>
      <c r="L789" t="e">
        <f t="shared" si="171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2"/>
        <v>0</v>
      </c>
      <c r="B790">
        <f t="shared" si="173"/>
        <v>0</v>
      </c>
      <c r="C790">
        <f t="shared" si="174"/>
        <v>0</v>
      </c>
      <c r="D790">
        <f t="shared" si="175"/>
        <v>0</v>
      </c>
      <c r="E790" t="e">
        <f t="shared" si="176"/>
        <v>#N/A</v>
      </c>
      <c r="F790">
        <f t="shared" si="177"/>
        <v>0</v>
      </c>
      <c r="G790">
        <f t="shared" si="178"/>
        <v>0</v>
      </c>
      <c r="H790">
        <f t="shared" si="179"/>
        <v>0</v>
      </c>
      <c r="I790">
        <f t="shared" si="180"/>
        <v>0</v>
      </c>
      <c r="J790">
        <f t="shared" si="181"/>
        <v>0</v>
      </c>
      <c r="K790" s="4" t="e">
        <f t="shared" si="170"/>
        <v>#N/A</v>
      </c>
      <c r="L790" t="e">
        <f t="shared" si="171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2"/>
        <v>0</v>
      </c>
      <c r="B791">
        <f t="shared" si="173"/>
        <v>0</v>
      </c>
      <c r="C791">
        <f t="shared" si="174"/>
        <v>0</v>
      </c>
      <c r="D791">
        <f t="shared" si="175"/>
        <v>0</v>
      </c>
      <c r="E791" t="e">
        <f t="shared" si="176"/>
        <v>#N/A</v>
      </c>
      <c r="F791">
        <f t="shared" si="177"/>
        <v>0</v>
      </c>
      <c r="G791">
        <f t="shared" si="178"/>
        <v>0</v>
      </c>
      <c r="H791">
        <f t="shared" si="179"/>
        <v>0</v>
      </c>
      <c r="I791">
        <f t="shared" si="180"/>
        <v>0</v>
      </c>
      <c r="J791">
        <f t="shared" si="181"/>
        <v>0</v>
      </c>
      <c r="K791" s="4" t="e">
        <f t="shared" si="170"/>
        <v>#N/A</v>
      </c>
      <c r="L791" t="e">
        <f t="shared" si="171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2"/>
        <v>0</v>
      </c>
      <c r="B792">
        <f t="shared" si="173"/>
        <v>0</v>
      </c>
      <c r="C792">
        <f t="shared" si="174"/>
        <v>0</v>
      </c>
      <c r="D792">
        <f t="shared" si="175"/>
        <v>0</v>
      </c>
      <c r="E792" t="e">
        <f t="shared" si="176"/>
        <v>#N/A</v>
      </c>
      <c r="F792">
        <f t="shared" si="177"/>
        <v>0</v>
      </c>
      <c r="G792">
        <f t="shared" si="178"/>
        <v>0</v>
      </c>
      <c r="H792">
        <f t="shared" si="179"/>
        <v>0</v>
      </c>
      <c r="I792">
        <f t="shared" si="180"/>
        <v>0</v>
      </c>
      <c r="J792">
        <f t="shared" si="181"/>
        <v>0</v>
      </c>
      <c r="K792" s="4" t="e">
        <f t="shared" si="170"/>
        <v>#N/A</v>
      </c>
      <c r="L792" t="e">
        <f t="shared" si="171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2"/>
        <v>0</v>
      </c>
      <c r="B793">
        <f t="shared" si="173"/>
        <v>0</v>
      </c>
      <c r="C793">
        <f t="shared" si="174"/>
        <v>0</v>
      </c>
      <c r="D793">
        <f t="shared" si="175"/>
        <v>0</v>
      </c>
      <c r="E793" t="e">
        <f t="shared" si="176"/>
        <v>#N/A</v>
      </c>
      <c r="F793">
        <f t="shared" si="177"/>
        <v>0</v>
      </c>
      <c r="G793">
        <f t="shared" si="178"/>
        <v>0</v>
      </c>
      <c r="H793">
        <f t="shared" si="179"/>
        <v>0</v>
      </c>
      <c r="I793">
        <f t="shared" si="180"/>
        <v>0</v>
      </c>
      <c r="J793">
        <f t="shared" si="181"/>
        <v>0</v>
      </c>
      <c r="K793" s="4" t="e">
        <f t="shared" si="170"/>
        <v>#N/A</v>
      </c>
      <c r="L793" t="e">
        <f t="shared" si="171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2"/>
        <v>0</v>
      </c>
      <c r="B794">
        <f t="shared" si="173"/>
        <v>0</v>
      </c>
      <c r="C794">
        <f t="shared" si="174"/>
        <v>0</v>
      </c>
      <c r="D794">
        <f t="shared" si="175"/>
        <v>0</v>
      </c>
      <c r="E794" t="e">
        <f t="shared" si="176"/>
        <v>#N/A</v>
      </c>
      <c r="F794">
        <f t="shared" si="177"/>
        <v>0</v>
      </c>
      <c r="G794">
        <f t="shared" si="178"/>
        <v>0</v>
      </c>
      <c r="H794">
        <f t="shared" si="179"/>
        <v>0</v>
      </c>
      <c r="I794">
        <f t="shared" si="180"/>
        <v>0</v>
      </c>
      <c r="J794">
        <f t="shared" si="181"/>
        <v>0</v>
      </c>
      <c r="K794" s="4" t="e">
        <f t="shared" si="170"/>
        <v>#N/A</v>
      </c>
      <c r="L794" t="e">
        <f t="shared" si="171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2"/>
        <v>0</v>
      </c>
      <c r="B795">
        <f t="shared" si="173"/>
        <v>0</v>
      </c>
      <c r="C795">
        <f t="shared" si="174"/>
        <v>0</v>
      </c>
      <c r="D795">
        <f t="shared" si="175"/>
        <v>0</v>
      </c>
      <c r="E795" t="e">
        <f t="shared" si="176"/>
        <v>#N/A</v>
      </c>
      <c r="F795">
        <f t="shared" si="177"/>
        <v>0</v>
      </c>
      <c r="G795">
        <f t="shared" si="178"/>
        <v>0</v>
      </c>
      <c r="H795">
        <f t="shared" si="179"/>
        <v>0</v>
      </c>
      <c r="I795">
        <f t="shared" si="180"/>
        <v>0</v>
      </c>
      <c r="J795">
        <f t="shared" si="181"/>
        <v>0</v>
      </c>
      <c r="K795" s="4" t="e">
        <f t="shared" si="170"/>
        <v>#N/A</v>
      </c>
      <c r="L795" t="e">
        <f t="shared" si="171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2"/>
        <v>0</v>
      </c>
      <c r="B796">
        <f t="shared" si="173"/>
        <v>0</v>
      </c>
      <c r="C796">
        <f t="shared" si="174"/>
        <v>0</v>
      </c>
      <c r="D796">
        <f t="shared" si="175"/>
        <v>0</v>
      </c>
      <c r="E796" t="e">
        <f t="shared" si="176"/>
        <v>#N/A</v>
      </c>
      <c r="F796">
        <f t="shared" si="177"/>
        <v>0</v>
      </c>
      <c r="G796">
        <f t="shared" si="178"/>
        <v>0</v>
      </c>
      <c r="H796">
        <f t="shared" si="179"/>
        <v>0</v>
      </c>
      <c r="I796">
        <f t="shared" si="180"/>
        <v>0</v>
      </c>
      <c r="J796">
        <f t="shared" si="181"/>
        <v>0</v>
      </c>
      <c r="K796" s="4" t="e">
        <f t="shared" si="170"/>
        <v>#N/A</v>
      </c>
      <c r="L796" t="e">
        <f t="shared" si="171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2"/>
        <v>0</v>
      </c>
      <c r="B797">
        <f t="shared" si="173"/>
        <v>0</v>
      </c>
      <c r="C797">
        <f t="shared" si="174"/>
        <v>0</v>
      </c>
      <c r="D797">
        <f t="shared" si="175"/>
        <v>0</v>
      </c>
      <c r="E797" t="e">
        <f t="shared" si="176"/>
        <v>#N/A</v>
      </c>
      <c r="F797">
        <f t="shared" si="177"/>
        <v>0</v>
      </c>
      <c r="G797">
        <f t="shared" si="178"/>
        <v>0</v>
      </c>
      <c r="H797">
        <f t="shared" si="179"/>
        <v>0</v>
      </c>
      <c r="I797">
        <f t="shared" si="180"/>
        <v>0</v>
      </c>
      <c r="J797">
        <f t="shared" si="181"/>
        <v>0</v>
      </c>
      <c r="K797" s="4" t="e">
        <f t="shared" si="170"/>
        <v>#N/A</v>
      </c>
      <c r="L797" t="e">
        <f t="shared" si="171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2"/>
        <v>0</v>
      </c>
      <c r="B798">
        <f t="shared" si="173"/>
        <v>0</v>
      </c>
      <c r="C798">
        <f t="shared" si="174"/>
        <v>0</v>
      </c>
      <c r="D798">
        <f t="shared" si="175"/>
        <v>0</v>
      </c>
      <c r="E798" t="e">
        <f t="shared" si="176"/>
        <v>#N/A</v>
      </c>
      <c r="F798">
        <f t="shared" si="177"/>
        <v>0</v>
      </c>
      <c r="G798">
        <f t="shared" si="178"/>
        <v>0</v>
      </c>
      <c r="H798">
        <f t="shared" si="179"/>
        <v>0</v>
      </c>
      <c r="I798">
        <f t="shared" si="180"/>
        <v>0</v>
      </c>
      <c r="J798">
        <f t="shared" si="181"/>
        <v>0</v>
      </c>
      <c r="K798" s="4" t="e">
        <f t="shared" si="170"/>
        <v>#N/A</v>
      </c>
      <c r="L798" t="e">
        <f t="shared" si="171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2"/>
        <v>0</v>
      </c>
      <c r="B799">
        <f t="shared" si="173"/>
        <v>0</v>
      </c>
      <c r="C799">
        <f t="shared" si="174"/>
        <v>0</v>
      </c>
      <c r="D799">
        <f t="shared" si="175"/>
        <v>0</v>
      </c>
      <c r="E799" t="e">
        <f t="shared" si="176"/>
        <v>#N/A</v>
      </c>
      <c r="F799">
        <f t="shared" si="177"/>
        <v>0</v>
      </c>
      <c r="G799">
        <f t="shared" si="178"/>
        <v>0</v>
      </c>
      <c r="H799">
        <f t="shared" si="179"/>
        <v>0</v>
      </c>
      <c r="I799">
        <f t="shared" si="180"/>
        <v>0</v>
      </c>
      <c r="J799">
        <f t="shared" si="181"/>
        <v>0</v>
      </c>
      <c r="K799" s="4" t="e">
        <f t="shared" si="170"/>
        <v>#N/A</v>
      </c>
      <c r="L799" t="e">
        <f t="shared" si="171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2"/>
        <v>0</v>
      </c>
      <c r="B800">
        <f t="shared" si="173"/>
        <v>0</v>
      </c>
      <c r="C800">
        <f t="shared" si="174"/>
        <v>0</v>
      </c>
      <c r="D800">
        <f t="shared" si="175"/>
        <v>0</v>
      </c>
      <c r="E800" t="e">
        <f t="shared" si="176"/>
        <v>#N/A</v>
      </c>
      <c r="F800">
        <f t="shared" si="177"/>
        <v>0</v>
      </c>
      <c r="G800">
        <f t="shared" si="178"/>
        <v>0</v>
      </c>
      <c r="H800">
        <f t="shared" si="179"/>
        <v>0</v>
      </c>
      <c r="I800">
        <f t="shared" si="180"/>
        <v>0</v>
      </c>
      <c r="J800">
        <f t="shared" si="181"/>
        <v>0</v>
      </c>
      <c r="K800" s="4" t="e">
        <f t="shared" si="170"/>
        <v>#N/A</v>
      </c>
      <c r="L800" t="e">
        <f t="shared" si="171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2"/>
        <v>0</v>
      </c>
      <c r="B801">
        <f t="shared" si="173"/>
        <v>0</v>
      </c>
      <c r="C801">
        <f t="shared" si="174"/>
        <v>0</v>
      </c>
      <c r="D801">
        <f t="shared" si="175"/>
        <v>0</v>
      </c>
      <c r="E801" t="e">
        <f>VLOOKUP(CONCATENATE(bd_adtype,"_",bd_creativetype),tabela,2,FALSE)</f>
        <v>#N/A</v>
      </c>
      <c r="F801">
        <f t="shared" si="177"/>
        <v>0</v>
      </c>
      <c r="G801">
        <f t="shared" si="178"/>
        <v>0</v>
      </c>
      <c r="H801">
        <f t="shared" si="179"/>
        <v>0</v>
      </c>
      <c r="I801">
        <f t="shared" si="180"/>
        <v>0</v>
      </c>
      <c r="J801">
        <f t="shared" si="181"/>
        <v>0</v>
      </c>
      <c r="K801" s="4" t="e">
        <f t="shared" si="170"/>
        <v>#N/A</v>
      </c>
      <c r="L801" t="e">
        <f t="shared" si="171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2"/>
        <v>0</v>
      </c>
      <c r="B802">
        <f t="shared" si="173"/>
        <v>0</v>
      </c>
      <c r="C802">
        <f t="shared" si="174"/>
        <v>0</v>
      </c>
      <c r="D802">
        <f t="shared" si="175"/>
        <v>0</v>
      </c>
      <c r="E802" t="e">
        <f t="shared" si="176"/>
        <v>#N/A</v>
      </c>
      <c r="F802">
        <f t="shared" si="177"/>
        <v>0</v>
      </c>
      <c r="G802">
        <f t="shared" si="178"/>
        <v>0</v>
      </c>
      <c r="H802">
        <f t="shared" si="179"/>
        <v>0</v>
      </c>
      <c r="I802">
        <f t="shared" si="180"/>
        <v>0</v>
      </c>
      <c r="J802">
        <f t="shared" si="181"/>
        <v>0</v>
      </c>
      <c r="K802" s="4" t="e">
        <f t="shared" si="170"/>
        <v>#N/A</v>
      </c>
      <c r="L802" t="e">
        <f t="shared" si="171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2"/>
        <v>0</v>
      </c>
      <c r="B803">
        <f t="shared" si="173"/>
        <v>0</v>
      </c>
      <c r="C803">
        <f t="shared" si="174"/>
        <v>0</v>
      </c>
      <c r="D803">
        <f t="shared" si="175"/>
        <v>0</v>
      </c>
      <c r="E803" t="e">
        <f t="shared" si="176"/>
        <v>#N/A</v>
      </c>
      <c r="F803">
        <f t="shared" si="177"/>
        <v>0</v>
      </c>
      <c r="G803">
        <f t="shared" si="178"/>
        <v>0</v>
      </c>
      <c r="H803">
        <f t="shared" si="179"/>
        <v>0</v>
      </c>
      <c r="I803">
        <f t="shared" si="180"/>
        <v>0</v>
      </c>
      <c r="J803">
        <f t="shared" si="181"/>
        <v>0</v>
      </c>
      <c r="K803" s="4" t="e">
        <f t="shared" si="170"/>
        <v>#N/A</v>
      </c>
      <c r="L803" t="e">
        <f t="shared" si="171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2"/>
        <v>0</v>
      </c>
      <c r="B804">
        <f t="shared" si="173"/>
        <v>0</v>
      </c>
      <c r="C804">
        <f t="shared" si="174"/>
        <v>0</v>
      </c>
      <c r="D804">
        <f t="shared" si="175"/>
        <v>0</v>
      </c>
      <c r="E804" t="e">
        <f t="shared" si="176"/>
        <v>#N/A</v>
      </c>
      <c r="F804">
        <f t="shared" si="177"/>
        <v>0</v>
      </c>
      <c r="G804">
        <f t="shared" si="178"/>
        <v>0</v>
      </c>
      <c r="H804">
        <f t="shared" si="179"/>
        <v>0</v>
      </c>
      <c r="I804">
        <f t="shared" si="180"/>
        <v>0</v>
      </c>
      <c r="J804">
        <f t="shared" si="181"/>
        <v>0</v>
      </c>
      <c r="K804" s="4" t="e">
        <f t="shared" si="170"/>
        <v>#N/A</v>
      </c>
      <c r="L804" t="e">
        <f t="shared" si="171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2"/>
        <v>0</v>
      </c>
      <c r="B805">
        <f t="shared" si="173"/>
        <v>0</v>
      </c>
      <c r="C805">
        <f t="shared" si="174"/>
        <v>0</v>
      </c>
      <c r="D805">
        <f t="shared" si="175"/>
        <v>0</v>
      </c>
      <c r="E805" t="e">
        <f t="shared" si="176"/>
        <v>#N/A</v>
      </c>
      <c r="F805">
        <f t="shared" si="177"/>
        <v>0</v>
      </c>
      <c r="G805">
        <f t="shared" si="178"/>
        <v>0</v>
      </c>
      <c r="H805">
        <f t="shared" si="179"/>
        <v>0</v>
      </c>
      <c r="I805">
        <f t="shared" si="180"/>
        <v>0</v>
      </c>
      <c r="J805">
        <f t="shared" si="181"/>
        <v>0</v>
      </c>
      <c r="K805" s="4" t="e">
        <f t="shared" si="170"/>
        <v>#N/A</v>
      </c>
      <c r="L805" t="e">
        <f t="shared" si="171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2"/>
        <v>0</v>
      </c>
      <c r="B806">
        <f t="shared" si="173"/>
        <v>0</v>
      </c>
      <c r="C806">
        <f t="shared" si="174"/>
        <v>0</v>
      </c>
      <c r="D806">
        <f t="shared" si="175"/>
        <v>0</v>
      </c>
      <c r="E806" t="e">
        <f t="shared" si="176"/>
        <v>#N/A</v>
      </c>
      <c r="F806">
        <f t="shared" si="177"/>
        <v>0</v>
      </c>
      <c r="G806">
        <f t="shared" si="178"/>
        <v>0</v>
      </c>
      <c r="H806">
        <f t="shared" si="179"/>
        <v>0</v>
      </c>
      <c r="I806">
        <f t="shared" si="180"/>
        <v>0</v>
      </c>
      <c r="J806">
        <f t="shared" si="181"/>
        <v>0</v>
      </c>
      <c r="K806" s="4" t="e">
        <f t="shared" si="170"/>
        <v>#N/A</v>
      </c>
      <c r="L806" t="e">
        <f t="shared" si="171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2"/>
        <v>0</v>
      </c>
      <c r="B807">
        <f t="shared" si="173"/>
        <v>0</v>
      </c>
      <c r="C807">
        <f t="shared" si="174"/>
        <v>0</v>
      </c>
      <c r="D807">
        <f t="shared" si="175"/>
        <v>0</v>
      </c>
      <c r="E807" t="e">
        <f t="shared" si="176"/>
        <v>#N/A</v>
      </c>
      <c r="F807">
        <f t="shared" si="177"/>
        <v>0</v>
      </c>
      <c r="G807">
        <f t="shared" si="178"/>
        <v>0</v>
      </c>
      <c r="H807">
        <f t="shared" si="179"/>
        <v>0</v>
      </c>
      <c r="I807">
        <f t="shared" si="180"/>
        <v>0</v>
      </c>
      <c r="J807">
        <f t="shared" si="181"/>
        <v>0</v>
      </c>
      <c r="K807" s="4" t="e">
        <f t="shared" si="170"/>
        <v>#N/A</v>
      </c>
      <c r="L807" t="e">
        <f t="shared" si="171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2"/>
        <v>0</v>
      </c>
      <c r="B808">
        <f t="shared" si="173"/>
        <v>0</v>
      </c>
      <c r="C808">
        <f t="shared" si="174"/>
        <v>0</v>
      </c>
      <c r="D808">
        <f t="shared" si="175"/>
        <v>0</v>
      </c>
      <c r="E808" t="e">
        <f t="shared" si="176"/>
        <v>#N/A</v>
      </c>
      <c r="F808">
        <f t="shared" si="177"/>
        <v>0</v>
      </c>
      <c r="G808">
        <f t="shared" si="178"/>
        <v>0</v>
      </c>
      <c r="H808">
        <f t="shared" si="179"/>
        <v>0</v>
      </c>
      <c r="I808">
        <f t="shared" si="180"/>
        <v>0</v>
      </c>
      <c r="J808">
        <f t="shared" si="181"/>
        <v>0</v>
      </c>
      <c r="K808" s="4" t="e">
        <f t="shared" si="170"/>
        <v>#N/A</v>
      </c>
      <c r="L808" t="e">
        <f t="shared" si="171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2"/>
        <v>0</v>
      </c>
      <c r="B809">
        <f t="shared" si="173"/>
        <v>0</v>
      </c>
      <c r="C809">
        <f t="shared" si="174"/>
        <v>0</v>
      </c>
      <c r="D809">
        <f t="shared" si="175"/>
        <v>0</v>
      </c>
      <c r="E809" t="e">
        <f t="shared" si="176"/>
        <v>#N/A</v>
      </c>
      <c r="F809">
        <f t="shared" si="177"/>
        <v>0</v>
      </c>
      <c r="G809">
        <f t="shared" si="178"/>
        <v>0</v>
      </c>
      <c r="H809">
        <f t="shared" si="179"/>
        <v>0</v>
      </c>
      <c r="I809">
        <f t="shared" si="180"/>
        <v>0</v>
      </c>
      <c r="J809">
        <f t="shared" si="181"/>
        <v>0</v>
      </c>
      <c r="K809" s="4" t="e">
        <f t="shared" si="170"/>
        <v>#N/A</v>
      </c>
      <c r="L809" t="e">
        <f t="shared" si="171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2"/>
        <v>0</v>
      </c>
      <c r="B810">
        <f t="shared" si="173"/>
        <v>0</v>
      </c>
      <c r="C810">
        <f t="shared" si="174"/>
        <v>0</v>
      </c>
      <c r="D810">
        <f t="shared" si="175"/>
        <v>0</v>
      </c>
      <c r="E810" t="e">
        <f t="shared" si="176"/>
        <v>#N/A</v>
      </c>
      <c r="F810">
        <f t="shared" si="177"/>
        <v>0</v>
      </c>
      <c r="G810">
        <f t="shared" si="178"/>
        <v>0</v>
      </c>
      <c r="H810">
        <f t="shared" si="179"/>
        <v>0</v>
      </c>
      <c r="I810">
        <f t="shared" si="180"/>
        <v>0</v>
      </c>
      <c r="J810">
        <f t="shared" si="181"/>
        <v>0</v>
      </c>
      <c r="K810" s="4" t="e">
        <f t="shared" si="170"/>
        <v>#N/A</v>
      </c>
      <c r="L810" t="e">
        <f t="shared" si="171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2"/>
        <v>0</v>
      </c>
      <c r="B811">
        <f t="shared" si="173"/>
        <v>0</v>
      </c>
      <c r="C811">
        <f t="shared" si="174"/>
        <v>0</v>
      </c>
      <c r="D811">
        <f t="shared" si="175"/>
        <v>0</v>
      </c>
      <c r="E811" t="e">
        <f t="shared" si="176"/>
        <v>#N/A</v>
      </c>
      <c r="F811">
        <f t="shared" si="177"/>
        <v>0</v>
      </c>
      <c r="G811">
        <f t="shared" si="178"/>
        <v>0</v>
      </c>
      <c r="H811">
        <f t="shared" si="179"/>
        <v>0</v>
      </c>
      <c r="I811">
        <f t="shared" si="180"/>
        <v>0</v>
      </c>
      <c r="J811">
        <f t="shared" si="181"/>
        <v>0</v>
      </c>
      <c r="K811" s="4" t="e">
        <f t="shared" si="170"/>
        <v>#N/A</v>
      </c>
      <c r="L811" t="e">
        <f t="shared" si="171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2"/>
        <v>0</v>
      </c>
      <c r="B812">
        <f t="shared" si="173"/>
        <v>0</v>
      </c>
      <c r="C812">
        <f t="shared" si="174"/>
        <v>0</v>
      </c>
      <c r="D812">
        <f t="shared" si="175"/>
        <v>0</v>
      </c>
      <c r="E812" t="e">
        <f t="shared" si="176"/>
        <v>#N/A</v>
      </c>
      <c r="F812">
        <f t="shared" si="177"/>
        <v>0</v>
      </c>
      <c r="G812">
        <f t="shared" si="178"/>
        <v>0</v>
      </c>
      <c r="H812">
        <f t="shared" si="179"/>
        <v>0</v>
      </c>
      <c r="I812">
        <f t="shared" si="180"/>
        <v>0</v>
      </c>
      <c r="J812">
        <f t="shared" si="181"/>
        <v>0</v>
      </c>
      <c r="K812" s="4" t="e">
        <f t="shared" ref="K812:K875" si="184">IF(LEFT(B812,3)="DBM",0,VLOOKUP(E812,tabela,2,FALSE))</f>
        <v>#N/A</v>
      </c>
      <c r="L812" t="e">
        <f t="shared" ref="L812:L875" si="185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2"/>
        <v>0</v>
      </c>
      <c r="B813">
        <f t="shared" si="173"/>
        <v>0</v>
      </c>
      <c r="C813">
        <f t="shared" si="174"/>
        <v>0</v>
      </c>
      <c r="D813">
        <f t="shared" si="175"/>
        <v>0</v>
      </c>
      <c r="E813" t="e">
        <f t="shared" si="176"/>
        <v>#N/A</v>
      </c>
      <c r="F813">
        <f t="shared" si="177"/>
        <v>0</v>
      </c>
      <c r="G813">
        <f t="shared" si="178"/>
        <v>0</v>
      </c>
      <c r="H813">
        <f t="shared" si="179"/>
        <v>0</v>
      </c>
      <c r="I813">
        <f t="shared" si="180"/>
        <v>0</v>
      </c>
      <c r="J813">
        <f t="shared" si="181"/>
        <v>0</v>
      </c>
      <c r="K813" s="4" t="e">
        <f t="shared" si="184"/>
        <v>#N/A</v>
      </c>
      <c r="L813" t="e">
        <f t="shared" si="185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2"/>
        <v>0</v>
      </c>
      <c r="B814">
        <f t="shared" si="173"/>
        <v>0</v>
      </c>
      <c r="C814">
        <f t="shared" si="174"/>
        <v>0</v>
      </c>
      <c r="D814">
        <f t="shared" si="175"/>
        <v>0</v>
      </c>
      <c r="E814" t="e">
        <f t="shared" si="176"/>
        <v>#N/A</v>
      </c>
      <c r="F814">
        <f t="shared" si="177"/>
        <v>0</v>
      </c>
      <c r="G814">
        <f t="shared" si="178"/>
        <v>0</v>
      </c>
      <c r="H814">
        <f t="shared" si="179"/>
        <v>0</v>
      </c>
      <c r="I814">
        <f t="shared" si="180"/>
        <v>0</v>
      </c>
      <c r="J814">
        <f t="shared" si="181"/>
        <v>0</v>
      </c>
      <c r="K814" s="4" t="e">
        <f t="shared" si="184"/>
        <v>#N/A</v>
      </c>
      <c r="L814" t="e">
        <f t="shared" si="185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2"/>
        <v>0</v>
      </c>
      <c r="B815">
        <f t="shared" si="173"/>
        <v>0</v>
      </c>
      <c r="C815">
        <f t="shared" si="174"/>
        <v>0</v>
      </c>
      <c r="D815">
        <f t="shared" si="175"/>
        <v>0</v>
      </c>
      <c r="E815" t="e">
        <f t="shared" si="176"/>
        <v>#N/A</v>
      </c>
      <c r="F815">
        <f t="shared" si="177"/>
        <v>0</v>
      </c>
      <c r="G815">
        <f t="shared" si="178"/>
        <v>0</v>
      </c>
      <c r="H815">
        <f t="shared" si="179"/>
        <v>0</v>
      </c>
      <c r="I815">
        <f t="shared" si="180"/>
        <v>0</v>
      </c>
      <c r="J815">
        <f t="shared" si="181"/>
        <v>0</v>
      </c>
      <c r="K815" s="4" t="e">
        <f t="shared" si="184"/>
        <v>#N/A</v>
      </c>
      <c r="L815" t="e">
        <f t="shared" si="185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2"/>
        <v>0</v>
      </c>
      <c r="B816">
        <f t="shared" si="173"/>
        <v>0</v>
      </c>
      <c r="C816">
        <f t="shared" si="174"/>
        <v>0</v>
      </c>
      <c r="D816">
        <f t="shared" si="175"/>
        <v>0</v>
      </c>
      <c r="E816" t="e">
        <f t="shared" si="176"/>
        <v>#N/A</v>
      </c>
      <c r="F816">
        <f t="shared" si="177"/>
        <v>0</v>
      </c>
      <c r="G816">
        <f t="shared" si="178"/>
        <v>0</v>
      </c>
      <c r="H816">
        <f t="shared" si="179"/>
        <v>0</v>
      </c>
      <c r="I816">
        <f t="shared" si="180"/>
        <v>0</v>
      </c>
      <c r="J816">
        <f t="shared" si="181"/>
        <v>0</v>
      </c>
      <c r="K816" s="4" t="e">
        <f t="shared" si="184"/>
        <v>#N/A</v>
      </c>
      <c r="L816" t="e">
        <f t="shared" si="185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2"/>
        <v>0</v>
      </c>
      <c r="B817">
        <f t="shared" si="173"/>
        <v>0</v>
      </c>
      <c r="C817">
        <f t="shared" si="174"/>
        <v>0</v>
      </c>
      <c r="D817">
        <f t="shared" si="175"/>
        <v>0</v>
      </c>
      <c r="E817" t="e">
        <f t="shared" si="176"/>
        <v>#N/A</v>
      </c>
      <c r="F817">
        <f t="shared" si="177"/>
        <v>0</v>
      </c>
      <c r="G817">
        <f t="shared" si="178"/>
        <v>0</v>
      </c>
      <c r="H817">
        <f t="shared" si="179"/>
        <v>0</v>
      </c>
      <c r="I817">
        <f t="shared" si="180"/>
        <v>0</v>
      </c>
      <c r="J817">
        <f t="shared" si="181"/>
        <v>0</v>
      </c>
      <c r="K817" s="4" t="e">
        <f t="shared" si="184"/>
        <v>#N/A</v>
      </c>
      <c r="L817" t="e">
        <f t="shared" si="185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2"/>
        <v>0</v>
      </c>
      <c r="B818">
        <f t="shared" si="173"/>
        <v>0</v>
      </c>
      <c r="C818">
        <f t="shared" si="174"/>
        <v>0</v>
      </c>
      <c r="D818">
        <f t="shared" si="175"/>
        <v>0</v>
      </c>
      <c r="E818" t="e">
        <f t="shared" si="176"/>
        <v>#N/A</v>
      </c>
      <c r="F818">
        <f t="shared" si="177"/>
        <v>0</v>
      </c>
      <c r="G818">
        <f t="shared" si="178"/>
        <v>0</v>
      </c>
      <c r="H818">
        <f t="shared" si="179"/>
        <v>0</v>
      </c>
      <c r="I818">
        <f t="shared" si="180"/>
        <v>0</v>
      </c>
      <c r="J818">
        <f t="shared" si="181"/>
        <v>0</v>
      </c>
      <c r="K818" s="4" t="e">
        <f t="shared" si="184"/>
        <v>#N/A</v>
      </c>
      <c r="L818" t="e">
        <f t="shared" si="185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2"/>
        <v>0</v>
      </c>
      <c r="B819">
        <f t="shared" si="173"/>
        <v>0</v>
      </c>
      <c r="C819">
        <f t="shared" si="174"/>
        <v>0</v>
      </c>
      <c r="D819">
        <f t="shared" si="175"/>
        <v>0</v>
      </c>
      <c r="E819" t="e">
        <f t="shared" si="176"/>
        <v>#N/A</v>
      </c>
      <c r="F819">
        <f t="shared" si="177"/>
        <v>0</v>
      </c>
      <c r="G819">
        <f t="shared" si="178"/>
        <v>0</v>
      </c>
      <c r="H819">
        <f t="shared" si="179"/>
        <v>0</v>
      </c>
      <c r="I819">
        <f t="shared" si="180"/>
        <v>0</v>
      </c>
      <c r="J819">
        <f t="shared" si="181"/>
        <v>0</v>
      </c>
      <c r="K819" s="4" t="e">
        <f t="shared" si="184"/>
        <v>#N/A</v>
      </c>
      <c r="L819" t="e">
        <f t="shared" si="185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2"/>
        <v>0</v>
      </c>
      <c r="B820">
        <f t="shared" si="173"/>
        <v>0</v>
      </c>
      <c r="C820">
        <f t="shared" si="174"/>
        <v>0</v>
      </c>
      <c r="D820">
        <f t="shared" si="175"/>
        <v>0</v>
      </c>
      <c r="E820" t="e">
        <f t="shared" si="176"/>
        <v>#N/A</v>
      </c>
      <c r="F820">
        <f t="shared" si="177"/>
        <v>0</v>
      </c>
      <c r="G820">
        <f t="shared" si="178"/>
        <v>0</v>
      </c>
      <c r="H820">
        <f t="shared" si="179"/>
        <v>0</v>
      </c>
      <c r="I820">
        <f t="shared" si="180"/>
        <v>0</v>
      </c>
      <c r="J820">
        <f t="shared" si="181"/>
        <v>0</v>
      </c>
      <c r="K820" s="4" t="e">
        <f t="shared" si="184"/>
        <v>#N/A</v>
      </c>
      <c r="L820" t="e">
        <f t="shared" si="185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2"/>
        <v>0</v>
      </c>
      <c r="B821">
        <f t="shared" si="173"/>
        <v>0</v>
      </c>
      <c r="C821">
        <f t="shared" si="174"/>
        <v>0</v>
      </c>
      <c r="D821">
        <f t="shared" si="175"/>
        <v>0</v>
      </c>
      <c r="E821" t="e">
        <f t="shared" si="176"/>
        <v>#N/A</v>
      </c>
      <c r="F821">
        <f t="shared" si="177"/>
        <v>0</v>
      </c>
      <c r="G821">
        <f t="shared" si="178"/>
        <v>0</v>
      </c>
      <c r="H821">
        <f t="shared" si="179"/>
        <v>0</v>
      </c>
      <c r="I821">
        <f t="shared" si="180"/>
        <v>0</v>
      </c>
      <c r="J821">
        <f t="shared" si="181"/>
        <v>0</v>
      </c>
      <c r="K821" s="4" t="e">
        <f t="shared" si="184"/>
        <v>#N/A</v>
      </c>
      <c r="L821" t="e">
        <f t="shared" si="185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2"/>
        <v>0</v>
      </c>
      <c r="B822">
        <f t="shared" si="173"/>
        <v>0</v>
      </c>
      <c r="C822">
        <f t="shared" si="174"/>
        <v>0</v>
      </c>
      <c r="D822">
        <f t="shared" si="175"/>
        <v>0</v>
      </c>
      <c r="E822" t="e">
        <f t="shared" si="176"/>
        <v>#N/A</v>
      </c>
      <c r="F822">
        <f t="shared" si="177"/>
        <v>0</v>
      </c>
      <c r="G822">
        <f t="shared" si="178"/>
        <v>0</v>
      </c>
      <c r="H822">
        <f t="shared" si="179"/>
        <v>0</v>
      </c>
      <c r="I822">
        <f t="shared" si="180"/>
        <v>0</v>
      </c>
      <c r="J822">
        <f t="shared" si="181"/>
        <v>0</v>
      </c>
      <c r="K822" s="4" t="e">
        <f t="shared" si="184"/>
        <v>#N/A</v>
      </c>
      <c r="L822" t="e">
        <f t="shared" si="185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2"/>
        <v>0</v>
      </c>
      <c r="B823">
        <f t="shared" si="173"/>
        <v>0</v>
      </c>
      <c r="C823">
        <f t="shared" si="174"/>
        <v>0</v>
      </c>
      <c r="D823">
        <f t="shared" si="175"/>
        <v>0</v>
      </c>
      <c r="E823" t="e">
        <f t="shared" si="176"/>
        <v>#N/A</v>
      </c>
      <c r="F823">
        <f t="shared" si="177"/>
        <v>0</v>
      </c>
      <c r="G823">
        <f t="shared" si="178"/>
        <v>0</v>
      </c>
      <c r="H823">
        <f t="shared" si="179"/>
        <v>0</v>
      </c>
      <c r="I823">
        <f t="shared" si="180"/>
        <v>0</v>
      </c>
      <c r="J823">
        <f t="shared" si="181"/>
        <v>0</v>
      </c>
      <c r="K823" s="4" t="e">
        <f t="shared" si="184"/>
        <v>#N/A</v>
      </c>
      <c r="L823" t="e">
        <f t="shared" si="185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2"/>
        <v>0</v>
      </c>
      <c r="B824">
        <f t="shared" si="173"/>
        <v>0</v>
      </c>
      <c r="C824">
        <f t="shared" si="174"/>
        <v>0</v>
      </c>
      <c r="D824">
        <f t="shared" si="175"/>
        <v>0</v>
      </c>
      <c r="E824" t="e">
        <f t="shared" si="176"/>
        <v>#N/A</v>
      </c>
      <c r="F824">
        <f t="shared" si="177"/>
        <v>0</v>
      </c>
      <c r="G824">
        <f t="shared" si="178"/>
        <v>0</v>
      </c>
      <c r="H824">
        <f t="shared" si="179"/>
        <v>0</v>
      </c>
      <c r="I824">
        <f t="shared" si="180"/>
        <v>0</v>
      </c>
      <c r="J824">
        <f t="shared" si="181"/>
        <v>0</v>
      </c>
      <c r="K824" s="4" t="e">
        <f t="shared" si="184"/>
        <v>#N/A</v>
      </c>
      <c r="L824" t="e">
        <f t="shared" si="185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2"/>
        <v>0</v>
      </c>
      <c r="B825">
        <f t="shared" si="173"/>
        <v>0</v>
      </c>
      <c r="C825">
        <f t="shared" si="174"/>
        <v>0</v>
      </c>
      <c r="D825">
        <f t="shared" si="175"/>
        <v>0</v>
      </c>
      <c r="E825" t="e">
        <f t="shared" si="176"/>
        <v>#N/A</v>
      </c>
      <c r="F825">
        <f t="shared" si="177"/>
        <v>0</v>
      </c>
      <c r="G825">
        <f t="shared" si="178"/>
        <v>0</v>
      </c>
      <c r="H825">
        <f t="shared" si="179"/>
        <v>0</v>
      </c>
      <c r="I825">
        <f t="shared" si="180"/>
        <v>0</v>
      </c>
      <c r="J825">
        <f t="shared" si="181"/>
        <v>0</v>
      </c>
      <c r="K825" s="4" t="e">
        <f t="shared" si="184"/>
        <v>#N/A</v>
      </c>
      <c r="L825" t="e">
        <f t="shared" si="185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2"/>
        <v>0</v>
      </c>
      <c r="B826">
        <f t="shared" si="173"/>
        <v>0</v>
      </c>
      <c r="C826">
        <f t="shared" si="174"/>
        <v>0</v>
      </c>
      <c r="D826">
        <f t="shared" si="175"/>
        <v>0</v>
      </c>
      <c r="E826" t="e">
        <f t="shared" si="176"/>
        <v>#N/A</v>
      </c>
      <c r="F826">
        <f t="shared" si="177"/>
        <v>0</v>
      </c>
      <c r="G826">
        <f t="shared" si="178"/>
        <v>0</v>
      </c>
      <c r="H826">
        <f t="shared" si="179"/>
        <v>0</v>
      </c>
      <c r="I826">
        <f t="shared" si="180"/>
        <v>0</v>
      </c>
      <c r="J826">
        <f t="shared" si="181"/>
        <v>0</v>
      </c>
      <c r="K826" s="4" t="e">
        <f t="shared" si="184"/>
        <v>#N/A</v>
      </c>
      <c r="L826" t="e">
        <f t="shared" si="185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2"/>
        <v>0</v>
      </c>
      <c r="B827">
        <f t="shared" si="173"/>
        <v>0</v>
      </c>
      <c r="C827">
        <f t="shared" si="174"/>
        <v>0</v>
      </c>
      <c r="D827">
        <f t="shared" si="175"/>
        <v>0</v>
      </c>
      <c r="E827" t="e">
        <f t="shared" si="176"/>
        <v>#N/A</v>
      </c>
      <c r="F827">
        <f t="shared" si="177"/>
        <v>0</v>
      </c>
      <c r="G827">
        <f t="shared" si="178"/>
        <v>0</v>
      </c>
      <c r="H827">
        <f t="shared" si="179"/>
        <v>0</v>
      </c>
      <c r="I827">
        <f t="shared" si="180"/>
        <v>0</v>
      </c>
      <c r="J827">
        <f t="shared" si="181"/>
        <v>0</v>
      </c>
      <c r="K827" s="4" t="e">
        <f t="shared" si="184"/>
        <v>#N/A</v>
      </c>
      <c r="L827" t="e">
        <f t="shared" si="185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2"/>
        <v>0</v>
      </c>
      <c r="B828">
        <f t="shared" si="173"/>
        <v>0</v>
      </c>
      <c r="C828">
        <f t="shared" si="174"/>
        <v>0</v>
      </c>
      <c r="D828">
        <f t="shared" si="175"/>
        <v>0</v>
      </c>
      <c r="E828" t="e">
        <f t="shared" si="176"/>
        <v>#N/A</v>
      </c>
      <c r="F828">
        <f t="shared" si="177"/>
        <v>0</v>
      </c>
      <c r="G828">
        <f t="shared" si="178"/>
        <v>0</v>
      </c>
      <c r="H828">
        <f t="shared" si="179"/>
        <v>0</v>
      </c>
      <c r="I828">
        <f t="shared" si="180"/>
        <v>0</v>
      </c>
      <c r="J828">
        <f t="shared" si="181"/>
        <v>0</v>
      </c>
      <c r="K828" s="4" t="e">
        <f t="shared" si="184"/>
        <v>#N/A</v>
      </c>
      <c r="L828" t="e">
        <f t="shared" si="185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2"/>
        <v>0</v>
      </c>
      <c r="B829">
        <f t="shared" si="173"/>
        <v>0</v>
      </c>
      <c r="C829">
        <f t="shared" si="174"/>
        <v>0</v>
      </c>
      <c r="D829">
        <f t="shared" si="175"/>
        <v>0</v>
      </c>
      <c r="E829" t="e">
        <f t="shared" si="176"/>
        <v>#N/A</v>
      </c>
      <c r="F829">
        <f t="shared" si="177"/>
        <v>0</v>
      </c>
      <c r="G829">
        <f t="shared" si="178"/>
        <v>0</v>
      </c>
      <c r="H829">
        <f t="shared" si="179"/>
        <v>0</v>
      </c>
      <c r="I829">
        <f t="shared" si="180"/>
        <v>0</v>
      </c>
      <c r="J829">
        <f t="shared" si="181"/>
        <v>0</v>
      </c>
      <c r="K829" s="4" t="e">
        <f t="shared" si="184"/>
        <v>#N/A</v>
      </c>
      <c r="L829" t="e">
        <f t="shared" si="185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2"/>
        <v>0</v>
      </c>
      <c r="B830">
        <f t="shared" si="173"/>
        <v>0</v>
      </c>
      <c r="C830">
        <f t="shared" si="174"/>
        <v>0</v>
      </c>
      <c r="D830">
        <f t="shared" si="175"/>
        <v>0</v>
      </c>
      <c r="E830" t="e">
        <f t="shared" si="176"/>
        <v>#N/A</v>
      </c>
      <c r="F830">
        <f t="shared" si="177"/>
        <v>0</v>
      </c>
      <c r="G830">
        <f t="shared" si="178"/>
        <v>0</v>
      </c>
      <c r="H830">
        <f t="shared" si="179"/>
        <v>0</v>
      </c>
      <c r="I830">
        <f t="shared" si="180"/>
        <v>0</v>
      </c>
      <c r="J830">
        <f t="shared" si="181"/>
        <v>0</v>
      </c>
      <c r="K830" s="4" t="e">
        <f t="shared" si="184"/>
        <v>#N/A</v>
      </c>
      <c r="L830" t="e">
        <f t="shared" si="185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2"/>
        <v>0</v>
      </c>
      <c r="B831">
        <f t="shared" si="173"/>
        <v>0</v>
      </c>
      <c r="C831">
        <f t="shared" si="174"/>
        <v>0</v>
      </c>
      <c r="D831">
        <f t="shared" si="175"/>
        <v>0</v>
      </c>
      <c r="E831" t="e">
        <f t="shared" si="176"/>
        <v>#N/A</v>
      </c>
      <c r="F831">
        <f t="shared" si="177"/>
        <v>0</v>
      </c>
      <c r="G831">
        <f t="shared" si="178"/>
        <v>0</v>
      </c>
      <c r="H831">
        <f t="shared" si="179"/>
        <v>0</v>
      </c>
      <c r="I831">
        <f t="shared" si="180"/>
        <v>0</v>
      </c>
      <c r="J831">
        <f t="shared" si="181"/>
        <v>0</v>
      </c>
      <c r="K831" s="4" t="e">
        <f t="shared" si="184"/>
        <v>#N/A</v>
      </c>
      <c r="L831" t="e">
        <f t="shared" si="185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2"/>
        <v>0</v>
      </c>
      <c r="B832">
        <f t="shared" si="173"/>
        <v>0</v>
      </c>
      <c r="C832">
        <f t="shared" si="174"/>
        <v>0</v>
      </c>
      <c r="D832">
        <f t="shared" si="175"/>
        <v>0</v>
      </c>
      <c r="E832" t="e">
        <f t="shared" si="176"/>
        <v>#N/A</v>
      </c>
      <c r="F832">
        <f t="shared" si="177"/>
        <v>0</v>
      </c>
      <c r="G832">
        <f t="shared" si="178"/>
        <v>0</v>
      </c>
      <c r="H832">
        <f t="shared" si="179"/>
        <v>0</v>
      </c>
      <c r="I832">
        <f t="shared" si="180"/>
        <v>0</v>
      </c>
      <c r="J832">
        <f t="shared" si="181"/>
        <v>0</v>
      </c>
      <c r="K832" s="4" t="e">
        <f t="shared" si="184"/>
        <v>#N/A</v>
      </c>
      <c r="L832" t="e">
        <f t="shared" si="185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2"/>
        <v>0</v>
      </c>
      <c r="B833">
        <f t="shared" si="173"/>
        <v>0</v>
      </c>
      <c r="C833">
        <f t="shared" si="174"/>
        <v>0</v>
      </c>
      <c r="D833">
        <f t="shared" si="175"/>
        <v>0</v>
      </c>
      <c r="E833" t="e">
        <f t="shared" si="176"/>
        <v>#N/A</v>
      </c>
      <c r="F833">
        <f t="shared" si="177"/>
        <v>0</v>
      </c>
      <c r="G833">
        <f t="shared" si="178"/>
        <v>0</v>
      </c>
      <c r="H833">
        <f t="shared" si="179"/>
        <v>0</v>
      </c>
      <c r="I833">
        <f t="shared" si="180"/>
        <v>0</v>
      </c>
      <c r="J833">
        <f t="shared" si="181"/>
        <v>0</v>
      </c>
      <c r="K833" s="4" t="e">
        <f t="shared" si="184"/>
        <v>#N/A</v>
      </c>
      <c r="L833" t="e">
        <f t="shared" si="185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6">bd_campaign</f>
        <v>0</v>
      </c>
      <c r="B834">
        <f t="shared" ref="B834:B897" si="187">bd_site</f>
        <v>0</v>
      </c>
      <c r="C834">
        <f t="shared" ref="C834:C897" si="188">bd_placement</f>
        <v>0</v>
      </c>
      <c r="D834">
        <f t="shared" ref="D834:D897" si="189">bd_placementID</f>
        <v>0</v>
      </c>
      <c r="E834" t="e">
        <f t="shared" ref="E834:E897" si="190">VLOOKUP(CONCATENATE(bd_adtype,"_",bd_creativetype),tabela,2,FALSE)</f>
        <v>#N/A</v>
      </c>
      <c r="F834">
        <f t="shared" ref="F834:F897" si="191">bd_ad</f>
        <v>0</v>
      </c>
      <c r="G834">
        <f t="shared" ref="G834:G897" si="192">bd_adid</f>
        <v>0</v>
      </c>
      <c r="H834">
        <f t="shared" ref="H834:H897" si="193">bd_creativetype</f>
        <v>0</v>
      </c>
      <c r="I834">
        <f t="shared" ref="I834:I897" si="194">bd_impression</f>
        <v>0</v>
      </c>
      <c r="J834">
        <f t="shared" ref="J834:J897" si="195">bd_clicks</f>
        <v>0</v>
      </c>
      <c r="K834" s="4" t="e">
        <f t="shared" si="184"/>
        <v>#N/A</v>
      </c>
      <c r="L834" t="e">
        <f t="shared" si="185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6"/>
        <v>0</v>
      </c>
      <c r="B835">
        <f t="shared" si="187"/>
        <v>0</v>
      </c>
      <c r="C835">
        <f t="shared" si="188"/>
        <v>0</v>
      </c>
      <c r="D835">
        <f t="shared" si="189"/>
        <v>0</v>
      </c>
      <c r="E835" t="e">
        <f t="shared" si="190"/>
        <v>#N/A</v>
      </c>
      <c r="F835">
        <f t="shared" si="191"/>
        <v>0</v>
      </c>
      <c r="G835">
        <f t="shared" si="192"/>
        <v>0</v>
      </c>
      <c r="H835">
        <f t="shared" si="193"/>
        <v>0</v>
      </c>
      <c r="I835">
        <f t="shared" si="194"/>
        <v>0</v>
      </c>
      <c r="J835">
        <f t="shared" si="195"/>
        <v>0</v>
      </c>
      <c r="K835" s="4" t="e">
        <f t="shared" si="184"/>
        <v>#N/A</v>
      </c>
      <c r="L835" t="e">
        <f t="shared" si="185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6"/>
        <v>0</v>
      </c>
      <c r="B836">
        <f t="shared" si="187"/>
        <v>0</v>
      </c>
      <c r="C836">
        <f t="shared" si="188"/>
        <v>0</v>
      </c>
      <c r="D836">
        <f t="shared" si="189"/>
        <v>0</v>
      </c>
      <c r="E836" t="e">
        <f t="shared" si="190"/>
        <v>#N/A</v>
      </c>
      <c r="F836">
        <f t="shared" si="191"/>
        <v>0</v>
      </c>
      <c r="G836">
        <f t="shared" si="192"/>
        <v>0</v>
      </c>
      <c r="H836">
        <f t="shared" si="193"/>
        <v>0</v>
      </c>
      <c r="I836">
        <f t="shared" si="194"/>
        <v>0</v>
      </c>
      <c r="J836">
        <f t="shared" si="195"/>
        <v>0</v>
      </c>
      <c r="K836" s="4" t="e">
        <f t="shared" si="184"/>
        <v>#N/A</v>
      </c>
      <c r="L836" t="e">
        <f t="shared" si="185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6"/>
        <v>0</v>
      </c>
      <c r="B837">
        <f t="shared" si="187"/>
        <v>0</v>
      </c>
      <c r="C837">
        <f t="shared" si="188"/>
        <v>0</v>
      </c>
      <c r="D837">
        <f t="shared" si="189"/>
        <v>0</v>
      </c>
      <c r="E837" t="e">
        <f t="shared" si="190"/>
        <v>#N/A</v>
      </c>
      <c r="F837">
        <f t="shared" si="191"/>
        <v>0</v>
      </c>
      <c r="G837">
        <f t="shared" si="192"/>
        <v>0</v>
      </c>
      <c r="H837">
        <f t="shared" si="193"/>
        <v>0</v>
      </c>
      <c r="I837">
        <f t="shared" si="194"/>
        <v>0</v>
      </c>
      <c r="J837">
        <f t="shared" si="195"/>
        <v>0</v>
      </c>
      <c r="K837" s="4" t="e">
        <f t="shared" si="184"/>
        <v>#N/A</v>
      </c>
      <c r="L837" t="e">
        <f t="shared" si="185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6"/>
        <v>0</v>
      </c>
      <c r="B838">
        <f t="shared" si="187"/>
        <v>0</v>
      </c>
      <c r="C838">
        <f t="shared" si="188"/>
        <v>0</v>
      </c>
      <c r="D838">
        <f t="shared" si="189"/>
        <v>0</v>
      </c>
      <c r="E838" t="e">
        <f t="shared" si="190"/>
        <v>#N/A</v>
      </c>
      <c r="F838">
        <f t="shared" si="191"/>
        <v>0</v>
      </c>
      <c r="G838">
        <f t="shared" si="192"/>
        <v>0</v>
      </c>
      <c r="H838">
        <f t="shared" si="193"/>
        <v>0</v>
      </c>
      <c r="I838">
        <f t="shared" si="194"/>
        <v>0</v>
      </c>
      <c r="J838">
        <f t="shared" si="195"/>
        <v>0</v>
      </c>
      <c r="K838" s="4" t="e">
        <f t="shared" si="184"/>
        <v>#N/A</v>
      </c>
      <c r="L838" t="e">
        <f t="shared" si="185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6"/>
        <v>0</v>
      </c>
      <c r="B839">
        <f t="shared" si="187"/>
        <v>0</v>
      </c>
      <c r="C839">
        <f t="shared" si="188"/>
        <v>0</v>
      </c>
      <c r="D839">
        <f t="shared" si="189"/>
        <v>0</v>
      </c>
      <c r="E839" t="e">
        <f t="shared" si="190"/>
        <v>#N/A</v>
      </c>
      <c r="F839">
        <f t="shared" si="191"/>
        <v>0</v>
      </c>
      <c r="G839">
        <f t="shared" si="192"/>
        <v>0</v>
      </c>
      <c r="H839">
        <f t="shared" si="193"/>
        <v>0</v>
      </c>
      <c r="I839">
        <f t="shared" si="194"/>
        <v>0</v>
      </c>
      <c r="J839">
        <f t="shared" si="195"/>
        <v>0</v>
      </c>
      <c r="K839" s="4" t="e">
        <f t="shared" si="184"/>
        <v>#N/A</v>
      </c>
      <c r="L839" t="e">
        <f t="shared" si="185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6"/>
        <v>0</v>
      </c>
      <c r="B840">
        <f t="shared" si="187"/>
        <v>0</v>
      </c>
      <c r="C840">
        <f t="shared" si="188"/>
        <v>0</v>
      </c>
      <c r="D840">
        <f t="shared" si="189"/>
        <v>0</v>
      </c>
      <c r="E840" t="e">
        <f t="shared" si="190"/>
        <v>#N/A</v>
      </c>
      <c r="F840">
        <f t="shared" si="191"/>
        <v>0</v>
      </c>
      <c r="G840">
        <f t="shared" si="192"/>
        <v>0</v>
      </c>
      <c r="H840">
        <f t="shared" si="193"/>
        <v>0</v>
      </c>
      <c r="I840">
        <f t="shared" si="194"/>
        <v>0</v>
      </c>
      <c r="J840">
        <f t="shared" si="195"/>
        <v>0</v>
      </c>
      <c r="K840" s="4" t="e">
        <f t="shared" si="184"/>
        <v>#N/A</v>
      </c>
      <c r="L840" t="e">
        <f t="shared" si="185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6"/>
        <v>0</v>
      </c>
      <c r="B841">
        <f t="shared" si="187"/>
        <v>0</v>
      </c>
      <c r="C841">
        <f t="shared" si="188"/>
        <v>0</v>
      </c>
      <c r="D841">
        <f t="shared" si="189"/>
        <v>0</v>
      </c>
      <c r="E841" t="e">
        <f t="shared" si="190"/>
        <v>#N/A</v>
      </c>
      <c r="F841">
        <f t="shared" si="191"/>
        <v>0</v>
      </c>
      <c r="G841">
        <f t="shared" si="192"/>
        <v>0</v>
      </c>
      <c r="H841">
        <f t="shared" si="193"/>
        <v>0</v>
      </c>
      <c r="I841">
        <f t="shared" si="194"/>
        <v>0</v>
      </c>
      <c r="J841">
        <f t="shared" si="195"/>
        <v>0</v>
      </c>
      <c r="K841" s="4" t="e">
        <f t="shared" si="184"/>
        <v>#N/A</v>
      </c>
      <c r="L841" t="e">
        <f t="shared" si="185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6"/>
        <v>0</v>
      </c>
      <c r="B842">
        <f t="shared" si="187"/>
        <v>0</v>
      </c>
      <c r="C842">
        <f t="shared" si="188"/>
        <v>0</v>
      </c>
      <c r="D842">
        <f t="shared" si="189"/>
        <v>0</v>
      </c>
      <c r="E842" t="e">
        <f t="shared" si="190"/>
        <v>#N/A</v>
      </c>
      <c r="F842">
        <f t="shared" si="191"/>
        <v>0</v>
      </c>
      <c r="G842">
        <f t="shared" si="192"/>
        <v>0</v>
      </c>
      <c r="H842">
        <f t="shared" si="193"/>
        <v>0</v>
      </c>
      <c r="I842">
        <f t="shared" si="194"/>
        <v>0</v>
      </c>
      <c r="J842">
        <f t="shared" si="195"/>
        <v>0</v>
      </c>
      <c r="K842" s="4" t="e">
        <f t="shared" si="184"/>
        <v>#N/A</v>
      </c>
      <c r="L842" t="e">
        <f t="shared" si="185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6"/>
        <v>0</v>
      </c>
      <c r="B843">
        <f t="shared" si="187"/>
        <v>0</v>
      </c>
      <c r="C843">
        <f t="shared" si="188"/>
        <v>0</v>
      </c>
      <c r="D843">
        <f t="shared" si="189"/>
        <v>0</v>
      </c>
      <c r="E843" t="e">
        <f t="shared" si="190"/>
        <v>#N/A</v>
      </c>
      <c r="F843">
        <f t="shared" si="191"/>
        <v>0</v>
      </c>
      <c r="G843">
        <f t="shared" si="192"/>
        <v>0</v>
      </c>
      <c r="H843">
        <f t="shared" si="193"/>
        <v>0</v>
      </c>
      <c r="I843">
        <f t="shared" si="194"/>
        <v>0</v>
      </c>
      <c r="J843">
        <f t="shared" si="195"/>
        <v>0</v>
      </c>
      <c r="K843" s="4" t="e">
        <f t="shared" si="184"/>
        <v>#N/A</v>
      </c>
      <c r="L843" t="e">
        <f t="shared" si="185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6"/>
        <v>0</v>
      </c>
      <c r="B844">
        <f t="shared" si="187"/>
        <v>0</v>
      </c>
      <c r="C844">
        <f t="shared" si="188"/>
        <v>0</v>
      </c>
      <c r="D844">
        <f t="shared" si="189"/>
        <v>0</v>
      </c>
      <c r="E844" t="e">
        <f t="shared" si="190"/>
        <v>#N/A</v>
      </c>
      <c r="F844">
        <f t="shared" si="191"/>
        <v>0</v>
      </c>
      <c r="G844">
        <f t="shared" si="192"/>
        <v>0</v>
      </c>
      <c r="H844">
        <f t="shared" si="193"/>
        <v>0</v>
      </c>
      <c r="I844">
        <f t="shared" si="194"/>
        <v>0</v>
      </c>
      <c r="J844">
        <f t="shared" si="195"/>
        <v>0</v>
      </c>
      <c r="K844" s="4" t="e">
        <f t="shared" si="184"/>
        <v>#N/A</v>
      </c>
      <c r="L844" t="e">
        <f t="shared" si="185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6"/>
        <v>0</v>
      </c>
      <c r="B845">
        <f t="shared" si="187"/>
        <v>0</v>
      </c>
      <c r="C845">
        <f t="shared" si="188"/>
        <v>0</v>
      </c>
      <c r="D845">
        <f t="shared" si="189"/>
        <v>0</v>
      </c>
      <c r="E845" t="e">
        <f t="shared" si="190"/>
        <v>#N/A</v>
      </c>
      <c r="F845">
        <f t="shared" si="191"/>
        <v>0</v>
      </c>
      <c r="G845">
        <f t="shared" si="192"/>
        <v>0</v>
      </c>
      <c r="H845">
        <f t="shared" si="193"/>
        <v>0</v>
      </c>
      <c r="I845">
        <f t="shared" si="194"/>
        <v>0</v>
      </c>
      <c r="J845">
        <f t="shared" si="195"/>
        <v>0</v>
      </c>
      <c r="K845" s="4" t="e">
        <f t="shared" si="184"/>
        <v>#N/A</v>
      </c>
      <c r="L845" t="e">
        <f t="shared" si="185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6"/>
        <v>0</v>
      </c>
      <c r="B846">
        <f t="shared" si="187"/>
        <v>0</v>
      </c>
      <c r="C846">
        <f t="shared" si="188"/>
        <v>0</v>
      </c>
      <c r="D846">
        <f t="shared" si="189"/>
        <v>0</v>
      </c>
      <c r="E846" t="e">
        <f t="shared" si="190"/>
        <v>#N/A</v>
      </c>
      <c r="F846">
        <f t="shared" si="191"/>
        <v>0</v>
      </c>
      <c r="G846">
        <f t="shared" si="192"/>
        <v>0</v>
      </c>
      <c r="H846">
        <f t="shared" si="193"/>
        <v>0</v>
      </c>
      <c r="I846">
        <f t="shared" si="194"/>
        <v>0</v>
      </c>
      <c r="J846">
        <f t="shared" si="195"/>
        <v>0</v>
      </c>
      <c r="K846" s="4" t="e">
        <f t="shared" si="184"/>
        <v>#N/A</v>
      </c>
      <c r="L846" t="e">
        <f t="shared" si="185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6"/>
        <v>0</v>
      </c>
      <c r="B847">
        <f t="shared" si="187"/>
        <v>0</v>
      </c>
      <c r="C847">
        <f t="shared" si="188"/>
        <v>0</v>
      </c>
      <c r="D847">
        <f t="shared" si="189"/>
        <v>0</v>
      </c>
      <c r="E847" t="e">
        <f t="shared" si="190"/>
        <v>#N/A</v>
      </c>
      <c r="F847">
        <f t="shared" si="191"/>
        <v>0</v>
      </c>
      <c r="G847">
        <f t="shared" si="192"/>
        <v>0</v>
      </c>
      <c r="H847">
        <f t="shared" si="193"/>
        <v>0</v>
      </c>
      <c r="I847">
        <f t="shared" si="194"/>
        <v>0</v>
      </c>
      <c r="J847">
        <f t="shared" si="195"/>
        <v>0</v>
      </c>
      <c r="K847" s="4" t="e">
        <f t="shared" si="184"/>
        <v>#N/A</v>
      </c>
      <c r="L847" t="e">
        <f t="shared" si="185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6"/>
        <v>0</v>
      </c>
      <c r="B848">
        <f t="shared" si="187"/>
        <v>0</v>
      </c>
      <c r="C848">
        <f t="shared" si="188"/>
        <v>0</v>
      </c>
      <c r="D848">
        <f t="shared" si="189"/>
        <v>0</v>
      </c>
      <c r="E848" t="e">
        <f t="shared" si="190"/>
        <v>#N/A</v>
      </c>
      <c r="F848">
        <f t="shared" si="191"/>
        <v>0</v>
      </c>
      <c r="G848">
        <f t="shared" si="192"/>
        <v>0</v>
      </c>
      <c r="H848">
        <f t="shared" si="193"/>
        <v>0</v>
      </c>
      <c r="I848">
        <f t="shared" si="194"/>
        <v>0</v>
      </c>
      <c r="J848">
        <f t="shared" si="195"/>
        <v>0</v>
      </c>
      <c r="K848" s="4" t="e">
        <f t="shared" si="184"/>
        <v>#N/A</v>
      </c>
      <c r="L848" t="e">
        <f t="shared" si="185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6"/>
        <v>0</v>
      </c>
      <c r="B849">
        <f t="shared" si="187"/>
        <v>0</v>
      </c>
      <c r="C849">
        <f t="shared" si="188"/>
        <v>0</v>
      </c>
      <c r="D849">
        <f t="shared" si="189"/>
        <v>0</v>
      </c>
      <c r="E849" t="e">
        <f t="shared" si="190"/>
        <v>#N/A</v>
      </c>
      <c r="F849">
        <f t="shared" si="191"/>
        <v>0</v>
      </c>
      <c r="G849">
        <f t="shared" si="192"/>
        <v>0</v>
      </c>
      <c r="H849">
        <f t="shared" si="193"/>
        <v>0</v>
      </c>
      <c r="I849">
        <f t="shared" si="194"/>
        <v>0</v>
      </c>
      <c r="J849">
        <f t="shared" si="195"/>
        <v>0</v>
      </c>
      <c r="K849" s="4" t="e">
        <f t="shared" si="184"/>
        <v>#N/A</v>
      </c>
      <c r="L849" t="e">
        <f t="shared" si="185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6"/>
        <v>0</v>
      </c>
      <c r="B850">
        <f t="shared" si="187"/>
        <v>0</v>
      </c>
      <c r="C850">
        <f t="shared" si="188"/>
        <v>0</v>
      </c>
      <c r="D850">
        <f t="shared" si="189"/>
        <v>0</v>
      </c>
      <c r="E850" t="e">
        <f t="shared" si="190"/>
        <v>#N/A</v>
      </c>
      <c r="F850">
        <f t="shared" si="191"/>
        <v>0</v>
      </c>
      <c r="G850">
        <f t="shared" si="192"/>
        <v>0</v>
      </c>
      <c r="H850">
        <f t="shared" si="193"/>
        <v>0</v>
      </c>
      <c r="I850">
        <f t="shared" si="194"/>
        <v>0</v>
      </c>
      <c r="J850">
        <f t="shared" si="195"/>
        <v>0</v>
      </c>
      <c r="K850" s="4" t="e">
        <f t="shared" si="184"/>
        <v>#N/A</v>
      </c>
      <c r="L850" t="e">
        <f t="shared" si="185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6"/>
        <v>0</v>
      </c>
      <c r="B851">
        <f t="shared" si="187"/>
        <v>0</v>
      </c>
      <c r="C851">
        <f t="shared" si="188"/>
        <v>0</v>
      </c>
      <c r="D851">
        <f t="shared" si="189"/>
        <v>0</v>
      </c>
      <c r="E851" t="e">
        <f t="shared" si="190"/>
        <v>#N/A</v>
      </c>
      <c r="F851">
        <f t="shared" si="191"/>
        <v>0</v>
      </c>
      <c r="G851">
        <f t="shared" si="192"/>
        <v>0</v>
      </c>
      <c r="H851">
        <f t="shared" si="193"/>
        <v>0</v>
      </c>
      <c r="I851">
        <f t="shared" si="194"/>
        <v>0</v>
      </c>
      <c r="J851">
        <f t="shared" si="195"/>
        <v>0</v>
      </c>
      <c r="K851" s="4" t="e">
        <f t="shared" si="184"/>
        <v>#N/A</v>
      </c>
      <c r="L851" t="e">
        <f t="shared" si="185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6"/>
        <v>0</v>
      </c>
      <c r="B852">
        <f t="shared" si="187"/>
        <v>0</v>
      </c>
      <c r="C852">
        <f t="shared" si="188"/>
        <v>0</v>
      </c>
      <c r="D852">
        <f t="shared" si="189"/>
        <v>0</v>
      </c>
      <c r="E852" t="e">
        <f t="shared" si="190"/>
        <v>#N/A</v>
      </c>
      <c r="F852">
        <f t="shared" si="191"/>
        <v>0</v>
      </c>
      <c r="G852">
        <f t="shared" si="192"/>
        <v>0</v>
      </c>
      <c r="H852">
        <f t="shared" si="193"/>
        <v>0</v>
      </c>
      <c r="I852">
        <f t="shared" si="194"/>
        <v>0</v>
      </c>
      <c r="J852">
        <f t="shared" si="195"/>
        <v>0</v>
      </c>
      <c r="K852" s="4" t="e">
        <f t="shared" si="184"/>
        <v>#N/A</v>
      </c>
      <c r="L852" t="e">
        <f t="shared" si="185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6"/>
        <v>0</v>
      </c>
      <c r="B853">
        <f t="shared" si="187"/>
        <v>0</v>
      </c>
      <c r="C853">
        <f t="shared" si="188"/>
        <v>0</v>
      </c>
      <c r="D853">
        <f t="shared" si="189"/>
        <v>0</v>
      </c>
      <c r="E853" t="e">
        <f t="shared" si="190"/>
        <v>#N/A</v>
      </c>
      <c r="F853">
        <f t="shared" si="191"/>
        <v>0</v>
      </c>
      <c r="G853">
        <f t="shared" si="192"/>
        <v>0</v>
      </c>
      <c r="H853">
        <f t="shared" si="193"/>
        <v>0</v>
      </c>
      <c r="I853">
        <f t="shared" si="194"/>
        <v>0</v>
      </c>
      <c r="J853">
        <f t="shared" si="195"/>
        <v>0</v>
      </c>
      <c r="K853" s="4" t="e">
        <f t="shared" si="184"/>
        <v>#N/A</v>
      </c>
      <c r="L853" t="e">
        <f t="shared" si="185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6"/>
        <v>0</v>
      </c>
      <c r="B854">
        <f t="shared" si="187"/>
        <v>0</v>
      </c>
      <c r="C854">
        <f t="shared" si="188"/>
        <v>0</v>
      </c>
      <c r="D854">
        <f t="shared" si="189"/>
        <v>0</v>
      </c>
      <c r="E854" t="e">
        <f t="shared" si="190"/>
        <v>#N/A</v>
      </c>
      <c r="F854">
        <f t="shared" si="191"/>
        <v>0</v>
      </c>
      <c r="G854">
        <f t="shared" si="192"/>
        <v>0</v>
      </c>
      <c r="H854">
        <f t="shared" si="193"/>
        <v>0</v>
      </c>
      <c r="I854">
        <f t="shared" si="194"/>
        <v>0</v>
      </c>
      <c r="J854">
        <f t="shared" si="195"/>
        <v>0</v>
      </c>
      <c r="K854" s="4" t="e">
        <f t="shared" si="184"/>
        <v>#N/A</v>
      </c>
      <c r="L854" t="e">
        <f t="shared" si="185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6"/>
        <v>0</v>
      </c>
      <c r="B855">
        <f t="shared" si="187"/>
        <v>0</v>
      </c>
      <c r="C855">
        <f t="shared" si="188"/>
        <v>0</v>
      </c>
      <c r="D855">
        <f t="shared" si="189"/>
        <v>0</v>
      </c>
      <c r="E855" t="e">
        <f t="shared" si="190"/>
        <v>#N/A</v>
      </c>
      <c r="F855">
        <f t="shared" si="191"/>
        <v>0</v>
      </c>
      <c r="G855">
        <f t="shared" si="192"/>
        <v>0</v>
      </c>
      <c r="H855">
        <f t="shared" si="193"/>
        <v>0</v>
      </c>
      <c r="I855">
        <f t="shared" si="194"/>
        <v>0</v>
      </c>
      <c r="J855">
        <f t="shared" si="195"/>
        <v>0</v>
      </c>
      <c r="K855" s="4" t="e">
        <f t="shared" si="184"/>
        <v>#N/A</v>
      </c>
      <c r="L855" t="e">
        <f t="shared" si="185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6"/>
        <v>0</v>
      </c>
      <c r="B856">
        <f t="shared" si="187"/>
        <v>0</v>
      </c>
      <c r="C856">
        <f t="shared" si="188"/>
        <v>0</v>
      </c>
      <c r="D856">
        <f t="shared" si="189"/>
        <v>0</v>
      </c>
      <c r="E856" t="e">
        <f t="shared" si="190"/>
        <v>#N/A</v>
      </c>
      <c r="F856">
        <f t="shared" si="191"/>
        <v>0</v>
      </c>
      <c r="G856">
        <f t="shared" si="192"/>
        <v>0</v>
      </c>
      <c r="H856">
        <f t="shared" si="193"/>
        <v>0</v>
      </c>
      <c r="I856">
        <f t="shared" si="194"/>
        <v>0</v>
      </c>
      <c r="J856">
        <f t="shared" si="195"/>
        <v>0</v>
      </c>
      <c r="K856" s="4" t="e">
        <f t="shared" si="184"/>
        <v>#N/A</v>
      </c>
      <c r="L856" t="e">
        <f t="shared" si="185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6"/>
        <v>0</v>
      </c>
      <c r="B857">
        <f t="shared" si="187"/>
        <v>0</v>
      </c>
      <c r="C857">
        <f t="shared" si="188"/>
        <v>0</v>
      </c>
      <c r="D857">
        <f t="shared" si="189"/>
        <v>0</v>
      </c>
      <c r="E857" t="e">
        <f t="shared" si="190"/>
        <v>#N/A</v>
      </c>
      <c r="F857">
        <f t="shared" si="191"/>
        <v>0</v>
      </c>
      <c r="G857">
        <f t="shared" si="192"/>
        <v>0</v>
      </c>
      <c r="H857">
        <f t="shared" si="193"/>
        <v>0</v>
      </c>
      <c r="I857">
        <f t="shared" si="194"/>
        <v>0</v>
      </c>
      <c r="J857">
        <f t="shared" si="195"/>
        <v>0</v>
      </c>
      <c r="K857" s="4" t="e">
        <f t="shared" si="184"/>
        <v>#N/A</v>
      </c>
      <c r="L857" t="e">
        <f t="shared" si="185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6"/>
        <v>0</v>
      </c>
      <c r="B858">
        <f t="shared" si="187"/>
        <v>0</v>
      </c>
      <c r="C858">
        <f t="shared" si="188"/>
        <v>0</v>
      </c>
      <c r="D858">
        <f t="shared" si="189"/>
        <v>0</v>
      </c>
      <c r="E858" t="e">
        <f t="shared" si="190"/>
        <v>#N/A</v>
      </c>
      <c r="F858">
        <f t="shared" si="191"/>
        <v>0</v>
      </c>
      <c r="G858">
        <f t="shared" si="192"/>
        <v>0</v>
      </c>
      <c r="H858">
        <f t="shared" si="193"/>
        <v>0</v>
      </c>
      <c r="I858">
        <f t="shared" si="194"/>
        <v>0</v>
      </c>
      <c r="J858">
        <f t="shared" si="195"/>
        <v>0</v>
      </c>
      <c r="K858" s="4" t="e">
        <f t="shared" si="184"/>
        <v>#N/A</v>
      </c>
      <c r="L858" t="e">
        <f t="shared" si="185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6"/>
        <v>0</v>
      </c>
      <c r="B859">
        <f t="shared" si="187"/>
        <v>0</v>
      </c>
      <c r="C859">
        <f t="shared" si="188"/>
        <v>0</v>
      </c>
      <c r="D859">
        <f t="shared" si="189"/>
        <v>0</v>
      </c>
      <c r="E859" t="e">
        <f t="shared" si="190"/>
        <v>#N/A</v>
      </c>
      <c r="F859">
        <f t="shared" si="191"/>
        <v>0</v>
      </c>
      <c r="G859">
        <f t="shared" si="192"/>
        <v>0</v>
      </c>
      <c r="H859">
        <f t="shared" si="193"/>
        <v>0</v>
      </c>
      <c r="I859">
        <f t="shared" si="194"/>
        <v>0</v>
      </c>
      <c r="J859">
        <f t="shared" si="195"/>
        <v>0</v>
      </c>
      <c r="K859" s="4" t="e">
        <f t="shared" si="184"/>
        <v>#N/A</v>
      </c>
      <c r="L859" t="e">
        <f t="shared" si="185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6"/>
        <v>0</v>
      </c>
      <c r="B860">
        <f t="shared" si="187"/>
        <v>0</v>
      </c>
      <c r="C860">
        <f t="shared" si="188"/>
        <v>0</v>
      </c>
      <c r="D860">
        <f t="shared" si="189"/>
        <v>0</v>
      </c>
      <c r="E860" t="e">
        <f t="shared" si="190"/>
        <v>#N/A</v>
      </c>
      <c r="F860">
        <f t="shared" si="191"/>
        <v>0</v>
      </c>
      <c r="G860">
        <f t="shared" si="192"/>
        <v>0</v>
      </c>
      <c r="H860">
        <f t="shared" si="193"/>
        <v>0</v>
      </c>
      <c r="I860">
        <f t="shared" si="194"/>
        <v>0</v>
      </c>
      <c r="J860">
        <f t="shared" si="195"/>
        <v>0</v>
      </c>
      <c r="K860" s="4" t="e">
        <f t="shared" si="184"/>
        <v>#N/A</v>
      </c>
      <c r="L860" t="e">
        <f t="shared" si="185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6"/>
        <v>0</v>
      </c>
      <c r="B861">
        <f t="shared" si="187"/>
        <v>0</v>
      </c>
      <c r="C861">
        <f t="shared" si="188"/>
        <v>0</v>
      </c>
      <c r="D861">
        <f t="shared" si="189"/>
        <v>0</v>
      </c>
      <c r="E861" t="e">
        <f t="shared" si="190"/>
        <v>#N/A</v>
      </c>
      <c r="F861">
        <f t="shared" si="191"/>
        <v>0</v>
      </c>
      <c r="G861">
        <f t="shared" si="192"/>
        <v>0</v>
      </c>
      <c r="H861">
        <f t="shared" si="193"/>
        <v>0</v>
      </c>
      <c r="I861">
        <f t="shared" si="194"/>
        <v>0</v>
      </c>
      <c r="J861">
        <f t="shared" si="195"/>
        <v>0</v>
      </c>
      <c r="K861" s="4" t="e">
        <f t="shared" si="184"/>
        <v>#N/A</v>
      </c>
      <c r="L861" t="e">
        <f t="shared" si="185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6"/>
        <v>0</v>
      </c>
      <c r="B862">
        <f t="shared" si="187"/>
        <v>0</v>
      </c>
      <c r="C862">
        <f t="shared" si="188"/>
        <v>0</v>
      </c>
      <c r="D862">
        <f t="shared" si="189"/>
        <v>0</v>
      </c>
      <c r="E862" t="e">
        <f t="shared" si="190"/>
        <v>#N/A</v>
      </c>
      <c r="F862">
        <f t="shared" si="191"/>
        <v>0</v>
      </c>
      <c r="G862">
        <f t="shared" si="192"/>
        <v>0</v>
      </c>
      <c r="H862">
        <f t="shared" si="193"/>
        <v>0</v>
      </c>
      <c r="I862">
        <f t="shared" si="194"/>
        <v>0</v>
      </c>
      <c r="J862">
        <f t="shared" si="195"/>
        <v>0</v>
      </c>
      <c r="K862" s="4" t="e">
        <f t="shared" si="184"/>
        <v>#N/A</v>
      </c>
      <c r="L862" t="e">
        <f t="shared" si="185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6"/>
        <v>0</v>
      </c>
      <c r="B863">
        <f t="shared" si="187"/>
        <v>0</v>
      </c>
      <c r="C863">
        <f t="shared" si="188"/>
        <v>0</v>
      </c>
      <c r="D863">
        <f t="shared" si="189"/>
        <v>0</v>
      </c>
      <c r="E863" t="e">
        <f t="shared" si="190"/>
        <v>#N/A</v>
      </c>
      <c r="F863">
        <f t="shared" si="191"/>
        <v>0</v>
      </c>
      <c r="G863">
        <f t="shared" si="192"/>
        <v>0</v>
      </c>
      <c r="H863">
        <f t="shared" si="193"/>
        <v>0</v>
      </c>
      <c r="I863">
        <f t="shared" si="194"/>
        <v>0</v>
      </c>
      <c r="J863">
        <f t="shared" si="195"/>
        <v>0</v>
      </c>
      <c r="K863" s="4" t="e">
        <f t="shared" si="184"/>
        <v>#N/A</v>
      </c>
      <c r="L863" t="e">
        <f t="shared" si="185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6"/>
        <v>0</v>
      </c>
      <c r="B864">
        <f t="shared" si="187"/>
        <v>0</v>
      </c>
      <c r="C864">
        <f t="shared" si="188"/>
        <v>0</v>
      </c>
      <c r="D864">
        <f t="shared" si="189"/>
        <v>0</v>
      </c>
      <c r="E864" t="e">
        <f t="shared" si="190"/>
        <v>#N/A</v>
      </c>
      <c r="F864">
        <f t="shared" si="191"/>
        <v>0</v>
      </c>
      <c r="G864">
        <f t="shared" si="192"/>
        <v>0</v>
      </c>
      <c r="H864">
        <f t="shared" si="193"/>
        <v>0</v>
      </c>
      <c r="I864">
        <f t="shared" si="194"/>
        <v>0</v>
      </c>
      <c r="J864">
        <f t="shared" si="195"/>
        <v>0</v>
      </c>
      <c r="K864" s="4" t="e">
        <f t="shared" si="184"/>
        <v>#N/A</v>
      </c>
      <c r="L864" t="e">
        <f t="shared" si="185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6"/>
        <v>0</v>
      </c>
      <c r="B865">
        <f t="shared" si="187"/>
        <v>0</v>
      </c>
      <c r="C865">
        <f t="shared" si="188"/>
        <v>0</v>
      </c>
      <c r="D865">
        <f t="shared" si="189"/>
        <v>0</v>
      </c>
      <c r="E865" t="e">
        <f t="shared" si="190"/>
        <v>#N/A</v>
      </c>
      <c r="F865">
        <f t="shared" si="191"/>
        <v>0</v>
      </c>
      <c r="G865">
        <f t="shared" si="192"/>
        <v>0</v>
      </c>
      <c r="H865">
        <f t="shared" si="193"/>
        <v>0</v>
      </c>
      <c r="I865">
        <f t="shared" si="194"/>
        <v>0</v>
      </c>
      <c r="J865">
        <f t="shared" si="195"/>
        <v>0</v>
      </c>
      <c r="K865" s="4" t="e">
        <f t="shared" si="184"/>
        <v>#N/A</v>
      </c>
      <c r="L865" t="e">
        <f t="shared" si="185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6"/>
        <v>0</v>
      </c>
      <c r="B866">
        <f t="shared" si="187"/>
        <v>0</v>
      </c>
      <c r="C866">
        <f t="shared" si="188"/>
        <v>0</v>
      </c>
      <c r="D866">
        <f t="shared" si="189"/>
        <v>0</v>
      </c>
      <c r="E866" t="e">
        <f t="shared" si="190"/>
        <v>#N/A</v>
      </c>
      <c r="F866">
        <f t="shared" si="191"/>
        <v>0</v>
      </c>
      <c r="G866">
        <f t="shared" si="192"/>
        <v>0</v>
      </c>
      <c r="H866">
        <f t="shared" si="193"/>
        <v>0</v>
      </c>
      <c r="I866">
        <f t="shared" si="194"/>
        <v>0</v>
      </c>
      <c r="J866">
        <f t="shared" si="195"/>
        <v>0</v>
      </c>
      <c r="K866" s="4" t="e">
        <f t="shared" si="184"/>
        <v>#N/A</v>
      </c>
      <c r="L866" t="e">
        <f t="shared" si="185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6"/>
        <v>0</v>
      </c>
      <c r="B867">
        <f t="shared" si="187"/>
        <v>0</v>
      </c>
      <c r="C867">
        <f t="shared" si="188"/>
        <v>0</v>
      </c>
      <c r="D867">
        <f t="shared" si="189"/>
        <v>0</v>
      </c>
      <c r="E867" t="e">
        <f t="shared" si="190"/>
        <v>#N/A</v>
      </c>
      <c r="F867">
        <f t="shared" si="191"/>
        <v>0</v>
      </c>
      <c r="G867">
        <f t="shared" si="192"/>
        <v>0</v>
      </c>
      <c r="H867">
        <f t="shared" si="193"/>
        <v>0</v>
      </c>
      <c r="I867">
        <f t="shared" si="194"/>
        <v>0</v>
      </c>
      <c r="J867">
        <f t="shared" si="195"/>
        <v>0</v>
      </c>
      <c r="K867" s="4" t="e">
        <f t="shared" si="184"/>
        <v>#N/A</v>
      </c>
      <c r="L867" t="e">
        <f t="shared" si="185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6"/>
        <v>0</v>
      </c>
      <c r="B868">
        <f t="shared" si="187"/>
        <v>0</v>
      </c>
      <c r="C868">
        <f t="shared" si="188"/>
        <v>0</v>
      </c>
      <c r="D868">
        <f t="shared" si="189"/>
        <v>0</v>
      </c>
      <c r="E868" t="e">
        <f t="shared" si="190"/>
        <v>#N/A</v>
      </c>
      <c r="F868">
        <f t="shared" si="191"/>
        <v>0</v>
      </c>
      <c r="G868">
        <f t="shared" si="192"/>
        <v>0</v>
      </c>
      <c r="H868">
        <f t="shared" si="193"/>
        <v>0</v>
      </c>
      <c r="I868">
        <f t="shared" si="194"/>
        <v>0</v>
      </c>
      <c r="J868">
        <f t="shared" si="195"/>
        <v>0</v>
      </c>
      <c r="K868" s="4" t="e">
        <f t="shared" si="184"/>
        <v>#N/A</v>
      </c>
      <c r="L868" t="e">
        <f t="shared" si="185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6"/>
        <v>0</v>
      </c>
      <c r="B869">
        <f t="shared" si="187"/>
        <v>0</v>
      </c>
      <c r="C869">
        <f t="shared" si="188"/>
        <v>0</v>
      </c>
      <c r="D869">
        <f t="shared" si="189"/>
        <v>0</v>
      </c>
      <c r="E869" t="e">
        <f t="shared" si="190"/>
        <v>#N/A</v>
      </c>
      <c r="F869">
        <f t="shared" si="191"/>
        <v>0</v>
      </c>
      <c r="G869">
        <f t="shared" si="192"/>
        <v>0</v>
      </c>
      <c r="H869">
        <f t="shared" si="193"/>
        <v>0</v>
      </c>
      <c r="I869">
        <f t="shared" si="194"/>
        <v>0</v>
      </c>
      <c r="J869">
        <f t="shared" si="195"/>
        <v>0</v>
      </c>
      <c r="K869" s="4" t="e">
        <f t="shared" si="184"/>
        <v>#N/A</v>
      </c>
      <c r="L869" t="e">
        <f t="shared" si="185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6"/>
        <v>0</v>
      </c>
      <c r="B870">
        <f t="shared" si="187"/>
        <v>0</v>
      </c>
      <c r="C870">
        <f t="shared" si="188"/>
        <v>0</v>
      </c>
      <c r="D870">
        <f t="shared" si="189"/>
        <v>0</v>
      </c>
      <c r="E870" t="e">
        <f t="shared" si="190"/>
        <v>#N/A</v>
      </c>
      <c r="F870">
        <f t="shared" si="191"/>
        <v>0</v>
      </c>
      <c r="G870">
        <f t="shared" si="192"/>
        <v>0</v>
      </c>
      <c r="H870">
        <f t="shared" si="193"/>
        <v>0</v>
      </c>
      <c r="I870">
        <f t="shared" si="194"/>
        <v>0</v>
      </c>
      <c r="J870">
        <f t="shared" si="195"/>
        <v>0</v>
      </c>
      <c r="K870" s="4" t="e">
        <f t="shared" si="184"/>
        <v>#N/A</v>
      </c>
      <c r="L870" t="e">
        <f t="shared" si="185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6"/>
        <v>0</v>
      </c>
      <c r="B871">
        <f t="shared" si="187"/>
        <v>0</v>
      </c>
      <c r="C871">
        <f t="shared" si="188"/>
        <v>0</v>
      </c>
      <c r="D871">
        <f t="shared" si="189"/>
        <v>0</v>
      </c>
      <c r="E871" t="e">
        <f t="shared" si="190"/>
        <v>#N/A</v>
      </c>
      <c r="F871">
        <f t="shared" si="191"/>
        <v>0</v>
      </c>
      <c r="G871">
        <f t="shared" si="192"/>
        <v>0</v>
      </c>
      <c r="H871">
        <f t="shared" si="193"/>
        <v>0</v>
      </c>
      <c r="I871">
        <f t="shared" si="194"/>
        <v>0</v>
      </c>
      <c r="J871">
        <f t="shared" si="195"/>
        <v>0</v>
      </c>
      <c r="K871" s="4" t="e">
        <f t="shared" si="184"/>
        <v>#N/A</v>
      </c>
      <c r="L871" t="e">
        <f t="shared" si="185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6"/>
        <v>0</v>
      </c>
      <c r="B872">
        <f t="shared" si="187"/>
        <v>0</v>
      </c>
      <c r="C872">
        <f t="shared" si="188"/>
        <v>0</v>
      </c>
      <c r="D872">
        <f t="shared" si="189"/>
        <v>0</v>
      </c>
      <c r="E872" t="e">
        <f t="shared" si="190"/>
        <v>#N/A</v>
      </c>
      <c r="F872">
        <f t="shared" si="191"/>
        <v>0</v>
      </c>
      <c r="G872">
        <f t="shared" si="192"/>
        <v>0</v>
      </c>
      <c r="H872">
        <f t="shared" si="193"/>
        <v>0</v>
      </c>
      <c r="I872">
        <f t="shared" si="194"/>
        <v>0</v>
      </c>
      <c r="J872">
        <f t="shared" si="195"/>
        <v>0</v>
      </c>
      <c r="K872" s="4" t="e">
        <f t="shared" si="184"/>
        <v>#N/A</v>
      </c>
      <c r="L872" t="e">
        <f t="shared" si="185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6"/>
        <v>0</v>
      </c>
      <c r="B873">
        <f t="shared" si="187"/>
        <v>0</v>
      </c>
      <c r="C873">
        <f t="shared" si="188"/>
        <v>0</v>
      </c>
      <c r="D873">
        <f t="shared" si="189"/>
        <v>0</v>
      </c>
      <c r="E873" t="e">
        <f t="shared" si="190"/>
        <v>#N/A</v>
      </c>
      <c r="F873">
        <f t="shared" si="191"/>
        <v>0</v>
      </c>
      <c r="G873">
        <f t="shared" si="192"/>
        <v>0</v>
      </c>
      <c r="H873">
        <f t="shared" si="193"/>
        <v>0</v>
      </c>
      <c r="I873">
        <f t="shared" si="194"/>
        <v>0</v>
      </c>
      <c r="J873">
        <f t="shared" si="195"/>
        <v>0</v>
      </c>
      <c r="K873" s="4" t="e">
        <f t="shared" si="184"/>
        <v>#N/A</v>
      </c>
      <c r="L873" t="e">
        <f t="shared" si="185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6"/>
        <v>0</v>
      </c>
      <c r="B874">
        <f t="shared" si="187"/>
        <v>0</v>
      </c>
      <c r="C874">
        <f t="shared" si="188"/>
        <v>0</v>
      </c>
      <c r="D874">
        <f t="shared" si="189"/>
        <v>0</v>
      </c>
      <c r="E874" t="e">
        <f t="shared" si="190"/>
        <v>#N/A</v>
      </c>
      <c r="F874">
        <f t="shared" si="191"/>
        <v>0</v>
      </c>
      <c r="G874">
        <f t="shared" si="192"/>
        <v>0</v>
      </c>
      <c r="H874">
        <f t="shared" si="193"/>
        <v>0</v>
      </c>
      <c r="I874">
        <f t="shared" si="194"/>
        <v>0</v>
      </c>
      <c r="J874">
        <f t="shared" si="195"/>
        <v>0</v>
      </c>
      <c r="K874" s="4" t="e">
        <f t="shared" si="184"/>
        <v>#N/A</v>
      </c>
      <c r="L874" t="e">
        <f t="shared" si="185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6"/>
        <v>0</v>
      </c>
      <c r="B875">
        <f t="shared" si="187"/>
        <v>0</v>
      </c>
      <c r="C875">
        <f t="shared" si="188"/>
        <v>0</v>
      </c>
      <c r="D875">
        <f t="shared" si="189"/>
        <v>0</v>
      </c>
      <c r="E875" t="e">
        <f t="shared" si="190"/>
        <v>#N/A</v>
      </c>
      <c r="F875">
        <f t="shared" si="191"/>
        <v>0</v>
      </c>
      <c r="G875">
        <f t="shared" si="192"/>
        <v>0</v>
      </c>
      <c r="H875">
        <f t="shared" si="193"/>
        <v>0</v>
      </c>
      <c r="I875">
        <f t="shared" si="194"/>
        <v>0</v>
      </c>
      <c r="J875">
        <f t="shared" si="195"/>
        <v>0</v>
      </c>
      <c r="K875" s="4" t="e">
        <f t="shared" si="184"/>
        <v>#N/A</v>
      </c>
      <c r="L875" t="e">
        <f t="shared" si="185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6"/>
        <v>0</v>
      </c>
      <c r="B876">
        <f t="shared" si="187"/>
        <v>0</v>
      </c>
      <c r="C876">
        <f t="shared" si="188"/>
        <v>0</v>
      </c>
      <c r="D876">
        <f t="shared" si="189"/>
        <v>0</v>
      </c>
      <c r="E876" t="e">
        <f t="shared" si="190"/>
        <v>#N/A</v>
      </c>
      <c r="F876">
        <f t="shared" si="191"/>
        <v>0</v>
      </c>
      <c r="G876">
        <f t="shared" si="192"/>
        <v>0</v>
      </c>
      <c r="H876">
        <f t="shared" si="193"/>
        <v>0</v>
      </c>
      <c r="I876">
        <f t="shared" si="194"/>
        <v>0</v>
      </c>
      <c r="J876">
        <f t="shared" si="195"/>
        <v>0</v>
      </c>
      <c r="K876" s="4" t="e">
        <f t="shared" ref="K876:K939" si="198">IF(LEFT(B876,3)="DBM",0,VLOOKUP(E876,tabela,2,FALSE))</f>
        <v>#N/A</v>
      </c>
      <c r="L876" t="e">
        <f t="shared" ref="L876:L939" si="199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6"/>
        <v>0</v>
      </c>
      <c r="B877">
        <f t="shared" si="187"/>
        <v>0</v>
      </c>
      <c r="C877">
        <f t="shared" si="188"/>
        <v>0</v>
      </c>
      <c r="D877">
        <f t="shared" si="189"/>
        <v>0</v>
      </c>
      <c r="E877" t="e">
        <f t="shared" si="190"/>
        <v>#N/A</v>
      </c>
      <c r="F877">
        <f t="shared" si="191"/>
        <v>0</v>
      </c>
      <c r="G877">
        <f t="shared" si="192"/>
        <v>0</v>
      </c>
      <c r="H877">
        <f t="shared" si="193"/>
        <v>0</v>
      </c>
      <c r="I877">
        <f t="shared" si="194"/>
        <v>0</v>
      </c>
      <c r="J877">
        <f t="shared" si="195"/>
        <v>0</v>
      </c>
      <c r="K877" s="4" t="e">
        <f t="shared" si="198"/>
        <v>#N/A</v>
      </c>
      <c r="L877" t="e">
        <f t="shared" si="199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6"/>
        <v>0</v>
      </c>
      <c r="B878">
        <f t="shared" si="187"/>
        <v>0</v>
      </c>
      <c r="C878">
        <f t="shared" si="188"/>
        <v>0</v>
      </c>
      <c r="D878">
        <f t="shared" si="189"/>
        <v>0</v>
      </c>
      <c r="E878" t="e">
        <f t="shared" si="190"/>
        <v>#N/A</v>
      </c>
      <c r="F878">
        <f t="shared" si="191"/>
        <v>0</v>
      </c>
      <c r="G878">
        <f t="shared" si="192"/>
        <v>0</v>
      </c>
      <c r="H878">
        <f t="shared" si="193"/>
        <v>0</v>
      </c>
      <c r="I878">
        <f t="shared" si="194"/>
        <v>0</v>
      </c>
      <c r="J878">
        <f t="shared" si="195"/>
        <v>0</v>
      </c>
      <c r="K878" s="4" t="e">
        <f t="shared" si="198"/>
        <v>#N/A</v>
      </c>
      <c r="L878" t="e">
        <f t="shared" si="199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6"/>
        <v>0</v>
      </c>
      <c r="B879">
        <f t="shared" si="187"/>
        <v>0</v>
      </c>
      <c r="C879">
        <f t="shared" si="188"/>
        <v>0</v>
      </c>
      <c r="D879">
        <f t="shared" si="189"/>
        <v>0</v>
      </c>
      <c r="E879" t="e">
        <f t="shared" si="190"/>
        <v>#N/A</v>
      </c>
      <c r="F879">
        <f t="shared" si="191"/>
        <v>0</v>
      </c>
      <c r="G879">
        <f t="shared" si="192"/>
        <v>0</v>
      </c>
      <c r="H879">
        <f t="shared" si="193"/>
        <v>0</v>
      </c>
      <c r="I879">
        <f t="shared" si="194"/>
        <v>0</v>
      </c>
      <c r="J879">
        <f t="shared" si="195"/>
        <v>0</v>
      </c>
      <c r="K879" s="4" t="e">
        <f t="shared" si="198"/>
        <v>#N/A</v>
      </c>
      <c r="L879" t="e">
        <f t="shared" si="199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6"/>
        <v>0</v>
      </c>
      <c r="B880">
        <f t="shared" si="187"/>
        <v>0</v>
      </c>
      <c r="C880">
        <f t="shared" si="188"/>
        <v>0</v>
      </c>
      <c r="D880">
        <f t="shared" si="189"/>
        <v>0</v>
      </c>
      <c r="E880" t="e">
        <f t="shared" si="190"/>
        <v>#N/A</v>
      </c>
      <c r="F880">
        <f t="shared" si="191"/>
        <v>0</v>
      </c>
      <c r="G880">
        <f t="shared" si="192"/>
        <v>0</v>
      </c>
      <c r="H880">
        <f t="shared" si="193"/>
        <v>0</v>
      </c>
      <c r="I880">
        <f t="shared" si="194"/>
        <v>0</v>
      </c>
      <c r="J880">
        <f t="shared" si="195"/>
        <v>0</v>
      </c>
      <c r="K880" s="4" t="e">
        <f t="shared" si="198"/>
        <v>#N/A</v>
      </c>
      <c r="L880" t="e">
        <f t="shared" si="199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6"/>
        <v>0</v>
      </c>
      <c r="B881">
        <f t="shared" si="187"/>
        <v>0</v>
      </c>
      <c r="C881">
        <f t="shared" si="188"/>
        <v>0</v>
      </c>
      <c r="D881">
        <f t="shared" si="189"/>
        <v>0</v>
      </c>
      <c r="E881" t="e">
        <f t="shared" si="190"/>
        <v>#N/A</v>
      </c>
      <c r="F881">
        <f t="shared" si="191"/>
        <v>0</v>
      </c>
      <c r="G881">
        <f t="shared" si="192"/>
        <v>0</v>
      </c>
      <c r="H881">
        <f t="shared" si="193"/>
        <v>0</v>
      </c>
      <c r="I881">
        <f t="shared" si="194"/>
        <v>0</v>
      </c>
      <c r="J881">
        <f t="shared" si="195"/>
        <v>0</v>
      </c>
      <c r="K881" s="4" t="e">
        <f t="shared" si="198"/>
        <v>#N/A</v>
      </c>
      <c r="L881" t="e">
        <f t="shared" si="199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6"/>
        <v>0</v>
      </c>
      <c r="B882">
        <f t="shared" si="187"/>
        <v>0</v>
      </c>
      <c r="C882">
        <f t="shared" si="188"/>
        <v>0</v>
      </c>
      <c r="D882">
        <f t="shared" si="189"/>
        <v>0</v>
      </c>
      <c r="E882" t="e">
        <f t="shared" si="190"/>
        <v>#N/A</v>
      </c>
      <c r="F882">
        <f t="shared" si="191"/>
        <v>0</v>
      </c>
      <c r="G882">
        <f t="shared" si="192"/>
        <v>0</v>
      </c>
      <c r="H882">
        <f t="shared" si="193"/>
        <v>0</v>
      </c>
      <c r="I882">
        <f t="shared" si="194"/>
        <v>0</v>
      </c>
      <c r="J882">
        <f t="shared" si="195"/>
        <v>0</v>
      </c>
      <c r="K882" s="4" t="e">
        <f t="shared" si="198"/>
        <v>#N/A</v>
      </c>
      <c r="L882" t="e">
        <f t="shared" si="199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6"/>
        <v>0</v>
      </c>
      <c r="B883">
        <f t="shared" si="187"/>
        <v>0</v>
      </c>
      <c r="C883">
        <f t="shared" si="188"/>
        <v>0</v>
      </c>
      <c r="D883">
        <f t="shared" si="189"/>
        <v>0</v>
      </c>
      <c r="E883" t="e">
        <f t="shared" si="190"/>
        <v>#N/A</v>
      </c>
      <c r="F883">
        <f t="shared" si="191"/>
        <v>0</v>
      </c>
      <c r="G883">
        <f t="shared" si="192"/>
        <v>0</v>
      </c>
      <c r="H883">
        <f t="shared" si="193"/>
        <v>0</v>
      </c>
      <c r="I883">
        <f t="shared" si="194"/>
        <v>0</v>
      </c>
      <c r="J883">
        <f t="shared" si="195"/>
        <v>0</v>
      </c>
      <c r="K883" s="4" t="e">
        <f t="shared" si="198"/>
        <v>#N/A</v>
      </c>
      <c r="L883" t="e">
        <f t="shared" si="199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6"/>
        <v>0</v>
      </c>
      <c r="B884">
        <f t="shared" si="187"/>
        <v>0</v>
      </c>
      <c r="C884">
        <f t="shared" si="188"/>
        <v>0</v>
      </c>
      <c r="D884">
        <f t="shared" si="189"/>
        <v>0</v>
      </c>
      <c r="E884" t="e">
        <f t="shared" si="190"/>
        <v>#N/A</v>
      </c>
      <c r="F884">
        <f t="shared" si="191"/>
        <v>0</v>
      </c>
      <c r="G884">
        <f t="shared" si="192"/>
        <v>0</v>
      </c>
      <c r="H884">
        <f t="shared" si="193"/>
        <v>0</v>
      </c>
      <c r="I884">
        <f t="shared" si="194"/>
        <v>0</v>
      </c>
      <c r="J884">
        <f t="shared" si="195"/>
        <v>0</v>
      </c>
      <c r="K884" s="4" t="e">
        <f t="shared" si="198"/>
        <v>#N/A</v>
      </c>
      <c r="L884" t="e">
        <f t="shared" si="199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6"/>
        <v>0</v>
      </c>
      <c r="B885">
        <f t="shared" si="187"/>
        <v>0</v>
      </c>
      <c r="C885">
        <f t="shared" si="188"/>
        <v>0</v>
      </c>
      <c r="D885">
        <f t="shared" si="189"/>
        <v>0</v>
      </c>
      <c r="E885" t="e">
        <f t="shared" si="190"/>
        <v>#N/A</v>
      </c>
      <c r="F885">
        <f t="shared" si="191"/>
        <v>0</v>
      </c>
      <c r="G885">
        <f t="shared" si="192"/>
        <v>0</v>
      </c>
      <c r="H885">
        <f t="shared" si="193"/>
        <v>0</v>
      </c>
      <c r="I885">
        <f t="shared" si="194"/>
        <v>0</v>
      </c>
      <c r="J885">
        <f t="shared" si="195"/>
        <v>0</v>
      </c>
      <c r="K885" s="4" t="e">
        <f t="shared" si="198"/>
        <v>#N/A</v>
      </c>
      <c r="L885" t="e">
        <f t="shared" si="199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6"/>
        <v>0</v>
      </c>
      <c r="B886">
        <f t="shared" si="187"/>
        <v>0</v>
      </c>
      <c r="C886">
        <f t="shared" si="188"/>
        <v>0</v>
      </c>
      <c r="D886">
        <f t="shared" si="189"/>
        <v>0</v>
      </c>
      <c r="E886" t="e">
        <f t="shared" si="190"/>
        <v>#N/A</v>
      </c>
      <c r="F886">
        <f t="shared" si="191"/>
        <v>0</v>
      </c>
      <c r="G886">
        <f t="shared" si="192"/>
        <v>0</v>
      </c>
      <c r="H886">
        <f t="shared" si="193"/>
        <v>0</v>
      </c>
      <c r="I886">
        <f t="shared" si="194"/>
        <v>0</v>
      </c>
      <c r="J886">
        <f t="shared" si="195"/>
        <v>0</v>
      </c>
      <c r="K886" s="4" t="e">
        <f t="shared" si="198"/>
        <v>#N/A</v>
      </c>
      <c r="L886" t="e">
        <f t="shared" si="199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6"/>
        <v>0</v>
      </c>
      <c r="B887">
        <f t="shared" si="187"/>
        <v>0</v>
      </c>
      <c r="C887">
        <f t="shared" si="188"/>
        <v>0</v>
      </c>
      <c r="D887">
        <f t="shared" si="189"/>
        <v>0</v>
      </c>
      <c r="E887" t="e">
        <f t="shared" si="190"/>
        <v>#N/A</v>
      </c>
      <c r="F887">
        <f t="shared" si="191"/>
        <v>0</v>
      </c>
      <c r="G887">
        <f t="shared" si="192"/>
        <v>0</v>
      </c>
      <c r="H887">
        <f t="shared" si="193"/>
        <v>0</v>
      </c>
      <c r="I887">
        <f t="shared" si="194"/>
        <v>0</v>
      </c>
      <c r="J887">
        <f t="shared" si="195"/>
        <v>0</v>
      </c>
      <c r="K887" s="4" t="e">
        <f t="shared" si="198"/>
        <v>#N/A</v>
      </c>
      <c r="L887" t="e">
        <f t="shared" si="199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6"/>
        <v>0</v>
      </c>
      <c r="B888">
        <f t="shared" si="187"/>
        <v>0</v>
      </c>
      <c r="C888">
        <f t="shared" si="188"/>
        <v>0</v>
      </c>
      <c r="D888">
        <f t="shared" si="189"/>
        <v>0</v>
      </c>
      <c r="E888" t="e">
        <f t="shared" si="190"/>
        <v>#N/A</v>
      </c>
      <c r="F888">
        <f t="shared" si="191"/>
        <v>0</v>
      </c>
      <c r="G888">
        <f t="shared" si="192"/>
        <v>0</v>
      </c>
      <c r="H888">
        <f t="shared" si="193"/>
        <v>0</v>
      </c>
      <c r="I888">
        <f t="shared" si="194"/>
        <v>0</v>
      </c>
      <c r="J888">
        <f t="shared" si="195"/>
        <v>0</v>
      </c>
      <c r="K888" s="4" t="e">
        <f t="shared" si="198"/>
        <v>#N/A</v>
      </c>
      <c r="L888" t="e">
        <f t="shared" si="199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6"/>
        <v>0</v>
      </c>
      <c r="B889">
        <f t="shared" si="187"/>
        <v>0</v>
      </c>
      <c r="C889">
        <f t="shared" si="188"/>
        <v>0</v>
      </c>
      <c r="D889">
        <f t="shared" si="189"/>
        <v>0</v>
      </c>
      <c r="E889" t="e">
        <f t="shared" si="190"/>
        <v>#N/A</v>
      </c>
      <c r="F889">
        <f t="shared" si="191"/>
        <v>0</v>
      </c>
      <c r="G889">
        <f t="shared" si="192"/>
        <v>0</v>
      </c>
      <c r="H889">
        <f t="shared" si="193"/>
        <v>0</v>
      </c>
      <c r="I889">
        <f t="shared" si="194"/>
        <v>0</v>
      </c>
      <c r="J889">
        <f t="shared" si="195"/>
        <v>0</v>
      </c>
      <c r="K889" s="4" t="e">
        <f t="shared" si="198"/>
        <v>#N/A</v>
      </c>
      <c r="L889" t="e">
        <f t="shared" si="199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6"/>
        <v>0</v>
      </c>
      <c r="B890">
        <f t="shared" si="187"/>
        <v>0</v>
      </c>
      <c r="C890">
        <f t="shared" si="188"/>
        <v>0</v>
      </c>
      <c r="D890">
        <f t="shared" si="189"/>
        <v>0</v>
      </c>
      <c r="E890" t="e">
        <f t="shared" si="190"/>
        <v>#N/A</v>
      </c>
      <c r="F890">
        <f t="shared" si="191"/>
        <v>0</v>
      </c>
      <c r="G890">
        <f t="shared" si="192"/>
        <v>0</v>
      </c>
      <c r="H890">
        <f t="shared" si="193"/>
        <v>0</v>
      </c>
      <c r="I890">
        <f t="shared" si="194"/>
        <v>0</v>
      </c>
      <c r="J890">
        <f t="shared" si="195"/>
        <v>0</v>
      </c>
      <c r="K890" s="4" t="e">
        <f t="shared" si="198"/>
        <v>#N/A</v>
      </c>
      <c r="L890" t="e">
        <f t="shared" si="199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6"/>
        <v>0</v>
      </c>
      <c r="B891">
        <f t="shared" si="187"/>
        <v>0</v>
      </c>
      <c r="C891">
        <f t="shared" si="188"/>
        <v>0</v>
      </c>
      <c r="D891">
        <f t="shared" si="189"/>
        <v>0</v>
      </c>
      <c r="E891" t="e">
        <f t="shared" si="190"/>
        <v>#N/A</v>
      </c>
      <c r="F891">
        <f t="shared" si="191"/>
        <v>0</v>
      </c>
      <c r="G891">
        <f t="shared" si="192"/>
        <v>0</v>
      </c>
      <c r="H891">
        <f t="shared" si="193"/>
        <v>0</v>
      </c>
      <c r="I891">
        <f t="shared" si="194"/>
        <v>0</v>
      </c>
      <c r="J891">
        <f t="shared" si="195"/>
        <v>0</v>
      </c>
      <c r="K891" s="4" t="e">
        <f t="shared" si="198"/>
        <v>#N/A</v>
      </c>
      <c r="L891" t="e">
        <f t="shared" si="199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6"/>
        <v>0</v>
      </c>
      <c r="B892">
        <f t="shared" si="187"/>
        <v>0</v>
      </c>
      <c r="C892">
        <f t="shared" si="188"/>
        <v>0</v>
      </c>
      <c r="D892">
        <f t="shared" si="189"/>
        <v>0</v>
      </c>
      <c r="E892" t="e">
        <f t="shared" si="190"/>
        <v>#N/A</v>
      </c>
      <c r="F892">
        <f t="shared" si="191"/>
        <v>0</v>
      </c>
      <c r="G892">
        <f t="shared" si="192"/>
        <v>0</v>
      </c>
      <c r="H892">
        <f t="shared" si="193"/>
        <v>0</v>
      </c>
      <c r="I892">
        <f t="shared" si="194"/>
        <v>0</v>
      </c>
      <c r="J892">
        <f t="shared" si="195"/>
        <v>0</v>
      </c>
      <c r="K892" s="4" t="e">
        <f t="shared" si="198"/>
        <v>#N/A</v>
      </c>
      <c r="L892" t="e">
        <f t="shared" si="199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6"/>
        <v>0</v>
      </c>
      <c r="B893">
        <f t="shared" si="187"/>
        <v>0</v>
      </c>
      <c r="C893">
        <f t="shared" si="188"/>
        <v>0</v>
      </c>
      <c r="D893">
        <f t="shared" si="189"/>
        <v>0</v>
      </c>
      <c r="E893" t="e">
        <f t="shared" si="190"/>
        <v>#N/A</v>
      </c>
      <c r="F893">
        <f t="shared" si="191"/>
        <v>0</v>
      </c>
      <c r="G893">
        <f t="shared" si="192"/>
        <v>0</v>
      </c>
      <c r="H893">
        <f t="shared" si="193"/>
        <v>0</v>
      </c>
      <c r="I893">
        <f t="shared" si="194"/>
        <v>0</v>
      </c>
      <c r="J893">
        <f t="shared" si="195"/>
        <v>0</v>
      </c>
      <c r="K893" s="4" t="e">
        <f t="shared" si="198"/>
        <v>#N/A</v>
      </c>
      <c r="L893" t="e">
        <f t="shared" si="199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6"/>
        <v>0</v>
      </c>
      <c r="B894">
        <f t="shared" si="187"/>
        <v>0</v>
      </c>
      <c r="C894">
        <f t="shared" si="188"/>
        <v>0</v>
      </c>
      <c r="D894">
        <f t="shared" si="189"/>
        <v>0</v>
      </c>
      <c r="E894" t="e">
        <f t="shared" si="190"/>
        <v>#N/A</v>
      </c>
      <c r="F894">
        <f t="shared" si="191"/>
        <v>0</v>
      </c>
      <c r="G894">
        <f t="shared" si="192"/>
        <v>0</v>
      </c>
      <c r="H894">
        <f t="shared" si="193"/>
        <v>0</v>
      </c>
      <c r="I894">
        <f t="shared" si="194"/>
        <v>0</v>
      </c>
      <c r="J894">
        <f t="shared" si="195"/>
        <v>0</v>
      </c>
      <c r="K894" s="4" t="e">
        <f t="shared" si="198"/>
        <v>#N/A</v>
      </c>
      <c r="L894" t="e">
        <f t="shared" si="199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6"/>
        <v>0</v>
      </c>
      <c r="B895">
        <f t="shared" si="187"/>
        <v>0</v>
      </c>
      <c r="C895">
        <f t="shared" si="188"/>
        <v>0</v>
      </c>
      <c r="D895">
        <f t="shared" si="189"/>
        <v>0</v>
      </c>
      <c r="E895" t="e">
        <f t="shared" si="190"/>
        <v>#N/A</v>
      </c>
      <c r="F895">
        <f t="shared" si="191"/>
        <v>0</v>
      </c>
      <c r="G895">
        <f t="shared" si="192"/>
        <v>0</v>
      </c>
      <c r="H895">
        <f t="shared" si="193"/>
        <v>0</v>
      </c>
      <c r="I895">
        <f t="shared" si="194"/>
        <v>0</v>
      </c>
      <c r="J895">
        <f t="shared" si="195"/>
        <v>0</v>
      </c>
      <c r="K895" s="4" t="e">
        <f t="shared" si="198"/>
        <v>#N/A</v>
      </c>
      <c r="L895" t="e">
        <f t="shared" si="199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6"/>
        <v>0</v>
      </c>
      <c r="B896">
        <f t="shared" si="187"/>
        <v>0</v>
      </c>
      <c r="C896">
        <f t="shared" si="188"/>
        <v>0</v>
      </c>
      <c r="D896">
        <f t="shared" si="189"/>
        <v>0</v>
      </c>
      <c r="E896" t="e">
        <f t="shared" si="190"/>
        <v>#N/A</v>
      </c>
      <c r="F896">
        <f t="shared" si="191"/>
        <v>0</v>
      </c>
      <c r="G896">
        <f t="shared" si="192"/>
        <v>0</v>
      </c>
      <c r="H896">
        <f t="shared" si="193"/>
        <v>0</v>
      </c>
      <c r="I896">
        <f t="shared" si="194"/>
        <v>0</v>
      </c>
      <c r="J896">
        <f t="shared" si="195"/>
        <v>0</v>
      </c>
      <c r="K896" s="4" t="e">
        <f t="shared" si="198"/>
        <v>#N/A</v>
      </c>
      <c r="L896" t="e">
        <f t="shared" si="199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6"/>
        <v>0</v>
      </c>
      <c r="B897">
        <f t="shared" si="187"/>
        <v>0</v>
      </c>
      <c r="C897">
        <f t="shared" si="188"/>
        <v>0</v>
      </c>
      <c r="D897">
        <f t="shared" si="189"/>
        <v>0</v>
      </c>
      <c r="E897" t="e">
        <f t="shared" si="190"/>
        <v>#N/A</v>
      </c>
      <c r="F897">
        <f t="shared" si="191"/>
        <v>0</v>
      </c>
      <c r="G897">
        <f t="shared" si="192"/>
        <v>0</v>
      </c>
      <c r="H897">
        <f t="shared" si="193"/>
        <v>0</v>
      </c>
      <c r="I897">
        <f t="shared" si="194"/>
        <v>0</v>
      </c>
      <c r="J897">
        <f t="shared" si="195"/>
        <v>0</v>
      </c>
      <c r="K897" s="4" t="e">
        <f t="shared" si="198"/>
        <v>#N/A</v>
      </c>
      <c r="L897" t="e">
        <f t="shared" si="199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200">bd_campaign</f>
        <v>0</v>
      </c>
      <c r="B898">
        <f t="shared" ref="B898:B961" si="201">bd_site</f>
        <v>0</v>
      </c>
      <c r="C898">
        <f t="shared" ref="C898:C961" si="202">bd_placement</f>
        <v>0</v>
      </c>
      <c r="D898">
        <f t="shared" ref="D898:D961" si="203">bd_placementID</f>
        <v>0</v>
      </c>
      <c r="E898" t="e">
        <f t="shared" ref="E898:E961" si="204">VLOOKUP(CONCATENATE(bd_adtype,"_",bd_creativetype),tabela,2,FALSE)</f>
        <v>#N/A</v>
      </c>
      <c r="F898">
        <f t="shared" ref="F898:F961" si="205">bd_ad</f>
        <v>0</v>
      </c>
      <c r="G898">
        <f t="shared" ref="G898:G961" si="206">bd_adid</f>
        <v>0</v>
      </c>
      <c r="H898">
        <f t="shared" ref="H898:H961" si="207">bd_creativetype</f>
        <v>0</v>
      </c>
      <c r="I898">
        <f t="shared" ref="I898:I961" si="208">bd_impression</f>
        <v>0</v>
      </c>
      <c r="J898">
        <f t="shared" ref="J898:J961" si="209">bd_clicks</f>
        <v>0</v>
      </c>
      <c r="K898" s="4" t="e">
        <f t="shared" si="198"/>
        <v>#N/A</v>
      </c>
      <c r="L898" t="e">
        <f t="shared" si="199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200"/>
        <v>0</v>
      </c>
      <c r="B899">
        <f t="shared" si="201"/>
        <v>0</v>
      </c>
      <c r="C899">
        <f t="shared" si="202"/>
        <v>0</v>
      </c>
      <c r="D899">
        <f t="shared" si="203"/>
        <v>0</v>
      </c>
      <c r="E899" t="e">
        <f t="shared" si="204"/>
        <v>#N/A</v>
      </c>
      <c r="F899">
        <f t="shared" si="205"/>
        <v>0</v>
      </c>
      <c r="G899">
        <f t="shared" si="206"/>
        <v>0</v>
      </c>
      <c r="H899">
        <f t="shared" si="207"/>
        <v>0</v>
      </c>
      <c r="I899">
        <f t="shared" si="208"/>
        <v>0</v>
      </c>
      <c r="J899">
        <f t="shared" si="209"/>
        <v>0</v>
      </c>
      <c r="K899" s="4" t="e">
        <f t="shared" si="198"/>
        <v>#N/A</v>
      </c>
      <c r="L899" t="e">
        <f t="shared" si="199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200"/>
        <v>0</v>
      </c>
      <c r="B900">
        <f t="shared" si="201"/>
        <v>0</v>
      </c>
      <c r="C900">
        <f t="shared" si="202"/>
        <v>0</v>
      </c>
      <c r="D900">
        <f t="shared" si="203"/>
        <v>0</v>
      </c>
      <c r="E900" t="e">
        <f t="shared" si="204"/>
        <v>#N/A</v>
      </c>
      <c r="F900">
        <f t="shared" si="205"/>
        <v>0</v>
      </c>
      <c r="G900">
        <f t="shared" si="206"/>
        <v>0</v>
      </c>
      <c r="H900">
        <f t="shared" si="207"/>
        <v>0</v>
      </c>
      <c r="I900">
        <f t="shared" si="208"/>
        <v>0</v>
      </c>
      <c r="J900">
        <f t="shared" si="209"/>
        <v>0</v>
      </c>
      <c r="K900" s="4" t="e">
        <f t="shared" si="198"/>
        <v>#N/A</v>
      </c>
      <c r="L900" t="e">
        <f t="shared" si="199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200"/>
        <v>0</v>
      </c>
      <c r="B901">
        <f t="shared" si="201"/>
        <v>0</v>
      </c>
      <c r="C901">
        <f t="shared" si="202"/>
        <v>0</v>
      </c>
      <c r="D901">
        <f t="shared" si="203"/>
        <v>0</v>
      </c>
      <c r="E901" t="e">
        <f t="shared" si="204"/>
        <v>#N/A</v>
      </c>
      <c r="F901">
        <f t="shared" si="205"/>
        <v>0</v>
      </c>
      <c r="G901">
        <f t="shared" si="206"/>
        <v>0</v>
      </c>
      <c r="H901">
        <f t="shared" si="207"/>
        <v>0</v>
      </c>
      <c r="I901">
        <f t="shared" si="208"/>
        <v>0</v>
      </c>
      <c r="J901">
        <f t="shared" si="209"/>
        <v>0</v>
      </c>
      <c r="K901" s="4" t="e">
        <f t="shared" si="198"/>
        <v>#N/A</v>
      </c>
      <c r="L901" t="e">
        <f t="shared" si="199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200"/>
        <v>0</v>
      </c>
      <c r="B902">
        <f t="shared" si="201"/>
        <v>0</v>
      </c>
      <c r="C902">
        <f t="shared" si="202"/>
        <v>0</v>
      </c>
      <c r="D902">
        <f t="shared" si="203"/>
        <v>0</v>
      </c>
      <c r="E902" t="e">
        <f t="shared" si="204"/>
        <v>#N/A</v>
      </c>
      <c r="F902">
        <f t="shared" si="205"/>
        <v>0</v>
      </c>
      <c r="G902">
        <f t="shared" si="206"/>
        <v>0</v>
      </c>
      <c r="H902">
        <f t="shared" si="207"/>
        <v>0</v>
      </c>
      <c r="I902">
        <f t="shared" si="208"/>
        <v>0</v>
      </c>
      <c r="J902">
        <f t="shared" si="209"/>
        <v>0</v>
      </c>
      <c r="K902" s="4" t="e">
        <f t="shared" si="198"/>
        <v>#N/A</v>
      </c>
      <c r="L902" t="e">
        <f t="shared" si="199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200"/>
        <v>0</v>
      </c>
      <c r="B903">
        <f t="shared" si="201"/>
        <v>0</v>
      </c>
      <c r="C903">
        <f t="shared" si="202"/>
        <v>0</v>
      </c>
      <c r="D903">
        <f t="shared" si="203"/>
        <v>0</v>
      </c>
      <c r="E903" t="e">
        <f t="shared" si="204"/>
        <v>#N/A</v>
      </c>
      <c r="F903">
        <f t="shared" si="205"/>
        <v>0</v>
      </c>
      <c r="G903">
        <f t="shared" si="206"/>
        <v>0</v>
      </c>
      <c r="H903">
        <f t="shared" si="207"/>
        <v>0</v>
      </c>
      <c r="I903">
        <f t="shared" si="208"/>
        <v>0</v>
      </c>
      <c r="J903">
        <f t="shared" si="209"/>
        <v>0</v>
      </c>
      <c r="K903" s="4" t="e">
        <f t="shared" si="198"/>
        <v>#N/A</v>
      </c>
      <c r="L903" t="e">
        <f t="shared" si="199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200"/>
        <v>0</v>
      </c>
      <c r="B904">
        <f t="shared" si="201"/>
        <v>0</v>
      </c>
      <c r="C904">
        <f t="shared" si="202"/>
        <v>0</v>
      </c>
      <c r="D904">
        <f t="shared" si="203"/>
        <v>0</v>
      </c>
      <c r="E904" t="e">
        <f t="shared" si="204"/>
        <v>#N/A</v>
      </c>
      <c r="F904">
        <f t="shared" si="205"/>
        <v>0</v>
      </c>
      <c r="G904">
        <f t="shared" si="206"/>
        <v>0</v>
      </c>
      <c r="H904">
        <f t="shared" si="207"/>
        <v>0</v>
      </c>
      <c r="I904">
        <f t="shared" si="208"/>
        <v>0</v>
      </c>
      <c r="J904">
        <f t="shared" si="209"/>
        <v>0</v>
      </c>
      <c r="K904" s="4" t="e">
        <f t="shared" si="198"/>
        <v>#N/A</v>
      </c>
      <c r="L904" t="e">
        <f t="shared" si="199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200"/>
        <v>0</v>
      </c>
      <c r="B905">
        <f t="shared" si="201"/>
        <v>0</v>
      </c>
      <c r="C905">
        <f t="shared" si="202"/>
        <v>0</v>
      </c>
      <c r="D905">
        <f t="shared" si="203"/>
        <v>0</v>
      </c>
      <c r="E905" t="e">
        <f t="shared" si="204"/>
        <v>#N/A</v>
      </c>
      <c r="F905">
        <f t="shared" si="205"/>
        <v>0</v>
      </c>
      <c r="G905">
        <f t="shared" si="206"/>
        <v>0</v>
      </c>
      <c r="H905">
        <f t="shared" si="207"/>
        <v>0</v>
      </c>
      <c r="I905">
        <f t="shared" si="208"/>
        <v>0</v>
      </c>
      <c r="J905">
        <f t="shared" si="209"/>
        <v>0</v>
      </c>
      <c r="K905" s="4" t="e">
        <f t="shared" si="198"/>
        <v>#N/A</v>
      </c>
      <c r="L905" t="e">
        <f t="shared" si="199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200"/>
        <v>0</v>
      </c>
      <c r="B906">
        <f t="shared" si="201"/>
        <v>0</v>
      </c>
      <c r="C906">
        <f t="shared" si="202"/>
        <v>0</v>
      </c>
      <c r="D906">
        <f t="shared" si="203"/>
        <v>0</v>
      </c>
      <c r="E906" t="e">
        <f t="shared" si="204"/>
        <v>#N/A</v>
      </c>
      <c r="F906">
        <f t="shared" si="205"/>
        <v>0</v>
      </c>
      <c r="G906">
        <f t="shared" si="206"/>
        <v>0</v>
      </c>
      <c r="H906">
        <f t="shared" si="207"/>
        <v>0</v>
      </c>
      <c r="I906">
        <f t="shared" si="208"/>
        <v>0</v>
      </c>
      <c r="J906">
        <f t="shared" si="209"/>
        <v>0</v>
      </c>
      <c r="K906" s="4" t="e">
        <f t="shared" si="198"/>
        <v>#N/A</v>
      </c>
      <c r="L906" t="e">
        <f t="shared" si="199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200"/>
        <v>0</v>
      </c>
      <c r="B907">
        <f t="shared" si="201"/>
        <v>0</v>
      </c>
      <c r="C907">
        <f t="shared" si="202"/>
        <v>0</v>
      </c>
      <c r="D907">
        <f t="shared" si="203"/>
        <v>0</v>
      </c>
      <c r="E907" t="e">
        <f t="shared" si="204"/>
        <v>#N/A</v>
      </c>
      <c r="F907">
        <f t="shared" si="205"/>
        <v>0</v>
      </c>
      <c r="G907">
        <f t="shared" si="206"/>
        <v>0</v>
      </c>
      <c r="H907">
        <f t="shared" si="207"/>
        <v>0</v>
      </c>
      <c r="I907">
        <f t="shared" si="208"/>
        <v>0</v>
      </c>
      <c r="J907">
        <f t="shared" si="209"/>
        <v>0</v>
      </c>
      <c r="K907" s="4" t="e">
        <f t="shared" si="198"/>
        <v>#N/A</v>
      </c>
      <c r="L907" t="e">
        <f t="shared" si="199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200"/>
        <v>0</v>
      </c>
      <c r="B908">
        <f t="shared" si="201"/>
        <v>0</v>
      </c>
      <c r="C908">
        <f t="shared" si="202"/>
        <v>0</v>
      </c>
      <c r="D908">
        <f t="shared" si="203"/>
        <v>0</v>
      </c>
      <c r="E908" t="e">
        <f t="shared" si="204"/>
        <v>#N/A</v>
      </c>
      <c r="F908">
        <f t="shared" si="205"/>
        <v>0</v>
      </c>
      <c r="G908">
        <f t="shared" si="206"/>
        <v>0</v>
      </c>
      <c r="H908">
        <f t="shared" si="207"/>
        <v>0</v>
      </c>
      <c r="I908">
        <f t="shared" si="208"/>
        <v>0</v>
      </c>
      <c r="J908">
        <f t="shared" si="209"/>
        <v>0</v>
      </c>
      <c r="K908" s="4" t="e">
        <f t="shared" si="198"/>
        <v>#N/A</v>
      </c>
      <c r="L908" t="e">
        <f t="shared" si="199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200"/>
        <v>0</v>
      </c>
      <c r="B909">
        <f t="shared" si="201"/>
        <v>0</v>
      </c>
      <c r="C909">
        <f t="shared" si="202"/>
        <v>0</v>
      </c>
      <c r="D909">
        <f t="shared" si="203"/>
        <v>0</v>
      </c>
      <c r="E909" t="e">
        <f t="shared" si="204"/>
        <v>#N/A</v>
      </c>
      <c r="F909">
        <f t="shared" si="205"/>
        <v>0</v>
      </c>
      <c r="G909">
        <f t="shared" si="206"/>
        <v>0</v>
      </c>
      <c r="H909">
        <f t="shared" si="207"/>
        <v>0</v>
      </c>
      <c r="I909">
        <f t="shared" si="208"/>
        <v>0</v>
      </c>
      <c r="J909">
        <f t="shared" si="209"/>
        <v>0</v>
      </c>
      <c r="K909" s="4" t="e">
        <f t="shared" si="198"/>
        <v>#N/A</v>
      </c>
      <c r="L909" t="e">
        <f t="shared" si="199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200"/>
        <v>0</v>
      </c>
      <c r="B910">
        <f t="shared" si="201"/>
        <v>0</v>
      </c>
      <c r="C910">
        <f t="shared" si="202"/>
        <v>0</v>
      </c>
      <c r="D910">
        <f t="shared" si="203"/>
        <v>0</v>
      </c>
      <c r="E910" t="e">
        <f t="shared" si="204"/>
        <v>#N/A</v>
      </c>
      <c r="F910">
        <f t="shared" si="205"/>
        <v>0</v>
      </c>
      <c r="G910">
        <f t="shared" si="206"/>
        <v>0</v>
      </c>
      <c r="H910">
        <f t="shared" si="207"/>
        <v>0</v>
      </c>
      <c r="I910">
        <f t="shared" si="208"/>
        <v>0</v>
      </c>
      <c r="J910">
        <f t="shared" si="209"/>
        <v>0</v>
      </c>
      <c r="K910" s="4" t="e">
        <f t="shared" si="198"/>
        <v>#N/A</v>
      </c>
      <c r="L910" t="e">
        <f t="shared" si="199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200"/>
        <v>0</v>
      </c>
      <c r="B911">
        <f t="shared" si="201"/>
        <v>0</v>
      </c>
      <c r="C911">
        <f t="shared" si="202"/>
        <v>0</v>
      </c>
      <c r="D911">
        <f t="shared" si="203"/>
        <v>0</v>
      </c>
      <c r="E911" t="e">
        <f t="shared" si="204"/>
        <v>#N/A</v>
      </c>
      <c r="F911">
        <f t="shared" si="205"/>
        <v>0</v>
      </c>
      <c r="G911">
        <f t="shared" si="206"/>
        <v>0</v>
      </c>
      <c r="H911">
        <f t="shared" si="207"/>
        <v>0</v>
      </c>
      <c r="I911">
        <f t="shared" si="208"/>
        <v>0</v>
      </c>
      <c r="J911">
        <f t="shared" si="209"/>
        <v>0</v>
      </c>
      <c r="K911" s="4" t="e">
        <f t="shared" si="198"/>
        <v>#N/A</v>
      </c>
      <c r="L911" t="e">
        <f t="shared" si="199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200"/>
        <v>0</v>
      </c>
      <c r="B912">
        <f t="shared" si="201"/>
        <v>0</v>
      </c>
      <c r="C912">
        <f t="shared" si="202"/>
        <v>0</v>
      </c>
      <c r="D912">
        <f t="shared" si="203"/>
        <v>0</v>
      </c>
      <c r="E912" t="e">
        <f t="shared" si="204"/>
        <v>#N/A</v>
      </c>
      <c r="F912">
        <f t="shared" si="205"/>
        <v>0</v>
      </c>
      <c r="G912">
        <f t="shared" si="206"/>
        <v>0</v>
      </c>
      <c r="H912">
        <f t="shared" si="207"/>
        <v>0</v>
      </c>
      <c r="I912">
        <f t="shared" si="208"/>
        <v>0</v>
      </c>
      <c r="J912">
        <f t="shared" si="209"/>
        <v>0</v>
      </c>
      <c r="K912" s="4" t="e">
        <f t="shared" si="198"/>
        <v>#N/A</v>
      </c>
      <c r="L912" t="e">
        <f t="shared" si="199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200"/>
        <v>0</v>
      </c>
      <c r="B913">
        <f t="shared" si="201"/>
        <v>0</v>
      </c>
      <c r="C913">
        <f t="shared" si="202"/>
        <v>0</v>
      </c>
      <c r="D913">
        <f t="shared" si="203"/>
        <v>0</v>
      </c>
      <c r="E913" t="e">
        <f t="shared" si="204"/>
        <v>#N/A</v>
      </c>
      <c r="F913">
        <f t="shared" si="205"/>
        <v>0</v>
      </c>
      <c r="G913">
        <f t="shared" si="206"/>
        <v>0</v>
      </c>
      <c r="H913">
        <f t="shared" si="207"/>
        <v>0</v>
      </c>
      <c r="I913">
        <f t="shared" si="208"/>
        <v>0</v>
      </c>
      <c r="J913">
        <f t="shared" si="209"/>
        <v>0</v>
      </c>
      <c r="K913" s="4" t="e">
        <f t="shared" si="198"/>
        <v>#N/A</v>
      </c>
      <c r="L913" t="e">
        <f t="shared" si="199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200"/>
        <v>0</v>
      </c>
      <c r="B914">
        <f t="shared" si="201"/>
        <v>0</v>
      </c>
      <c r="C914">
        <f t="shared" si="202"/>
        <v>0</v>
      </c>
      <c r="D914">
        <f t="shared" si="203"/>
        <v>0</v>
      </c>
      <c r="E914" t="e">
        <f t="shared" si="204"/>
        <v>#N/A</v>
      </c>
      <c r="F914">
        <f t="shared" si="205"/>
        <v>0</v>
      </c>
      <c r="G914">
        <f t="shared" si="206"/>
        <v>0</v>
      </c>
      <c r="H914">
        <f t="shared" si="207"/>
        <v>0</v>
      </c>
      <c r="I914">
        <f t="shared" si="208"/>
        <v>0</v>
      </c>
      <c r="J914">
        <f t="shared" si="209"/>
        <v>0</v>
      </c>
      <c r="K914" s="4" t="e">
        <f t="shared" si="198"/>
        <v>#N/A</v>
      </c>
      <c r="L914" t="e">
        <f t="shared" si="199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200"/>
        <v>0</v>
      </c>
      <c r="B915">
        <f t="shared" si="201"/>
        <v>0</v>
      </c>
      <c r="C915">
        <f t="shared" si="202"/>
        <v>0</v>
      </c>
      <c r="D915">
        <f t="shared" si="203"/>
        <v>0</v>
      </c>
      <c r="E915" t="e">
        <f t="shared" si="204"/>
        <v>#N/A</v>
      </c>
      <c r="F915">
        <f t="shared" si="205"/>
        <v>0</v>
      </c>
      <c r="G915">
        <f t="shared" si="206"/>
        <v>0</v>
      </c>
      <c r="H915">
        <f t="shared" si="207"/>
        <v>0</v>
      </c>
      <c r="I915">
        <f t="shared" si="208"/>
        <v>0</v>
      </c>
      <c r="J915">
        <f t="shared" si="209"/>
        <v>0</v>
      </c>
      <c r="K915" s="4" t="e">
        <f t="shared" si="198"/>
        <v>#N/A</v>
      </c>
      <c r="L915" t="e">
        <f t="shared" si="199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200"/>
        <v>0</v>
      </c>
      <c r="B916">
        <f t="shared" si="201"/>
        <v>0</v>
      </c>
      <c r="C916">
        <f t="shared" si="202"/>
        <v>0</v>
      </c>
      <c r="D916">
        <f t="shared" si="203"/>
        <v>0</v>
      </c>
      <c r="E916" t="e">
        <f t="shared" si="204"/>
        <v>#N/A</v>
      </c>
      <c r="F916">
        <f t="shared" si="205"/>
        <v>0</v>
      </c>
      <c r="G916">
        <f t="shared" si="206"/>
        <v>0</v>
      </c>
      <c r="H916">
        <f t="shared" si="207"/>
        <v>0</v>
      </c>
      <c r="I916">
        <f t="shared" si="208"/>
        <v>0</v>
      </c>
      <c r="J916">
        <f t="shared" si="209"/>
        <v>0</v>
      </c>
      <c r="K916" s="4" t="e">
        <f t="shared" si="198"/>
        <v>#N/A</v>
      </c>
      <c r="L916" t="e">
        <f t="shared" si="199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200"/>
        <v>0</v>
      </c>
      <c r="B917">
        <f t="shared" si="201"/>
        <v>0</v>
      </c>
      <c r="C917">
        <f t="shared" si="202"/>
        <v>0</v>
      </c>
      <c r="D917">
        <f t="shared" si="203"/>
        <v>0</v>
      </c>
      <c r="E917" t="e">
        <f t="shared" si="204"/>
        <v>#N/A</v>
      </c>
      <c r="F917">
        <f t="shared" si="205"/>
        <v>0</v>
      </c>
      <c r="G917">
        <f t="shared" si="206"/>
        <v>0</v>
      </c>
      <c r="H917">
        <f t="shared" si="207"/>
        <v>0</v>
      </c>
      <c r="I917">
        <f t="shared" si="208"/>
        <v>0</v>
      </c>
      <c r="J917">
        <f t="shared" si="209"/>
        <v>0</v>
      </c>
      <c r="K917" s="4" t="e">
        <f t="shared" si="198"/>
        <v>#N/A</v>
      </c>
      <c r="L917" t="e">
        <f t="shared" si="199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200"/>
        <v>0</v>
      </c>
      <c r="B918">
        <f t="shared" si="201"/>
        <v>0</v>
      </c>
      <c r="C918">
        <f t="shared" si="202"/>
        <v>0</v>
      </c>
      <c r="D918">
        <f t="shared" si="203"/>
        <v>0</v>
      </c>
      <c r="E918" t="e">
        <f t="shared" si="204"/>
        <v>#N/A</v>
      </c>
      <c r="F918">
        <f t="shared" si="205"/>
        <v>0</v>
      </c>
      <c r="G918">
        <f t="shared" si="206"/>
        <v>0</v>
      </c>
      <c r="H918">
        <f t="shared" si="207"/>
        <v>0</v>
      </c>
      <c r="I918">
        <f t="shared" si="208"/>
        <v>0</v>
      </c>
      <c r="J918">
        <f t="shared" si="209"/>
        <v>0</v>
      </c>
      <c r="K918" s="4" t="e">
        <f t="shared" si="198"/>
        <v>#N/A</v>
      </c>
      <c r="L918" t="e">
        <f t="shared" si="199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200"/>
        <v>0</v>
      </c>
      <c r="B919">
        <f t="shared" si="201"/>
        <v>0</v>
      </c>
      <c r="C919">
        <f t="shared" si="202"/>
        <v>0</v>
      </c>
      <c r="D919">
        <f t="shared" si="203"/>
        <v>0</v>
      </c>
      <c r="E919" t="e">
        <f t="shared" si="204"/>
        <v>#N/A</v>
      </c>
      <c r="F919">
        <f t="shared" si="205"/>
        <v>0</v>
      </c>
      <c r="G919">
        <f t="shared" si="206"/>
        <v>0</v>
      </c>
      <c r="H919">
        <f t="shared" si="207"/>
        <v>0</v>
      </c>
      <c r="I919">
        <f t="shared" si="208"/>
        <v>0</v>
      </c>
      <c r="J919">
        <f t="shared" si="209"/>
        <v>0</v>
      </c>
      <c r="K919" s="4" t="e">
        <f t="shared" si="198"/>
        <v>#N/A</v>
      </c>
      <c r="L919" t="e">
        <f t="shared" si="199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200"/>
        <v>0</v>
      </c>
      <c r="B920">
        <f t="shared" si="201"/>
        <v>0</v>
      </c>
      <c r="C920">
        <f t="shared" si="202"/>
        <v>0</v>
      </c>
      <c r="D920">
        <f t="shared" si="203"/>
        <v>0</v>
      </c>
      <c r="E920" t="e">
        <f t="shared" si="204"/>
        <v>#N/A</v>
      </c>
      <c r="F920">
        <f t="shared" si="205"/>
        <v>0</v>
      </c>
      <c r="G920">
        <f t="shared" si="206"/>
        <v>0</v>
      </c>
      <c r="H920">
        <f t="shared" si="207"/>
        <v>0</v>
      </c>
      <c r="I920">
        <f t="shared" si="208"/>
        <v>0</v>
      </c>
      <c r="J920">
        <f t="shared" si="209"/>
        <v>0</v>
      </c>
      <c r="K920" s="4" t="e">
        <f t="shared" si="198"/>
        <v>#N/A</v>
      </c>
      <c r="L920" t="e">
        <f t="shared" si="199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200"/>
        <v>0</v>
      </c>
      <c r="B921">
        <f t="shared" si="201"/>
        <v>0</v>
      </c>
      <c r="C921">
        <f t="shared" si="202"/>
        <v>0</v>
      </c>
      <c r="D921">
        <f t="shared" si="203"/>
        <v>0</v>
      </c>
      <c r="E921" t="e">
        <f t="shared" si="204"/>
        <v>#N/A</v>
      </c>
      <c r="F921">
        <f t="shared" si="205"/>
        <v>0</v>
      </c>
      <c r="G921">
        <f t="shared" si="206"/>
        <v>0</v>
      </c>
      <c r="H921">
        <f t="shared" si="207"/>
        <v>0</v>
      </c>
      <c r="I921">
        <f t="shared" si="208"/>
        <v>0</v>
      </c>
      <c r="J921">
        <f t="shared" si="209"/>
        <v>0</v>
      </c>
      <c r="K921" s="4" t="e">
        <f t="shared" si="198"/>
        <v>#N/A</v>
      </c>
      <c r="L921" t="e">
        <f t="shared" si="199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200"/>
        <v>0</v>
      </c>
      <c r="B922">
        <f t="shared" si="201"/>
        <v>0</v>
      </c>
      <c r="C922">
        <f t="shared" si="202"/>
        <v>0</v>
      </c>
      <c r="D922">
        <f t="shared" si="203"/>
        <v>0</v>
      </c>
      <c r="E922" t="e">
        <f t="shared" si="204"/>
        <v>#N/A</v>
      </c>
      <c r="F922">
        <f t="shared" si="205"/>
        <v>0</v>
      </c>
      <c r="G922">
        <f t="shared" si="206"/>
        <v>0</v>
      </c>
      <c r="H922">
        <f t="shared" si="207"/>
        <v>0</v>
      </c>
      <c r="I922">
        <f t="shared" si="208"/>
        <v>0</v>
      </c>
      <c r="J922">
        <f t="shared" si="209"/>
        <v>0</v>
      </c>
      <c r="K922" s="4" t="e">
        <f t="shared" si="198"/>
        <v>#N/A</v>
      </c>
      <c r="L922" t="e">
        <f t="shared" si="199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200"/>
        <v>0</v>
      </c>
      <c r="B923">
        <f t="shared" si="201"/>
        <v>0</v>
      </c>
      <c r="C923">
        <f t="shared" si="202"/>
        <v>0</v>
      </c>
      <c r="D923">
        <f t="shared" si="203"/>
        <v>0</v>
      </c>
      <c r="E923" t="e">
        <f t="shared" si="204"/>
        <v>#N/A</v>
      </c>
      <c r="F923">
        <f t="shared" si="205"/>
        <v>0</v>
      </c>
      <c r="G923">
        <f t="shared" si="206"/>
        <v>0</v>
      </c>
      <c r="H923">
        <f t="shared" si="207"/>
        <v>0</v>
      </c>
      <c r="I923">
        <f t="shared" si="208"/>
        <v>0</v>
      </c>
      <c r="J923">
        <f t="shared" si="209"/>
        <v>0</v>
      </c>
      <c r="K923" s="4" t="e">
        <f t="shared" si="198"/>
        <v>#N/A</v>
      </c>
      <c r="L923" t="e">
        <f t="shared" si="199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200"/>
        <v>0</v>
      </c>
      <c r="B924">
        <f t="shared" si="201"/>
        <v>0</v>
      </c>
      <c r="C924">
        <f t="shared" si="202"/>
        <v>0</v>
      </c>
      <c r="D924">
        <f t="shared" si="203"/>
        <v>0</v>
      </c>
      <c r="E924" t="e">
        <f t="shared" si="204"/>
        <v>#N/A</v>
      </c>
      <c r="F924">
        <f t="shared" si="205"/>
        <v>0</v>
      </c>
      <c r="G924">
        <f t="shared" si="206"/>
        <v>0</v>
      </c>
      <c r="H924">
        <f t="shared" si="207"/>
        <v>0</v>
      </c>
      <c r="I924">
        <f t="shared" si="208"/>
        <v>0</v>
      </c>
      <c r="J924">
        <f t="shared" si="209"/>
        <v>0</v>
      </c>
      <c r="K924" s="4" t="e">
        <f t="shared" si="198"/>
        <v>#N/A</v>
      </c>
      <c r="L924" t="e">
        <f t="shared" si="199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200"/>
        <v>0</v>
      </c>
      <c r="B925">
        <f t="shared" si="201"/>
        <v>0</v>
      </c>
      <c r="C925">
        <f t="shared" si="202"/>
        <v>0</v>
      </c>
      <c r="D925">
        <f t="shared" si="203"/>
        <v>0</v>
      </c>
      <c r="E925" t="e">
        <f t="shared" si="204"/>
        <v>#N/A</v>
      </c>
      <c r="F925">
        <f t="shared" si="205"/>
        <v>0</v>
      </c>
      <c r="G925">
        <f t="shared" si="206"/>
        <v>0</v>
      </c>
      <c r="H925">
        <f t="shared" si="207"/>
        <v>0</v>
      </c>
      <c r="I925">
        <f t="shared" si="208"/>
        <v>0</v>
      </c>
      <c r="J925">
        <f t="shared" si="209"/>
        <v>0</v>
      </c>
      <c r="K925" s="4" t="e">
        <f t="shared" si="198"/>
        <v>#N/A</v>
      </c>
      <c r="L925" t="e">
        <f t="shared" si="199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200"/>
        <v>0</v>
      </c>
      <c r="B926">
        <f t="shared" si="201"/>
        <v>0</v>
      </c>
      <c r="C926">
        <f t="shared" si="202"/>
        <v>0</v>
      </c>
      <c r="D926">
        <f t="shared" si="203"/>
        <v>0</v>
      </c>
      <c r="E926" t="e">
        <f t="shared" si="204"/>
        <v>#N/A</v>
      </c>
      <c r="F926">
        <f t="shared" si="205"/>
        <v>0</v>
      </c>
      <c r="G926">
        <f t="shared" si="206"/>
        <v>0</v>
      </c>
      <c r="H926">
        <f t="shared" si="207"/>
        <v>0</v>
      </c>
      <c r="I926">
        <f t="shared" si="208"/>
        <v>0</v>
      </c>
      <c r="J926">
        <f t="shared" si="209"/>
        <v>0</v>
      </c>
      <c r="K926" s="4" t="e">
        <f t="shared" si="198"/>
        <v>#N/A</v>
      </c>
      <c r="L926" t="e">
        <f t="shared" si="199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200"/>
        <v>0</v>
      </c>
      <c r="B927">
        <f t="shared" si="201"/>
        <v>0</v>
      </c>
      <c r="C927">
        <f t="shared" si="202"/>
        <v>0</v>
      </c>
      <c r="D927">
        <f t="shared" si="203"/>
        <v>0</v>
      </c>
      <c r="E927" t="e">
        <f t="shared" si="204"/>
        <v>#N/A</v>
      </c>
      <c r="F927">
        <f t="shared" si="205"/>
        <v>0</v>
      </c>
      <c r="G927">
        <f t="shared" si="206"/>
        <v>0</v>
      </c>
      <c r="H927">
        <f t="shared" si="207"/>
        <v>0</v>
      </c>
      <c r="I927">
        <f t="shared" si="208"/>
        <v>0</v>
      </c>
      <c r="J927">
        <f t="shared" si="209"/>
        <v>0</v>
      </c>
      <c r="K927" s="4" t="e">
        <f t="shared" si="198"/>
        <v>#N/A</v>
      </c>
      <c r="L927" t="e">
        <f t="shared" si="199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200"/>
        <v>0</v>
      </c>
      <c r="B928">
        <f t="shared" si="201"/>
        <v>0</v>
      </c>
      <c r="C928">
        <f t="shared" si="202"/>
        <v>0</v>
      </c>
      <c r="D928">
        <f t="shared" si="203"/>
        <v>0</v>
      </c>
      <c r="E928" t="e">
        <f t="shared" si="204"/>
        <v>#N/A</v>
      </c>
      <c r="F928">
        <f t="shared" si="205"/>
        <v>0</v>
      </c>
      <c r="G928">
        <f t="shared" si="206"/>
        <v>0</v>
      </c>
      <c r="H928">
        <f t="shared" si="207"/>
        <v>0</v>
      </c>
      <c r="I928">
        <f t="shared" si="208"/>
        <v>0</v>
      </c>
      <c r="J928">
        <f t="shared" si="209"/>
        <v>0</v>
      </c>
      <c r="K928" s="4" t="e">
        <f t="shared" si="198"/>
        <v>#N/A</v>
      </c>
      <c r="L928" t="e">
        <f t="shared" si="199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200"/>
        <v>0</v>
      </c>
      <c r="B929">
        <f t="shared" si="201"/>
        <v>0</v>
      </c>
      <c r="C929">
        <f t="shared" si="202"/>
        <v>0</v>
      </c>
      <c r="D929">
        <f t="shared" si="203"/>
        <v>0</v>
      </c>
      <c r="E929" t="e">
        <f t="shared" si="204"/>
        <v>#N/A</v>
      </c>
      <c r="F929">
        <f t="shared" si="205"/>
        <v>0</v>
      </c>
      <c r="G929">
        <f t="shared" si="206"/>
        <v>0</v>
      </c>
      <c r="H929">
        <f t="shared" si="207"/>
        <v>0</v>
      </c>
      <c r="I929">
        <f t="shared" si="208"/>
        <v>0</v>
      </c>
      <c r="J929">
        <f t="shared" si="209"/>
        <v>0</v>
      </c>
      <c r="K929" s="4" t="e">
        <f t="shared" si="198"/>
        <v>#N/A</v>
      </c>
      <c r="L929" t="e">
        <f t="shared" si="199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200"/>
        <v>0</v>
      </c>
      <c r="B930">
        <f t="shared" si="201"/>
        <v>0</v>
      </c>
      <c r="C930">
        <f t="shared" si="202"/>
        <v>0</v>
      </c>
      <c r="D930">
        <f t="shared" si="203"/>
        <v>0</v>
      </c>
      <c r="E930" t="e">
        <f t="shared" si="204"/>
        <v>#N/A</v>
      </c>
      <c r="F930">
        <f t="shared" si="205"/>
        <v>0</v>
      </c>
      <c r="G930">
        <f t="shared" si="206"/>
        <v>0</v>
      </c>
      <c r="H930">
        <f t="shared" si="207"/>
        <v>0</v>
      </c>
      <c r="I930">
        <f t="shared" si="208"/>
        <v>0</v>
      </c>
      <c r="J930">
        <f t="shared" si="209"/>
        <v>0</v>
      </c>
      <c r="K930" s="4" t="e">
        <f t="shared" si="198"/>
        <v>#N/A</v>
      </c>
      <c r="L930" t="e">
        <f t="shared" si="199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200"/>
        <v>0</v>
      </c>
      <c r="B931">
        <f t="shared" si="201"/>
        <v>0</v>
      </c>
      <c r="C931">
        <f t="shared" si="202"/>
        <v>0</v>
      </c>
      <c r="D931">
        <f t="shared" si="203"/>
        <v>0</v>
      </c>
      <c r="E931" t="e">
        <f t="shared" si="204"/>
        <v>#N/A</v>
      </c>
      <c r="F931">
        <f t="shared" si="205"/>
        <v>0</v>
      </c>
      <c r="G931">
        <f t="shared" si="206"/>
        <v>0</v>
      </c>
      <c r="H931">
        <f t="shared" si="207"/>
        <v>0</v>
      </c>
      <c r="I931">
        <f t="shared" si="208"/>
        <v>0</v>
      </c>
      <c r="J931">
        <f t="shared" si="209"/>
        <v>0</v>
      </c>
      <c r="K931" s="4" t="e">
        <f t="shared" si="198"/>
        <v>#N/A</v>
      </c>
      <c r="L931" t="e">
        <f t="shared" si="199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200"/>
        <v>0</v>
      </c>
      <c r="B932">
        <f t="shared" si="201"/>
        <v>0</v>
      </c>
      <c r="C932">
        <f t="shared" si="202"/>
        <v>0</v>
      </c>
      <c r="D932">
        <f t="shared" si="203"/>
        <v>0</v>
      </c>
      <c r="E932" t="e">
        <f t="shared" si="204"/>
        <v>#N/A</v>
      </c>
      <c r="F932">
        <f t="shared" si="205"/>
        <v>0</v>
      </c>
      <c r="G932">
        <f t="shared" si="206"/>
        <v>0</v>
      </c>
      <c r="H932">
        <f t="shared" si="207"/>
        <v>0</v>
      </c>
      <c r="I932">
        <f t="shared" si="208"/>
        <v>0</v>
      </c>
      <c r="J932">
        <f t="shared" si="209"/>
        <v>0</v>
      </c>
      <c r="K932" s="4" t="e">
        <f t="shared" si="198"/>
        <v>#N/A</v>
      </c>
      <c r="L932" t="e">
        <f t="shared" si="199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200"/>
        <v>0</v>
      </c>
      <c r="B933">
        <f t="shared" si="201"/>
        <v>0</v>
      </c>
      <c r="C933">
        <f t="shared" si="202"/>
        <v>0</v>
      </c>
      <c r="D933">
        <f t="shared" si="203"/>
        <v>0</v>
      </c>
      <c r="E933" t="e">
        <f t="shared" si="204"/>
        <v>#N/A</v>
      </c>
      <c r="F933">
        <f t="shared" si="205"/>
        <v>0</v>
      </c>
      <c r="G933">
        <f t="shared" si="206"/>
        <v>0</v>
      </c>
      <c r="H933">
        <f t="shared" si="207"/>
        <v>0</v>
      </c>
      <c r="I933">
        <f t="shared" si="208"/>
        <v>0</v>
      </c>
      <c r="J933">
        <f t="shared" si="209"/>
        <v>0</v>
      </c>
      <c r="K933" s="4" t="e">
        <f t="shared" si="198"/>
        <v>#N/A</v>
      </c>
      <c r="L933" t="e">
        <f t="shared" si="199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200"/>
        <v>0</v>
      </c>
      <c r="B934">
        <f t="shared" si="201"/>
        <v>0</v>
      </c>
      <c r="C934">
        <f t="shared" si="202"/>
        <v>0</v>
      </c>
      <c r="D934">
        <f t="shared" si="203"/>
        <v>0</v>
      </c>
      <c r="E934" t="e">
        <f t="shared" si="204"/>
        <v>#N/A</v>
      </c>
      <c r="F934">
        <f t="shared" si="205"/>
        <v>0</v>
      </c>
      <c r="G934">
        <f t="shared" si="206"/>
        <v>0</v>
      </c>
      <c r="H934">
        <f t="shared" si="207"/>
        <v>0</v>
      </c>
      <c r="I934">
        <f t="shared" si="208"/>
        <v>0</v>
      </c>
      <c r="J934">
        <f t="shared" si="209"/>
        <v>0</v>
      </c>
      <c r="K934" s="4" t="e">
        <f t="shared" si="198"/>
        <v>#N/A</v>
      </c>
      <c r="L934" t="e">
        <f t="shared" si="199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200"/>
        <v>0</v>
      </c>
      <c r="B935">
        <f t="shared" si="201"/>
        <v>0</v>
      </c>
      <c r="C935">
        <f t="shared" si="202"/>
        <v>0</v>
      </c>
      <c r="D935">
        <f t="shared" si="203"/>
        <v>0</v>
      </c>
      <c r="E935" t="e">
        <f t="shared" si="204"/>
        <v>#N/A</v>
      </c>
      <c r="F935">
        <f t="shared" si="205"/>
        <v>0</v>
      </c>
      <c r="G935">
        <f t="shared" si="206"/>
        <v>0</v>
      </c>
      <c r="H935">
        <f t="shared" si="207"/>
        <v>0</v>
      </c>
      <c r="I935">
        <f t="shared" si="208"/>
        <v>0</v>
      </c>
      <c r="J935">
        <f t="shared" si="209"/>
        <v>0</v>
      </c>
      <c r="K935" s="4" t="e">
        <f t="shared" si="198"/>
        <v>#N/A</v>
      </c>
      <c r="L935" t="e">
        <f t="shared" si="199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200"/>
        <v>0</v>
      </c>
      <c r="B936">
        <f t="shared" si="201"/>
        <v>0</v>
      </c>
      <c r="C936">
        <f t="shared" si="202"/>
        <v>0</v>
      </c>
      <c r="D936">
        <f t="shared" si="203"/>
        <v>0</v>
      </c>
      <c r="E936" t="e">
        <f t="shared" si="204"/>
        <v>#N/A</v>
      </c>
      <c r="F936">
        <f t="shared" si="205"/>
        <v>0</v>
      </c>
      <c r="G936">
        <f t="shared" si="206"/>
        <v>0</v>
      </c>
      <c r="H936">
        <f t="shared" si="207"/>
        <v>0</v>
      </c>
      <c r="I936">
        <f t="shared" si="208"/>
        <v>0</v>
      </c>
      <c r="J936">
        <f t="shared" si="209"/>
        <v>0</v>
      </c>
      <c r="K936" s="4" t="e">
        <f t="shared" si="198"/>
        <v>#N/A</v>
      </c>
      <c r="L936" t="e">
        <f t="shared" si="199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200"/>
        <v>0</v>
      </c>
      <c r="B937">
        <f t="shared" si="201"/>
        <v>0</v>
      </c>
      <c r="C937">
        <f t="shared" si="202"/>
        <v>0</v>
      </c>
      <c r="D937">
        <f t="shared" si="203"/>
        <v>0</v>
      </c>
      <c r="E937" t="e">
        <f t="shared" si="204"/>
        <v>#N/A</v>
      </c>
      <c r="F937">
        <f t="shared" si="205"/>
        <v>0</v>
      </c>
      <c r="G937">
        <f t="shared" si="206"/>
        <v>0</v>
      </c>
      <c r="H937">
        <f t="shared" si="207"/>
        <v>0</v>
      </c>
      <c r="I937">
        <f t="shared" si="208"/>
        <v>0</v>
      </c>
      <c r="J937">
        <f t="shared" si="209"/>
        <v>0</v>
      </c>
      <c r="K937" s="4" t="e">
        <f t="shared" si="198"/>
        <v>#N/A</v>
      </c>
      <c r="L937" t="e">
        <f t="shared" si="199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200"/>
        <v>0</v>
      </c>
      <c r="B938">
        <f t="shared" si="201"/>
        <v>0</v>
      </c>
      <c r="C938">
        <f t="shared" si="202"/>
        <v>0</v>
      </c>
      <c r="D938">
        <f t="shared" si="203"/>
        <v>0</v>
      </c>
      <c r="E938" t="e">
        <f t="shared" si="204"/>
        <v>#N/A</v>
      </c>
      <c r="F938">
        <f t="shared" si="205"/>
        <v>0</v>
      </c>
      <c r="G938">
        <f t="shared" si="206"/>
        <v>0</v>
      </c>
      <c r="H938">
        <f t="shared" si="207"/>
        <v>0</v>
      </c>
      <c r="I938">
        <f t="shared" si="208"/>
        <v>0</v>
      </c>
      <c r="J938">
        <f t="shared" si="209"/>
        <v>0</v>
      </c>
      <c r="K938" s="4" t="e">
        <f t="shared" si="198"/>
        <v>#N/A</v>
      </c>
      <c r="L938" t="e">
        <f t="shared" si="199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200"/>
        <v>0</v>
      </c>
      <c r="B939">
        <f t="shared" si="201"/>
        <v>0</v>
      </c>
      <c r="C939">
        <f t="shared" si="202"/>
        <v>0</v>
      </c>
      <c r="D939">
        <f t="shared" si="203"/>
        <v>0</v>
      </c>
      <c r="E939" t="e">
        <f t="shared" si="204"/>
        <v>#N/A</v>
      </c>
      <c r="F939">
        <f t="shared" si="205"/>
        <v>0</v>
      </c>
      <c r="G939">
        <f t="shared" si="206"/>
        <v>0</v>
      </c>
      <c r="H939">
        <f t="shared" si="207"/>
        <v>0</v>
      </c>
      <c r="I939">
        <f t="shared" si="208"/>
        <v>0</v>
      </c>
      <c r="J939">
        <f t="shared" si="209"/>
        <v>0</v>
      </c>
      <c r="K939" s="4" t="e">
        <f t="shared" si="198"/>
        <v>#N/A</v>
      </c>
      <c r="L939" t="e">
        <f t="shared" si="199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200"/>
        <v>0</v>
      </c>
      <c r="B940">
        <f t="shared" si="201"/>
        <v>0</v>
      </c>
      <c r="C940">
        <f t="shared" si="202"/>
        <v>0</v>
      </c>
      <c r="D940">
        <f t="shared" si="203"/>
        <v>0</v>
      </c>
      <c r="E940" t="e">
        <f t="shared" si="204"/>
        <v>#N/A</v>
      </c>
      <c r="F940">
        <f t="shared" si="205"/>
        <v>0</v>
      </c>
      <c r="G940">
        <f t="shared" si="206"/>
        <v>0</v>
      </c>
      <c r="H940">
        <f t="shared" si="207"/>
        <v>0</v>
      </c>
      <c r="I940">
        <f t="shared" si="208"/>
        <v>0</v>
      </c>
      <c r="J940">
        <f t="shared" si="209"/>
        <v>0</v>
      </c>
      <c r="K940" s="4" t="e">
        <f t="shared" ref="K940:K1003" si="212">IF(LEFT(B940,3)="DBM",0,VLOOKUP(E940,tabela,2,FALSE))</f>
        <v>#N/A</v>
      </c>
      <c r="L940" t="e">
        <f t="shared" ref="L940:L1003" si="213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200"/>
        <v>0</v>
      </c>
      <c r="B941">
        <f t="shared" si="201"/>
        <v>0</v>
      </c>
      <c r="C941">
        <f t="shared" si="202"/>
        <v>0</v>
      </c>
      <c r="D941">
        <f t="shared" si="203"/>
        <v>0</v>
      </c>
      <c r="E941" t="e">
        <f t="shared" si="204"/>
        <v>#N/A</v>
      </c>
      <c r="F941">
        <f t="shared" si="205"/>
        <v>0</v>
      </c>
      <c r="G941">
        <f t="shared" si="206"/>
        <v>0</v>
      </c>
      <c r="H941">
        <f t="shared" si="207"/>
        <v>0</v>
      </c>
      <c r="I941">
        <f t="shared" si="208"/>
        <v>0</v>
      </c>
      <c r="J941">
        <f t="shared" si="209"/>
        <v>0</v>
      </c>
      <c r="K941" s="4" t="e">
        <f t="shared" si="212"/>
        <v>#N/A</v>
      </c>
      <c r="L941" t="e">
        <f t="shared" si="213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200"/>
        <v>0</v>
      </c>
      <c r="B942">
        <f t="shared" si="201"/>
        <v>0</v>
      </c>
      <c r="C942">
        <f t="shared" si="202"/>
        <v>0</v>
      </c>
      <c r="D942">
        <f t="shared" si="203"/>
        <v>0</v>
      </c>
      <c r="E942" t="e">
        <f t="shared" si="204"/>
        <v>#N/A</v>
      </c>
      <c r="F942">
        <f t="shared" si="205"/>
        <v>0</v>
      </c>
      <c r="G942">
        <f t="shared" si="206"/>
        <v>0</v>
      </c>
      <c r="H942">
        <f t="shared" si="207"/>
        <v>0</v>
      </c>
      <c r="I942">
        <f t="shared" si="208"/>
        <v>0</v>
      </c>
      <c r="J942">
        <f t="shared" si="209"/>
        <v>0</v>
      </c>
      <c r="K942" s="4" t="e">
        <f t="shared" si="212"/>
        <v>#N/A</v>
      </c>
      <c r="L942" t="e">
        <f t="shared" si="213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200"/>
        <v>0</v>
      </c>
      <c r="B943">
        <f t="shared" si="201"/>
        <v>0</v>
      </c>
      <c r="C943">
        <f t="shared" si="202"/>
        <v>0</v>
      </c>
      <c r="D943">
        <f t="shared" si="203"/>
        <v>0</v>
      </c>
      <c r="E943" t="e">
        <f t="shared" si="204"/>
        <v>#N/A</v>
      </c>
      <c r="F943">
        <f t="shared" si="205"/>
        <v>0</v>
      </c>
      <c r="G943">
        <f t="shared" si="206"/>
        <v>0</v>
      </c>
      <c r="H943">
        <f t="shared" si="207"/>
        <v>0</v>
      </c>
      <c r="I943">
        <f t="shared" si="208"/>
        <v>0</v>
      </c>
      <c r="J943">
        <f t="shared" si="209"/>
        <v>0</v>
      </c>
      <c r="K943" s="4" t="e">
        <f t="shared" si="212"/>
        <v>#N/A</v>
      </c>
      <c r="L943" t="e">
        <f t="shared" si="213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200"/>
        <v>0</v>
      </c>
      <c r="B944">
        <f t="shared" si="201"/>
        <v>0</v>
      </c>
      <c r="C944">
        <f t="shared" si="202"/>
        <v>0</v>
      </c>
      <c r="D944">
        <f t="shared" si="203"/>
        <v>0</v>
      </c>
      <c r="E944" t="e">
        <f t="shared" si="204"/>
        <v>#N/A</v>
      </c>
      <c r="F944">
        <f t="shared" si="205"/>
        <v>0</v>
      </c>
      <c r="G944">
        <f t="shared" si="206"/>
        <v>0</v>
      </c>
      <c r="H944">
        <f t="shared" si="207"/>
        <v>0</v>
      </c>
      <c r="I944">
        <f t="shared" si="208"/>
        <v>0</v>
      </c>
      <c r="J944">
        <f t="shared" si="209"/>
        <v>0</v>
      </c>
      <c r="K944" s="4" t="e">
        <f t="shared" si="212"/>
        <v>#N/A</v>
      </c>
      <c r="L944" t="e">
        <f t="shared" si="213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200"/>
        <v>0</v>
      </c>
      <c r="B945">
        <f t="shared" si="201"/>
        <v>0</v>
      </c>
      <c r="C945">
        <f t="shared" si="202"/>
        <v>0</v>
      </c>
      <c r="D945">
        <f t="shared" si="203"/>
        <v>0</v>
      </c>
      <c r="E945" t="e">
        <f t="shared" si="204"/>
        <v>#N/A</v>
      </c>
      <c r="F945">
        <f t="shared" si="205"/>
        <v>0</v>
      </c>
      <c r="G945">
        <f t="shared" si="206"/>
        <v>0</v>
      </c>
      <c r="H945">
        <f t="shared" si="207"/>
        <v>0</v>
      </c>
      <c r="I945">
        <f t="shared" si="208"/>
        <v>0</v>
      </c>
      <c r="J945">
        <f t="shared" si="209"/>
        <v>0</v>
      </c>
      <c r="K945" s="4" t="e">
        <f t="shared" si="212"/>
        <v>#N/A</v>
      </c>
      <c r="L945" t="e">
        <f t="shared" si="213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200"/>
        <v>0</v>
      </c>
      <c r="B946">
        <f t="shared" si="201"/>
        <v>0</v>
      </c>
      <c r="C946">
        <f t="shared" si="202"/>
        <v>0</v>
      </c>
      <c r="D946">
        <f t="shared" si="203"/>
        <v>0</v>
      </c>
      <c r="E946" t="e">
        <f t="shared" si="204"/>
        <v>#N/A</v>
      </c>
      <c r="F946">
        <f t="shared" si="205"/>
        <v>0</v>
      </c>
      <c r="G946">
        <f t="shared" si="206"/>
        <v>0</v>
      </c>
      <c r="H946">
        <f t="shared" si="207"/>
        <v>0</v>
      </c>
      <c r="I946">
        <f t="shared" si="208"/>
        <v>0</v>
      </c>
      <c r="J946">
        <f t="shared" si="209"/>
        <v>0</v>
      </c>
      <c r="K946" s="4" t="e">
        <f t="shared" si="212"/>
        <v>#N/A</v>
      </c>
      <c r="L946" t="e">
        <f t="shared" si="213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200"/>
        <v>0</v>
      </c>
      <c r="B947">
        <f t="shared" si="201"/>
        <v>0</v>
      </c>
      <c r="C947">
        <f t="shared" si="202"/>
        <v>0</v>
      </c>
      <c r="D947">
        <f t="shared" si="203"/>
        <v>0</v>
      </c>
      <c r="E947" t="e">
        <f t="shared" si="204"/>
        <v>#N/A</v>
      </c>
      <c r="F947">
        <f t="shared" si="205"/>
        <v>0</v>
      </c>
      <c r="G947">
        <f t="shared" si="206"/>
        <v>0</v>
      </c>
      <c r="H947">
        <f t="shared" si="207"/>
        <v>0</v>
      </c>
      <c r="I947">
        <f t="shared" si="208"/>
        <v>0</v>
      </c>
      <c r="J947">
        <f t="shared" si="209"/>
        <v>0</v>
      </c>
      <c r="K947" s="4" t="e">
        <f t="shared" si="212"/>
        <v>#N/A</v>
      </c>
      <c r="L947" t="e">
        <f t="shared" si="213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200"/>
        <v>0</v>
      </c>
      <c r="B948">
        <f t="shared" si="201"/>
        <v>0</v>
      </c>
      <c r="C948">
        <f t="shared" si="202"/>
        <v>0</v>
      </c>
      <c r="D948">
        <f t="shared" si="203"/>
        <v>0</v>
      </c>
      <c r="E948" t="e">
        <f t="shared" si="204"/>
        <v>#N/A</v>
      </c>
      <c r="F948">
        <f t="shared" si="205"/>
        <v>0</v>
      </c>
      <c r="G948">
        <f t="shared" si="206"/>
        <v>0</v>
      </c>
      <c r="H948">
        <f t="shared" si="207"/>
        <v>0</v>
      </c>
      <c r="I948">
        <f t="shared" si="208"/>
        <v>0</v>
      </c>
      <c r="J948">
        <f t="shared" si="209"/>
        <v>0</v>
      </c>
      <c r="K948" s="4" t="e">
        <f t="shared" si="212"/>
        <v>#N/A</v>
      </c>
      <c r="L948" t="e">
        <f t="shared" si="213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200"/>
        <v>0</v>
      </c>
      <c r="B949">
        <f t="shared" si="201"/>
        <v>0</v>
      </c>
      <c r="C949">
        <f t="shared" si="202"/>
        <v>0</v>
      </c>
      <c r="D949">
        <f t="shared" si="203"/>
        <v>0</v>
      </c>
      <c r="E949" t="e">
        <f t="shared" si="204"/>
        <v>#N/A</v>
      </c>
      <c r="F949">
        <f t="shared" si="205"/>
        <v>0</v>
      </c>
      <c r="G949">
        <f t="shared" si="206"/>
        <v>0</v>
      </c>
      <c r="H949">
        <f t="shared" si="207"/>
        <v>0</v>
      </c>
      <c r="I949">
        <f t="shared" si="208"/>
        <v>0</v>
      </c>
      <c r="J949">
        <f t="shared" si="209"/>
        <v>0</v>
      </c>
      <c r="K949" s="4" t="e">
        <f t="shared" si="212"/>
        <v>#N/A</v>
      </c>
      <c r="L949" t="e">
        <f t="shared" si="213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200"/>
        <v>0</v>
      </c>
      <c r="B950">
        <f t="shared" si="201"/>
        <v>0</v>
      </c>
      <c r="C950">
        <f t="shared" si="202"/>
        <v>0</v>
      </c>
      <c r="D950">
        <f t="shared" si="203"/>
        <v>0</v>
      </c>
      <c r="E950" t="e">
        <f t="shared" si="204"/>
        <v>#N/A</v>
      </c>
      <c r="F950">
        <f t="shared" si="205"/>
        <v>0</v>
      </c>
      <c r="G950">
        <f t="shared" si="206"/>
        <v>0</v>
      </c>
      <c r="H950">
        <f t="shared" si="207"/>
        <v>0</v>
      </c>
      <c r="I950">
        <f t="shared" si="208"/>
        <v>0</v>
      </c>
      <c r="J950">
        <f t="shared" si="209"/>
        <v>0</v>
      </c>
      <c r="K950" s="4" t="e">
        <f t="shared" si="212"/>
        <v>#N/A</v>
      </c>
      <c r="L950" t="e">
        <f t="shared" si="213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200"/>
        <v>0</v>
      </c>
      <c r="B951">
        <f t="shared" si="201"/>
        <v>0</v>
      </c>
      <c r="C951">
        <f t="shared" si="202"/>
        <v>0</v>
      </c>
      <c r="D951">
        <f t="shared" si="203"/>
        <v>0</v>
      </c>
      <c r="E951" t="e">
        <f t="shared" si="204"/>
        <v>#N/A</v>
      </c>
      <c r="F951">
        <f t="shared" si="205"/>
        <v>0</v>
      </c>
      <c r="G951">
        <f t="shared" si="206"/>
        <v>0</v>
      </c>
      <c r="H951">
        <f t="shared" si="207"/>
        <v>0</v>
      </c>
      <c r="I951">
        <f t="shared" si="208"/>
        <v>0</v>
      </c>
      <c r="J951">
        <f t="shared" si="209"/>
        <v>0</v>
      </c>
      <c r="K951" s="4" t="e">
        <f t="shared" si="212"/>
        <v>#N/A</v>
      </c>
      <c r="L951" t="e">
        <f t="shared" si="213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200"/>
        <v>0</v>
      </c>
      <c r="B952">
        <f t="shared" si="201"/>
        <v>0</v>
      </c>
      <c r="C952">
        <f t="shared" si="202"/>
        <v>0</v>
      </c>
      <c r="D952">
        <f t="shared" si="203"/>
        <v>0</v>
      </c>
      <c r="E952" t="e">
        <f t="shared" si="204"/>
        <v>#N/A</v>
      </c>
      <c r="F952">
        <f t="shared" si="205"/>
        <v>0</v>
      </c>
      <c r="G952">
        <f t="shared" si="206"/>
        <v>0</v>
      </c>
      <c r="H952">
        <f t="shared" si="207"/>
        <v>0</v>
      </c>
      <c r="I952">
        <f t="shared" si="208"/>
        <v>0</v>
      </c>
      <c r="J952">
        <f t="shared" si="209"/>
        <v>0</v>
      </c>
      <c r="K952" s="4" t="e">
        <f t="shared" si="212"/>
        <v>#N/A</v>
      </c>
      <c r="L952" t="e">
        <f t="shared" si="213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200"/>
        <v>0</v>
      </c>
      <c r="B953">
        <f t="shared" si="201"/>
        <v>0</v>
      </c>
      <c r="C953">
        <f t="shared" si="202"/>
        <v>0</v>
      </c>
      <c r="D953">
        <f t="shared" si="203"/>
        <v>0</v>
      </c>
      <c r="E953" t="e">
        <f t="shared" si="204"/>
        <v>#N/A</v>
      </c>
      <c r="F953">
        <f t="shared" si="205"/>
        <v>0</v>
      </c>
      <c r="G953">
        <f t="shared" si="206"/>
        <v>0</v>
      </c>
      <c r="H953">
        <f t="shared" si="207"/>
        <v>0</v>
      </c>
      <c r="I953">
        <f t="shared" si="208"/>
        <v>0</v>
      </c>
      <c r="J953">
        <f t="shared" si="209"/>
        <v>0</v>
      </c>
      <c r="K953" s="4" t="e">
        <f t="shared" si="212"/>
        <v>#N/A</v>
      </c>
      <c r="L953" t="e">
        <f t="shared" si="213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200"/>
        <v>0</v>
      </c>
      <c r="B954">
        <f t="shared" si="201"/>
        <v>0</v>
      </c>
      <c r="C954">
        <f t="shared" si="202"/>
        <v>0</v>
      </c>
      <c r="D954">
        <f t="shared" si="203"/>
        <v>0</v>
      </c>
      <c r="E954" t="e">
        <f t="shared" si="204"/>
        <v>#N/A</v>
      </c>
      <c r="F954">
        <f t="shared" si="205"/>
        <v>0</v>
      </c>
      <c r="G954">
        <f t="shared" si="206"/>
        <v>0</v>
      </c>
      <c r="H954">
        <f t="shared" si="207"/>
        <v>0</v>
      </c>
      <c r="I954">
        <f t="shared" si="208"/>
        <v>0</v>
      </c>
      <c r="J954">
        <f t="shared" si="209"/>
        <v>0</v>
      </c>
      <c r="K954" s="4" t="e">
        <f t="shared" si="212"/>
        <v>#N/A</v>
      </c>
      <c r="L954" t="e">
        <f t="shared" si="213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200"/>
        <v>0</v>
      </c>
      <c r="B955">
        <f t="shared" si="201"/>
        <v>0</v>
      </c>
      <c r="C955">
        <f t="shared" si="202"/>
        <v>0</v>
      </c>
      <c r="D955">
        <f t="shared" si="203"/>
        <v>0</v>
      </c>
      <c r="E955" t="e">
        <f t="shared" si="204"/>
        <v>#N/A</v>
      </c>
      <c r="F955">
        <f t="shared" si="205"/>
        <v>0</v>
      </c>
      <c r="G955">
        <f t="shared" si="206"/>
        <v>0</v>
      </c>
      <c r="H955">
        <f t="shared" si="207"/>
        <v>0</v>
      </c>
      <c r="I955">
        <f t="shared" si="208"/>
        <v>0</v>
      </c>
      <c r="J955">
        <f t="shared" si="209"/>
        <v>0</v>
      </c>
      <c r="K955" s="4" t="e">
        <f t="shared" si="212"/>
        <v>#N/A</v>
      </c>
      <c r="L955" t="e">
        <f t="shared" si="213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200"/>
        <v>0</v>
      </c>
      <c r="B956">
        <f t="shared" si="201"/>
        <v>0</v>
      </c>
      <c r="C956">
        <f t="shared" si="202"/>
        <v>0</v>
      </c>
      <c r="D956">
        <f t="shared" si="203"/>
        <v>0</v>
      </c>
      <c r="E956" t="e">
        <f t="shared" si="204"/>
        <v>#N/A</v>
      </c>
      <c r="F956">
        <f t="shared" si="205"/>
        <v>0</v>
      </c>
      <c r="G956">
        <f t="shared" si="206"/>
        <v>0</v>
      </c>
      <c r="H956">
        <f t="shared" si="207"/>
        <v>0</v>
      </c>
      <c r="I956">
        <f t="shared" si="208"/>
        <v>0</v>
      </c>
      <c r="J956">
        <f t="shared" si="209"/>
        <v>0</v>
      </c>
      <c r="K956" s="4" t="e">
        <f t="shared" si="212"/>
        <v>#N/A</v>
      </c>
      <c r="L956" t="e">
        <f t="shared" si="213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200"/>
        <v>0</v>
      </c>
      <c r="B957">
        <f t="shared" si="201"/>
        <v>0</v>
      </c>
      <c r="C957">
        <f t="shared" si="202"/>
        <v>0</v>
      </c>
      <c r="D957">
        <f t="shared" si="203"/>
        <v>0</v>
      </c>
      <c r="E957" t="e">
        <f t="shared" si="204"/>
        <v>#N/A</v>
      </c>
      <c r="F957">
        <f t="shared" si="205"/>
        <v>0</v>
      </c>
      <c r="G957">
        <f t="shared" si="206"/>
        <v>0</v>
      </c>
      <c r="H957">
        <f t="shared" si="207"/>
        <v>0</v>
      </c>
      <c r="I957">
        <f t="shared" si="208"/>
        <v>0</v>
      </c>
      <c r="J957">
        <f t="shared" si="209"/>
        <v>0</v>
      </c>
      <c r="K957" s="4" t="e">
        <f t="shared" si="212"/>
        <v>#N/A</v>
      </c>
      <c r="L957" t="e">
        <f t="shared" si="213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200"/>
        <v>0</v>
      </c>
      <c r="B958">
        <f t="shared" si="201"/>
        <v>0</v>
      </c>
      <c r="C958">
        <f t="shared" si="202"/>
        <v>0</v>
      </c>
      <c r="D958">
        <f t="shared" si="203"/>
        <v>0</v>
      </c>
      <c r="E958" t="e">
        <f t="shared" si="204"/>
        <v>#N/A</v>
      </c>
      <c r="F958">
        <f t="shared" si="205"/>
        <v>0</v>
      </c>
      <c r="G958">
        <f t="shared" si="206"/>
        <v>0</v>
      </c>
      <c r="H958">
        <f t="shared" si="207"/>
        <v>0</v>
      </c>
      <c r="I958">
        <f t="shared" si="208"/>
        <v>0</v>
      </c>
      <c r="J958">
        <f t="shared" si="209"/>
        <v>0</v>
      </c>
      <c r="K958" s="4" t="e">
        <f t="shared" si="212"/>
        <v>#N/A</v>
      </c>
      <c r="L958" t="e">
        <f t="shared" si="213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200"/>
        <v>0</v>
      </c>
      <c r="B959">
        <f t="shared" si="201"/>
        <v>0</v>
      </c>
      <c r="C959">
        <f t="shared" si="202"/>
        <v>0</v>
      </c>
      <c r="D959">
        <f t="shared" si="203"/>
        <v>0</v>
      </c>
      <c r="E959" t="e">
        <f t="shared" si="204"/>
        <v>#N/A</v>
      </c>
      <c r="F959">
        <f t="shared" si="205"/>
        <v>0</v>
      </c>
      <c r="G959">
        <f t="shared" si="206"/>
        <v>0</v>
      </c>
      <c r="H959">
        <f t="shared" si="207"/>
        <v>0</v>
      </c>
      <c r="I959">
        <f t="shared" si="208"/>
        <v>0</v>
      </c>
      <c r="J959">
        <f t="shared" si="209"/>
        <v>0</v>
      </c>
      <c r="K959" s="4" t="e">
        <f t="shared" si="212"/>
        <v>#N/A</v>
      </c>
      <c r="L959" t="e">
        <f t="shared" si="213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200"/>
        <v>0</v>
      </c>
      <c r="B960">
        <f t="shared" si="201"/>
        <v>0</v>
      </c>
      <c r="C960">
        <f t="shared" si="202"/>
        <v>0</v>
      </c>
      <c r="D960">
        <f t="shared" si="203"/>
        <v>0</v>
      </c>
      <c r="E960" t="e">
        <f t="shared" si="204"/>
        <v>#N/A</v>
      </c>
      <c r="F960">
        <f t="shared" si="205"/>
        <v>0</v>
      </c>
      <c r="G960">
        <f t="shared" si="206"/>
        <v>0</v>
      </c>
      <c r="H960">
        <f t="shared" si="207"/>
        <v>0</v>
      </c>
      <c r="I960">
        <f t="shared" si="208"/>
        <v>0</v>
      </c>
      <c r="J960">
        <f t="shared" si="209"/>
        <v>0</v>
      </c>
      <c r="K960" s="4" t="e">
        <f t="shared" si="212"/>
        <v>#N/A</v>
      </c>
      <c r="L960" t="e">
        <f t="shared" si="213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200"/>
        <v>0</v>
      </c>
      <c r="B961">
        <f t="shared" si="201"/>
        <v>0</v>
      </c>
      <c r="C961">
        <f t="shared" si="202"/>
        <v>0</v>
      </c>
      <c r="D961">
        <f t="shared" si="203"/>
        <v>0</v>
      </c>
      <c r="E961" t="e">
        <f t="shared" si="204"/>
        <v>#N/A</v>
      </c>
      <c r="F961">
        <f t="shared" si="205"/>
        <v>0</v>
      </c>
      <c r="G961">
        <f t="shared" si="206"/>
        <v>0</v>
      </c>
      <c r="H961">
        <f t="shared" si="207"/>
        <v>0</v>
      </c>
      <c r="I961">
        <f t="shared" si="208"/>
        <v>0</v>
      </c>
      <c r="J961">
        <f t="shared" si="209"/>
        <v>0</v>
      </c>
      <c r="K961" s="4" t="e">
        <f t="shared" si="212"/>
        <v>#N/A</v>
      </c>
      <c r="L961" t="e">
        <f t="shared" si="213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4">bd_campaign</f>
        <v>0</v>
      </c>
      <c r="B962">
        <f t="shared" ref="B962:B1025" si="215">bd_site</f>
        <v>0</v>
      </c>
      <c r="C962">
        <f t="shared" ref="C962:C1025" si="216">bd_placement</f>
        <v>0</v>
      </c>
      <c r="D962">
        <f t="shared" ref="D962:D1025" si="217">bd_placementID</f>
        <v>0</v>
      </c>
      <c r="E962" t="e">
        <f t="shared" ref="E962:E1025" si="218">VLOOKUP(CONCATENATE(bd_adtype,"_",bd_creativetype),tabela,2,FALSE)</f>
        <v>#N/A</v>
      </c>
      <c r="F962">
        <f t="shared" ref="F962:F1025" si="219">bd_ad</f>
        <v>0</v>
      </c>
      <c r="G962">
        <f t="shared" ref="G962:G1025" si="220">bd_adid</f>
        <v>0</v>
      </c>
      <c r="H962">
        <f t="shared" ref="H962:H1025" si="221">bd_creativetype</f>
        <v>0</v>
      </c>
      <c r="I962">
        <f t="shared" ref="I962:I1025" si="222">bd_impression</f>
        <v>0</v>
      </c>
      <c r="J962">
        <f t="shared" ref="J962:J1025" si="223">bd_clicks</f>
        <v>0</v>
      </c>
      <c r="K962" s="4" t="e">
        <f t="shared" si="212"/>
        <v>#N/A</v>
      </c>
      <c r="L962" t="e">
        <f t="shared" si="213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4"/>
        <v>0</v>
      </c>
      <c r="B963">
        <f t="shared" si="215"/>
        <v>0</v>
      </c>
      <c r="C963">
        <f t="shared" si="216"/>
        <v>0</v>
      </c>
      <c r="D963">
        <f t="shared" si="217"/>
        <v>0</v>
      </c>
      <c r="E963" t="e">
        <f t="shared" si="218"/>
        <v>#N/A</v>
      </c>
      <c r="F963">
        <f t="shared" si="219"/>
        <v>0</v>
      </c>
      <c r="G963">
        <f t="shared" si="220"/>
        <v>0</v>
      </c>
      <c r="H963">
        <f t="shared" si="221"/>
        <v>0</v>
      </c>
      <c r="I963">
        <f t="shared" si="222"/>
        <v>0</v>
      </c>
      <c r="J963">
        <f t="shared" si="223"/>
        <v>0</v>
      </c>
      <c r="K963" s="4" t="e">
        <f t="shared" si="212"/>
        <v>#N/A</v>
      </c>
      <c r="L963" t="e">
        <f t="shared" si="213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4"/>
        <v>0</v>
      </c>
      <c r="B964">
        <f t="shared" si="215"/>
        <v>0</v>
      </c>
      <c r="C964">
        <f t="shared" si="216"/>
        <v>0</v>
      </c>
      <c r="D964">
        <f t="shared" si="217"/>
        <v>0</v>
      </c>
      <c r="E964" t="e">
        <f t="shared" si="218"/>
        <v>#N/A</v>
      </c>
      <c r="F964">
        <f t="shared" si="219"/>
        <v>0</v>
      </c>
      <c r="G964">
        <f t="shared" si="220"/>
        <v>0</v>
      </c>
      <c r="H964">
        <f t="shared" si="221"/>
        <v>0</v>
      </c>
      <c r="I964">
        <f t="shared" si="222"/>
        <v>0</v>
      </c>
      <c r="J964">
        <f t="shared" si="223"/>
        <v>0</v>
      </c>
      <c r="K964" s="4" t="e">
        <f t="shared" si="212"/>
        <v>#N/A</v>
      </c>
      <c r="L964" t="e">
        <f t="shared" si="213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4"/>
        <v>0</v>
      </c>
      <c r="B965">
        <f t="shared" si="215"/>
        <v>0</v>
      </c>
      <c r="C965">
        <f t="shared" si="216"/>
        <v>0</v>
      </c>
      <c r="D965">
        <f t="shared" si="217"/>
        <v>0</v>
      </c>
      <c r="E965" t="e">
        <f t="shared" si="218"/>
        <v>#N/A</v>
      </c>
      <c r="F965">
        <f t="shared" si="219"/>
        <v>0</v>
      </c>
      <c r="G965">
        <f t="shared" si="220"/>
        <v>0</v>
      </c>
      <c r="H965">
        <f t="shared" si="221"/>
        <v>0</v>
      </c>
      <c r="I965">
        <f t="shared" si="222"/>
        <v>0</v>
      </c>
      <c r="J965">
        <f t="shared" si="223"/>
        <v>0</v>
      </c>
      <c r="K965" s="4" t="e">
        <f t="shared" si="212"/>
        <v>#N/A</v>
      </c>
      <c r="L965" t="e">
        <f t="shared" si="213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4"/>
        <v>0</v>
      </c>
      <c r="B966">
        <f t="shared" si="215"/>
        <v>0</v>
      </c>
      <c r="C966">
        <f t="shared" si="216"/>
        <v>0</v>
      </c>
      <c r="D966">
        <f t="shared" si="217"/>
        <v>0</v>
      </c>
      <c r="E966" t="e">
        <f t="shared" si="218"/>
        <v>#N/A</v>
      </c>
      <c r="F966">
        <f t="shared" si="219"/>
        <v>0</v>
      </c>
      <c r="G966">
        <f t="shared" si="220"/>
        <v>0</v>
      </c>
      <c r="H966">
        <f t="shared" si="221"/>
        <v>0</v>
      </c>
      <c r="I966">
        <f t="shared" si="222"/>
        <v>0</v>
      </c>
      <c r="J966">
        <f t="shared" si="223"/>
        <v>0</v>
      </c>
      <c r="K966" s="4" t="e">
        <f t="shared" si="212"/>
        <v>#N/A</v>
      </c>
      <c r="L966" t="e">
        <f t="shared" si="213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4"/>
        <v>0</v>
      </c>
      <c r="B967">
        <f t="shared" si="215"/>
        <v>0</v>
      </c>
      <c r="C967">
        <f t="shared" si="216"/>
        <v>0</v>
      </c>
      <c r="D967">
        <f t="shared" si="217"/>
        <v>0</v>
      </c>
      <c r="E967" t="e">
        <f t="shared" si="218"/>
        <v>#N/A</v>
      </c>
      <c r="F967">
        <f t="shared" si="219"/>
        <v>0</v>
      </c>
      <c r="G967">
        <f t="shared" si="220"/>
        <v>0</v>
      </c>
      <c r="H967">
        <f t="shared" si="221"/>
        <v>0</v>
      </c>
      <c r="I967">
        <f t="shared" si="222"/>
        <v>0</v>
      </c>
      <c r="J967">
        <f t="shared" si="223"/>
        <v>0</v>
      </c>
      <c r="K967" s="4" t="e">
        <f t="shared" si="212"/>
        <v>#N/A</v>
      </c>
      <c r="L967" t="e">
        <f t="shared" si="213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4"/>
        <v>0</v>
      </c>
      <c r="B968">
        <f t="shared" si="215"/>
        <v>0</v>
      </c>
      <c r="C968">
        <f t="shared" si="216"/>
        <v>0</v>
      </c>
      <c r="D968">
        <f t="shared" si="217"/>
        <v>0</v>
      </c>
      <c r="E968" t="e">
        <f t="shared" si="218"/>
        <v>#N/A</v>
      </c>
      <c r="F968">
        <f t="shared" si="219"/>
        <v>0</v>
      </c>
      <c r="G968">
        <f t="shared" si="220"/>
        <v>0</v>
      </c>
      <c r="H968">
        <f t="shared" si="221"/>
        <v>0</v>
      </c>
      <c r="I968">
        <f t="shared" si="222"/>
        <v>0</v>
      </c>
      <c r="J968">
        <f t="shared" si="223"/>
        <v>0</v>
      </c>
      <c r="K968" s="4" t="e">
        <f t="shared" si="212"/>
        <v>#N/A</v>
      </c>
      <c r="L968" t="e">
        <f t="shared" si="213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4"/>
        <v>0</v>
      </c>
      <c r="B969">
        <f t="shared" si="215"/>
        <v>0</v>
      </c>
      <c r="C969">
        <f t="shared" si="216"/>
        <v>0</v>
      </c>
      <c r="D969">
        <f t="shared" si="217"/>
        <v>0</v>
      </c>
      <c r="E969" t="e">
        <f t="shared" si="218"/>
        <v>#N/A</v>
      </c>
      <c r="F969">
        <f t="shared" si="219"/>
        <v>0</v>
      </c>
      <c r="G969">
        <f t="shared" si="220"/>
        <v>0</v>
      </c>
      <c r="H969">
        <f t="shared" si="221"/>
        <v>0</v>
      </c>
      <c r="I969">
        <f t="shared" si="222"/>
        <v>0</v>
      </c>
      <c r="J969">
        <f t="shared" si="223"/>
        <v>0</v>
      </c>
      <c r="K969" s="4" t="e">
        <f t="shared" si="212"/>
        <v>#N/A</v>
      </c>
      <c r="L969" t="e">
        <f t="shared" si="213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4"/>
        <v>0</v>
      </c>
      <c r="B970">
        <f t="shared" si="215"/>
        <v>0</v>
      </c>
      <c r="C970">
        <f t="shared" si="216"/>
        <v>0</v>
      </c>
      <c r="D970">
        <f t="shared" si="217"/>
        <v>0</v>
      </c>
      <c r="E970" t="e">
        <f t="shared" si="218"/>
        <v>#N/A</v>
      </c>
      <c r="F970">
        <f t="shared" si="219"/>
        <v>0</v>
      </c>
      <c r="G970">
        <f t="shared" si="220"/>
        <v>0</v>
      </c>
      <c r="H970">
        <f t="shared" si="221"/>
        <v>0</v>
      </c>
      <c r="I970">
        <f t="shared" si="222"/>
        <v>0</v>
      </c>
      <c r="J970">
        <f t="shared" si="223"/>
        <v>0</v>
      </c>
      <c r="K970" s="4" t="e">
        <f t="shared" si="212"/>
        <v>#N/A</v>
      </c>
      <c r="L970" t="e">
        <f t="shared" si="213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4"/>
        <v>0</v>
      </c>
      <c r="B971">
        <f t="shared" si="215"/>
        <v>0</v>
      </c>
      <c r="C971">
        <f t="shared" si="216"/>
        <v>0</v>
      </c>
      <c r="D971">
        <f t="shared" si="217"/>
        <v>0</v>
      </c>
      <c r="E971" t="e">
        <f t="shared" si="218"/>
        <v>#N/A</v>
      </c>
      <c r="F971">
        <f t="shared" si="219"/>
        <v>0</v>
      </c>
      <c r="G971">
        <f t="shared" si="220"/>
        <v>0</v>
      </c>
      <c r="H971">
        <f t="shared" si="221"/>
        <v>0</v>
      </c>
      <c r="I971">
        <f t="shared" si="222"/>
        <v>0</v>
      </c>
      <c r="J971">
        <f t="shared" si="223"/>
        <v>0</v>
      </c>
      <c r="K971" s="4" t="e">
        <f t="shared" si="212"/>
        <v>#N/A</v>
      </c>
      <c r="L971" t="e">
        <f t="shared" si="213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4"/>
        <v>0</v>
      </c>
      <c r="B972">
        <f t="shared" si="215"/>
        <v>0</v>
      </c>
      <c r="C972">
        <f t="shared" si="216"/>
        <v>0</v>
      </c>
      <c r="D972">
        <f t="shared" si="217"/>
        <v>0</v>
      </c>
      <c r="E972" t="e">
        <f t="shared" si="218"/>
        <v>#N/A</v>
      </c>
      <c r="F972">
        <f t="shared" si="219"/>
        <v>0</v>
      </c>
      <c r="G972">
        <f t="shared" si="220"/>
        <v>0</v>
      </c>
      <c r="H972">
        <f t="shared" si="221"/>
        <v>0</v>
      </c>
      <c r="I972">
        <f t="shared" si="222"/>
        <v>0</v>
      </c>
      <c r="J972">
        <f t="shared" si="223"/>
        <v>0</v>
      </c>
      <c r="K972" s="4" t="e">
        <f t="shared" si="212"/>
        <v>#N/A</v>
      </c>
      <c r="L972" t="e">
        <f t="shared" si="213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4"/>
        <v>0</v>
      </c>
      <c r="B973">
        <f t="shared" si="215"/>
        <v>0</v>
      </c>
      <c r="C973">
        <f t="shared" si="216"/>
        <v>0</v>
      </c>
      <c r="D973">
        <f t="shared" si="217"/>
        <v>0</v>
      </c>
      <c r="E973" t="e">
        <f t="shared" si="218"/>
        <v>#N/A</v>
      </c>
      <c r="F973">
        <f t="shared" si="219"/>
        <v>0</v>
      </c>
      <c r="G973">
        <f t="shared" si="220"/>
        <v>0</v>
      </c>
      <c r="H973">
        <f t="shared" si="221"/>
        <v>0</v>
      </c>
      <c r="I973">
        <f t="shared" si="222"/>
        <v>0</v>
      </c>
      <c r="J973">
        <f t="shared" si="223"/>
        <v>0</v>
      </c>
      <c r="K973" s="4" t="e">
        <f t="shared" si="212"/>
        <v>#N/A</v>
      </c>
      <c r="L973" t="e">
        <f t="shared" si="213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4"/>
        <v>0</v>
      </c>
      <c r="B974">
        <f t="shared" si="215"/>
        <v>0</v>
      </c>
      <c r="C974">
        <f t="shared" si="216"/>
        <v>0</v>
      </c>
      <c r="D974">
        <f t="shared" si="217"/>
        <v>0</v>
      </c>
      <c r="E974" t="e">
        <f t="shared" si="218"/>
        <v>#N/A</v>
      </c>
      <c r="F974">
        <f t="shared" si="219"/>
        <v>0</v>
      </c>
      <c r="G974">
        <f t="shared" si="220"/>
        <v>0</v>
      </c>
      <c r="H974">
        <f t="shared" si="221"/>
        <v>0</v>
      </c>
      <c r="I974">
        <f t="shared" si="222"/>
        <v>0</v>
      </c>
      <c r="J974">
        <f t="shared" si="223"/>
        <v>0</v>
      </c>
      <c r="K974" s="4" t="e">
        <f t="shared" si="212"/>
        <v>#N/A</v>
      </c>
      <c r="L974" t="e">
        <f t="shared" si="213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4"/>
        <v>0</v>
      </c>
      <c r="B975">
        <f t="shared" si="215"/>
        <v>0</v>
      </c>
      <c r="C975">
        <f t="shared" si="216"/>
        <v>0</v>
      </c>
      <c r="D975">
        <f t="shared" si="217"/>
        <v>0</v>
      </c>
      <c r="E975" t="e">
        <f t="shared" si="218"/>
        <v>#N/A</v>
      </c>
      <c r="F975">
        <f t="shared" si="219"/>
        <v>0</v>
      </c>
      <c r="G975">
        <f t="shared" si="220"/>
        <v>0</v>
      </c>
      <c r="H975">
        <f t="shared" si="221"/>
        <v>0</v>
      </c>
      <c r="I975">
        <f t="shared" si="222"/>
        <v>0</v>
      </c>
      <c r="J975">
        <f t="shared" si="223"/>
        <v>0</v>
      </c>
      <c r="K975" s="4" t="e">
        <f t="shared" si="212"/>
        <v>#N/A</v>
      </c>
      <c r="L975" t="e">
        <f t="shared" si="213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4"/>
        <v>0</v>
      </c>
      <c r="B976">
        <f t="shared" si="215"/>
        <v>0</v>
      </c>
      <c r="C976">
        <f t="shared" si="216"/>
        <v>0</v>
      </c>
      <c r="D976">
        <f t="shared" si="217"/>
        <v>0</v>
      </c>
      <c r="E976" t="e">
        <f t="shared" si="218"/>
        <v>#N/A</v>
      </c>
      <c r="F976">
        <f t="shared" si="219"/>
        <v>0</v>
      </c>
      <c r="G976">
        <f t="shared" si="220"/>
        <v>0</v>
      </c>
      <c r="H976">
        <f t="shared" si="221"/>
        <v>0</v>
      </c>
      <c r="I976">
        <f t="shared" si="222"/>
        <v>0</v>
      </c>
      <c r="J976">
        <f t="shared" si="223"/>
        <v>0</v>
      </c>
      <c r="K976" s="4" t="e">
        <f t="shared" si="212"/>
        <v>#N/A</v>
      </c>
      <c r="L976" t="e">
        <f t="shared" si="213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4"/>
        <v>0</v>
      </c>
      <c r="B977">
        <f t="shared" si="215"/>
        <v>0</v>
      </c>
      <c r="C977">
        <f t="shared" si="216"/>
        <v>0</v>
      </c>
      <c r="D977">
        <f t="shared" si="217"/>
        <v>0</v>
      </c>
      <c r="E977" t="e">
        <f t="shared" si="218"/>
        <v>#N/A</v>
      </c>
      <c r="F977">
        <f t="shared" si="219"/>
        <v>0</v>
      </c>
      <c r="G977">
        <f t="shared" si="220"/>
        <v>0</v>
      </c>
      <c r="H977">
        <f t="shared" si="221"/>
        <v>0</v>
      </c>
      <c r="I977">
        <f t="shared" si="222"/>
        <v>0</v>
      </c>
      <c r="J977">
        <f t="shared" si="223"/>
        <v>0</v>
      </c>
      <c r="K977" s="4" t="e">
        <f t="shared" si="212"/>
        <v>#N/A</v>
      </c>
      <c r="L977" t="e">
        <f t="shared" si="213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4"/>
        <v>0</v>
      </c>
      <c r="B978">
        <f t="shared" si="215"/>
        <v>0</v>
      </c>
      <c r="C978">
        <f t="shared" si="216"/>
        <v>0</v>
      </c>
      <c r="D978">
        <f t="shared" si="217"/>
        <v>0</v>
      </c>
      <c r="E978" t="e">
        <f t="shared" si="218"/>
        <v>#N/A</v>
      </c>
      <c r="F978">
        <f t="shared" si="219"/>
        <v>0</v>
      </c>
      <c r="G978">
        <f t="shared" si="220"/>
        <v>0</v>
      </c>
      <c r="H978">
        <f t="shared" si="221"/>
        <v>0</v>
      </c>
      <c r="I978">
        <f t="shared" si="222"/>
        <v>0</v>
      </c>
      <c r="J978">
        <f t="shared" si="223"/>
        <v>0</v>
      </c>
      <c r="K978" s="4" t="e">
        <f t="shared" si="212"/>
        <v>#N/A</v>
      </c>
      <c r="L978" t="e">
        <f t="shared" si="213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4"/>
        <v>0</v>
      </c>
      <c r="B979">
        <f t="shared" si="215"/>
        <v>0</v>
      </c>
      <c r="C979">
        <f t="shared" si="216"/>
        <v>0</v>
      </c>
      <c r="D979">
        <f t="shared" si="217"/>
        <v>0</v>
      </c>
      <c r="E979" t="e">
        <f t="shared" si="218"/>
        <v>#N/A</v>
      </c>
      <c r="F979">
        <f t="shared" si="219"/>
        <v>0</v>
      </c>
      <c r="G979">
        <f t="shared" si="220"/>
        <v>0</v>
      </c>
      <c r="H979">
        <f t="shared" si="221"/>
        <v>0</v>
      </c>
      <c r="I979">
        <f t="shared" si="222"/>
        <v>0</v>
      </c>
      <c r="J979">
        <f t="shared" si="223"/>
        <v>0</v>
      </c>
      <c r="K979" s="4" t="e">
        <f t="shared" si="212"/>
        <v>#N/A</v>
      </c>
      <c r="L979" t="e">
        <f t="shared" si="213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4"/>
        <v>0</v>
      </c>
      <c r="B980">
        <f t="shared" si="215"/>
        <v>0</v>
      </c>
      <c r="C980">
        <f t="shared" si="216"/>
        <v>0</v>
      </c>
      <c r="D980">
        <f t="shared" si="217"/>
        <v>0</v>
      </c>
      <c r="E980" t="e">
        <f t="shared" si="218"/>
        <v>#N/A</v>
      </c>
      <c r="F980">
        <f t="shared" si="219"/>
        <v>0</v>
      </c>
      <c r="G980">
        <f t="shared" si="220"/>
        <v>0</v>
      </c>
      <c r="H980">
        <f t="shared" si="221"/>
        <v>0</v>
      </c>
      <c r="I980">
        <f t="shared" si="222"/>
        <v>0</v>
      </c>
      <c r="J980">
        <f t="shared" si="223"/>
        <v>0</v>
      </c>
      <c r="K980" s="4" t="e">
        <f t="shared" si="212"/>
        <v>#N/A</v>
      </c>
      <c r="L980" t="e">
        <f t="shared" si="213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4"/>
        <v>0</v>
      </c>
      <c r="B981">
        <f t="shared" si="215"/>
        <v>0</v>
      </c>
      <c r="C981">
        <f t="shared" si="216"/>
        <v>0</v>
      </c>
      <c r="D981">
        <f t="shared" si="217"/>
        <v>0</v>
      </c>
      <c r="E981" t="e">
        <f t="shared" si="218"/>
        <v>#N/A</v>
      </c>
      <c r="F981">
        <f t="shared" si="219"/>
        <v>0</v>
      </c>
      <c r="G981">
        <f t="shared" si="220"/>
        <v>0</v>
      </c>
      <c r="H981">
        <f t="shared" si="221"/>
        <v>0</v>
      </c>
      <c r="I981">
        <f t="shared" si="222"/>
        <v>0</v>
      </c>
      <c r="J981">
        <f t="shared" si="223"/>
        <v>0</v>
      </c>
      <c r="K981" s="4" t="e">
        <f t="shared" si="212"/>
        <v>#N/A</v>
      </c>
      <c r="L981" t="e">
        <f t="shared" si="213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4"/>
        <v>0</v>
      </c>
      <c r="B982">
        <f t="shared" si="215"/>
        <v>0</v>
      </c>
      <c r="C982">
        <f t="shared" si="216"/>
        <v>0</v>
      </c>
      <c r="D982">
        <f t="shared" si="217"/>
        <v>0</v>
      </c>
      <c r="E982" t="e">
        <f t="shared" si="218"/>
        <v>#N/A</v>
      </c>
      <c r="F982">
        <f t="shared" si="219"/>
        <v>0</v>
      </c>
      <c r="G982">
        <f t="shared" si="220"/>
        <v>0</v>
      </c>
      <c r="H982">
        <f t="shared" si="221"/>
        <v>0</v>
      </c>
      <c r="I982">
        <f t="shared" si="222"/>
        <v>0</v>
      </c>
      <c r="J982">
        <f t="shared" si="223"/>
        <v>0</v>
      </c>
      <c r="K982" s="4" t="e">
        <f t="shared" si="212"/>
        <v>#N/A</v>
      </c>
      <c r="L982" t="e">
        <f t="shared" si="213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4"/>
        <v>0</v>
      </c>
      <c r="B983">
        <f t="shared" si="215"/>
        <v>0</v>
      </c>
      <c r="C983">
        <f t="shared" si="216"/>
        <v>0</v>
      </c>
      <c r="D983">
        <f t="shared" si="217"/>
        <v>0</v>
      </c>
      <c r="E983" t="e">
        <f t="shared" si="218"/>
        <v>#N/A</v>
      </c>
      <c r="F983">
        <f t="shared" si="219"/>
        <v>0</v>
      </c>
      <c r="G983">
        <f t="shared" si="220"/>
        <v>0</v>
      </c>
      <c r="H983">
        <f t="shared" si="221"/>
        <v>0</v>
      </c>
      <c r="I983">
        <f t="shared" si="222"/>
        <v>0</v>
      </c>
      <c r="J983">
        <f t="shared" si="223"/>
        <v>0</v>
      </c>
      <c r="K983" s="4" t="e">
        <f t="shared" si="212"/>
        <v>#N/A</v>
      </c>
      <c r="L983" t="e">
        <f t="shared" si="213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4"/>
        <v>0</v>
      </c>
      <c r="B984">
        <f t="shared" si="215"/>
        <v>0</v>
      </c>
      <c r="C984">
        <f t="shared" si="216"/>
        <v>0</v>
      </c>
      <c r="D984">
        <f t="shared" si="217"/>
        <v>0</v>
      </c>
      <c r="E984" t="e">
        <f t="shared" si="218"/>
        <v>#N/A</v>
      </c>
      <c r="F984">
        <f t="shared" si="219"/>
        <v>0</v>
      </c>
      <c r="G984">
        <f t="shared" si="220"/>
        <v>0</v>
      </c>
      <c r="H984">
        <f t="shared" si="221"/>
        <v>0</v>
      </c>
      <c r="I984">
        <f t="shared" si="222"/>
        <v>0</v>
      </c>
      <c r="J984">
        <f t="shared" si="223"/>
        <v>0</v>
      </c>
      <c r="K984" s="4" t="e">
        <f t="shared" si="212"/>
        <v>#N/A</v>
      </c>
      <c r="L984" t="e">
        <f t="shared" si="213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4"/>
        <v>0</v>
      </c>
      <c r="B985">
        <f t="shared" si="215"/>
        <v>0</v>
      </c>
      <c r="C985">
        <f t="shared" si="216"/>
        <v>0</v>
      </c>
      <c r="D985">
        <f t="shared" si="217"/>
        <v>0</v>
      </c>
      <c r="E985" t="e">
        <f t="shared" si="218"/>
        <v>#N/A</v>
      </c>
      <c r="F985">
        <f t="shared" si="219"/>
        <v>0</v>
      </c>
      <c r="G985">
        <f t="shared" si="220"/>
        <v>0</v>
      </c>
      <c r="H985">
        <f t="shared" si="221"/>
        <v>0</v>
      </c>
      <c r="I985">
        <f t="shared" si="222"/>
        <v>0</v>
      </c>
      <c r="J985">
        <f t="shared" si="223"/>
        <v>0</v>
      </c>
      <c r="K985" s="4" t="e">
        <f t="shared" si="212"/>
        <v>#N/A</v>
      </c>
      <c r="L985" t="e">
        <f t="shared" si="213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4"/>
        <v>0</v>
      </c>
      <c r="B986">
        <f t="shared" si="215"/>
        <v>0</v>
      </c>
      <c r="C986">
        <f t="shared" si="216"/>
        <v>0</v>
      </c>
      <c r="D986">
        <f t="shared" si="217"/>
        <v>0</v>
      </c>
      <c r="E986" t="e">
        <f t="shared" si="218"/>
        <v>#N/A</v>
      </c>
      <c r="F986">
        <f t="shared" si="219"/>
        <v>0</v>
      </c>
      <c r="G986">
        <f t="shared" si="220"/>
        <v>0</v>
      </c>
      <c r="H986">
        <f t="shared" si="221"/>
        <v>0</v>
      </c>
      <c r="I986">
        <f t="shared" si="222"/>
        <v>0</v>
      </c>
      <c r="J986">
        <f t="shared" si="223"/>
        <v>0</v>
      </c>
      <c r="K986" s="4" t="e">
        <f t="shared" si="212"/>
        <v>#N/A</v>
      </c>
      <c r="L986" t="e">
        <f t="shared" si="213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4"/>
        <v>0</v>
      </c>
      <c r="B987">
        <f t="shared" si="215"/>
        <v>0</v>
      </c>
      <c r="C987">
        <f t="shared" si="216"/>
        <v>0</v>
      </c>
      <c r="D987">
        <f t="shared" si="217"/>
        <v>0</v>
      </c>
      <c r="E987" t="e">
        <f t="shared" si="218"/>
        <v>#N/A</v>
      </c>
      <c r="F987">
        <f t="shared" si="219"/>
        <v>0</v>
      </c>
      <c r="G987">
        <f t="shared" si="220"/>
        <v>0</v>
      </c>
      <c r="H987">
        <f t="shared" si="221"/>
        <v>0</v>
      </c>
      <c r="I987">
        <f t="shared" si="222"/>
        <v>0</v>
      </c>
      <c r="J987">
        <f t="shared" si="223"/>
        <v>0</v>
      </c>
      <c r="K987" s="4" t="e">
        <f t="shared" si="212"/>
        <v>#N/A</v>
      </c>
      <c r="L987" t="e">
        <f t="shared" si="213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4"/>
        <v>0</v>
      </c>
      <c r="B988">
        <f t="shared" si="215"/>
        <v>0</v>
      </c>
      <c r="C988">
        <f t="shared" si="216"/>
        <v>0</v>
      </c>
      <c r="D988">
        <f t="shared" si="217"/>
        <v>0</v>
      </c>
      <c r="E988" t="e">
        <f t="shared" si="218"/>
        <v>#N/A</v>
      </c>
      <c r="F988">
        <f t="shared" si="219"/>
        <v>0</v>
      </c>
      <c r="G988">
        <f t="shared" si="220"/>
        <v>0</v>
      </c>
      <c r="H988">
        <f t="shared" si="221"/>
        <v>0</v>
      </c>
      <c r="I988">
        <f t="shared" si="222"/>
        <v>0</v>
      </c>
      <c r="J988">
        <f t="shared" si="223"/>
        <v>0</v>
      </c>
      <c r="K988" s="4" t="e">
        <f t="shared" si="212"/>
        <v>#N/A</v>
      </c>
      <c r="L988" t="e">
        <f t="shared" si="213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4"/>
        <v>0</v>
      </c>
      <c r="B989">
        <f t="shared" si="215"/>
        <v>0</v>
      </c>
      <c r="C989">
        <f t="shared" si="216"/>
        <v>0</v>
      </c>
      <c r="D989">
        <f t="shared" si="217"/>
        <v>0</v>
      </c>
      <c r="E989" t="e">
        <f t="shared" si="218"/>
        <v>#N/A</v>
      </c>
      <c r="F989">
        <f t="shared" si="219"/>
        <v>0</v>
      </c>
      <c r="G989">
        <f t="shared" si="220"/>
        <v>0</v>
      </c>
      <c r="H989">
        <f t="shared" si="221"/>
        <v>0</v>
      </c>
      <c r="I989">
        <f t="shared" si="222"/>
        <v>0</v>
      </c>
      <c r="J989">
        <f t="shared" si="223"/>
        <v>0</v>
      </c>
      <c r="K989" s="4" t="e">
        <f t="shared" si="212"/>
        <v>#N/A</v>
      </c>
      <c r="L989" t="e">
        <f t="shared" si="213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4"/>
        <v>0</v>
      </c>
      <c r="B990">
        <f t="shared" si="215"/>
        <v>0</v>
      </c>
      <c r="C990">
        <f t="shared" si="216"/>
        <v>0</v>
      </c>
      <c r="D990">
        <f t="shared" si="217"/>
        <v>0</v>
      </c>
      <c r="E990" t="e">
        <f t="shared" si="218"/>
        <v>#N/A</v>
      </c>
      <c r="F990">
        <f t="shared" si="219"/>
        <v>0</v>
      </c>
      <c r="G990">
        <f t="shared" si="220"/>
        <v>0</v>
      </c>
      <c r="H990">
        <f t="shared" si="221"/>
        <v>0</v>
      </c>
      <c r="I990">
        <f t="shared" si="222"/>
        <v>0</v>
      </c>
      <c r="J990">
        <f t="shared" si="223"/>
        <v>0</v>
      </c>
      <c r="K990" s="4" t="e">
        <f t="shared" si="212"/>
        <v>#N/A</v>
      </c>
      <c r="L990" t="e">
        <f t="shared" si="213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4"/>
        <v>0</v>
      </c>
      <c r="B991">
        <f t="shared" si="215"/>
        <v>0</v>
      </c>
      <c r="C991">
        <f t="shared" si="216"/>
        <v>0</v>
      </c>
      <c r="D991">
        <f t="shared" si="217"/>
        <v>0</v>
      </c>
      <c r="E991" t="e">
        <f t="shared" si="218"/>
        <v>#N/A</v>
      </c>
      <c r="F991">
        <f t="shared" si="219"/>
        <v>0</v>
      </c>
      <c r="G991">
        <f t="shared" si="220"/>
        <v>0</v>
      </c>
      <c r="H991">
        <f t="shared" si="221"/>
        <v>0</v>
      </c>
      <c r="I991">
        <f t="shared" si="222"/>
        <v>0</v>
      </c>
      <c r="J991">
        <f t="shared" si="223"/>
        <v>0</v>
      </c>
      <c r="K991" s="4" t="e">
        <f t="shared" si="212"/>
        <v>#N/A</v>
      </c>
      <c r="L991" t="e">
        <f t="shared" si="213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4"/>
        <v>0</v>
      </c>
      <c r="B992">
        <f t="shared" si="215"/>
        <v>0</v>
      </c>
      <c r="C992">
        <f t="shared" si="216"/>
        <v>0</v>
      </c>
      <c r="D992">
        <f t="shared" si="217"/>
        <v>0</v>
      </c>
      <c r="E992" t="e">
        <f t="shared" si="218"/>
        <v>#N/A</v>
      </c>
      <c r="F992">
        <f t="shared" si="219"/>
        <v>0</v>
      </c>
      <c r="G992">
        <f t="shared" si="220"/>
        <v>0</v>
      </c>
      <c r="H992">
        <f t="shared" si="221"/>
        <v>0</v>
      </c>
      <c r="I992">
        <f t="shared" si="222"/>
        <v>0</v>
      </c>
      <c r="J992">
        <f t="shared" si="223"/>
        <v>0</v>
      </c>
      <c r="K992" s="4" t="e">
        <f t="shared" si="212"/>
        <v>#N/A</v>
      </c>
      <c r="L992" t="e">
        <f t="shared" si="213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4"/>
        <v>0</v>
      </c>
      <c r="B993">
        <f t="shared" si="215"/>
        <v>0</v>
      </c>
      <c r="C993">
        <f t="shared" si="216"/>
        <v>0</v>
      </c>
      <c r="D993">
        <f t="shared" si="217"/>
        <v>0</v>
      </c>
      <c r="E993" t="e">
        <f t="shared" si="218"/>
        <v>#N/A</v>
      </c>
      <c r="F993">
        <f t="shared" si="219"/>
        <v>0</v>
      </c>
      <c r="G993">
        <f t="shared" si="220"/>
        <v>0</v>
      </c>
      <c r="H993">
        <f t="shared" si="221"/>
        <v>0</v>
      </c>
      <c r="I993">
        <f t="shared" si="222"/>
        <v>0</v>
      </c>
      <c r="J993">
        <f t="shared" si="223"/>
        <v>0</v>
      </c>
      <c r="K993" s="4" t="e">
        <f t="shared" si="212"/>
        <v>#N/A</v>
      </c>
      <c r="L993" t="e">
        <f t="shared" si="213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4"/>
        <v>0</v>
      </c>
      <c r="B994">
        <f t="shared" si="215"/>
        <v>0</v>
      </c>
      <c r="C994">
        <f t="shared" si="216"/>
        <v>0</v>
      </c>
      <c r="D994">
        <f t="shared" si="217"/>
        <v>0</v>
      </c>
      <c r="E994" t="e">
        <f t="shared" si="218"/>
        <v>#N/A</v>
      </c>
      <c r="F994">
        <f t="shared" si="219"/>
        <v>0</v>
      </c>
      <c r="G994">
        <f t="shared" si="220"/>
        <v>0</v>
      </c>
      <c r="H994">
        <f t="shared" si="221"/>
        <v>0</v>
      </c>
      <c r="I994">
        <f t="shared" si="222"/>
        <v>0</v>
      </c>
      <c r="J994">
        <f t="shared" si="223"/>
        <v>0</v>
      </c>
      <c r="K994" s="4" t="e">
        <f t="shared" si="212"/>
        <v>#N/A</v>
      </c>
      <c r="L994" t="e">
        <f t="shared" si="213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4"/>
        <v>0</v>
      </c>
      <c r="B995">
        <f t="shared" si="215"/>
        <v>0</v>
      </c>
      <c r="C995">
        <f t="shared" si="216"/>
        <v>0</v>
      </c>
      <c r="D995">
        <f t="shared" si="217"/>
        <v>0</v>
      </c>
      <c r="E995" t="e">
        <f t="shared" si="218"/>
        <v>#N/A</v>
      </c>
      <c r="F995">
        <f t="shared" si="219"/>
        <v>0</v>
      </c>
      <c r="G995">
        <f t="shared" si="220"/>
        <v>0</v>
      </c>
      <c r="H995">
        <f t="shared" si="221"/>
        <v>0</v>
      </c>
      <c r="I995">
        <f t="shared" si="222"/>
        <v>0</v>
      </c>
      <c r="J995">
        <f t="shared" si="223"/>
        <v>0</v>
      </c>
      <c r="K995" s="4" t="e">
        <f t="shared" si="212"/>
        <v>#N/A</v>
      </c>
      <c r="L995" t="e">
        <f t="shared" si="213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4"/>
        <v>0</v>
      </c>
      <c r="B996">
        <f t="shared" si="215"/>
        <v>0</v>
      </c>
      <c r="C996">
        <f t="shared" si="216"/>
        <v>0</v>
      </c>
      <c r="D996">
        <f t="shared" si="217"/>
        <v>0</v>
      </c>
      <c r="E996" t="e">
        <f t="shared" si="218"/>
        <v>#N/A</v>
      </c>
      <c r="F996">
        <f t="shared" si="219"/>
        <v>0</v>
      </c>
      <c r="G996">
        <f t="shared" si="220"/>
        <v>0</v>
      </c>
      <c r="H996">
        <f t="shared" si="221"/>
        <v>0</v>
      </c>
      <c r="I996">
        <f t="shared" si="222"/>
        <v>0</v>
      </c>
      <c r="J996">
        <f t="shared" si="223"/>
        <v>0</v>
      </c>
      <c r="K996" s="4" t="e">
        <f t="shared" si="212"/>
        <v>#N/A</v>
      </c>
      <c r="L996" t="e">
        <f t="shared" si="213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4"/>
        <v>0</v>
      </c>
      <c r="B997">
        <f t="shared" si="215"/>
        <v>0</v>
      </c>
      <c r="C997">
        <f t="shared" si="216"/>
        <v>0</v>
      </c>
      <c r="D997">
        <f t="shared" si="217"/>
        <v>0</v>
      </c>
      <c r="E997" t="e">
        <f t="shared" si="218"/>
        <v>#N/A</v>
      </c>
      <c r="F997">
        <f t="shared" si="219"/>
        <v>0</v>
      </c>
      <c r="G997">
        <f t="shared" si="220"/>
        <v>0</v>
      </c>
      <c r="H997">
        <f t="shared" si="221"/>
        <v>0</v>
      </c>
      <c r="I997">
        <f t="shared" si="222"/>
        <v>0</v>
      </c>
      <c r="J997">
        <f t="shared" si="223"/>
        <v>0</v>
      </c>
      <c r="K997" s="4" t="e">
        <f t="shared" si="212"/>
        <v>#N/A</v>
      </c>
      <c r="L997" t="e">
        <f t="shared" si="213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4"/>
        <v>0</v>
      </c>
      <c r="B998">
        <f t="shared" si="215"/>
        <v>0</v>
      </c>
      <c r="C998">
        <f t="shared" si="216"/>
        <v>0</v>
      </c>
      <c r="D998">
        <f t="shared" si="217"/>
        <v>0</v>
      </c>
      <c r="E998" t="e">
        <f t="shared" si="218"/>
        <v>#N/A</v>
      </c>
      <c r="F998">
        <f t="shared" si="219"/>
        <v>0</v>
      </c>
      <c r="G998">
        <f t="shared" si="220"/>
        <v>0</v>
      </c>
      <c r="H998">
        <f t="shared" si="221"/>
        <v>0</v>
      </c>
      <c r="I998">
        <f t="shared" si="222"/>
        <v>0</v>
      </c>
      <c r="J998">
        <f t="shared" si="223"/>
        <v>0</v>
      </c>
      <c r="K998" s="4" t="e">
        <f t="shared" si="212"/>
        <v>#N/A</v>
      </c>
      <c r="L998" t="e">
        <f t="shared" si="213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4"/>
        <v>0</v>
      </c>
      <c r="B999">
        <f t="shared" si="215"/>
        <v>0</v>
      </c>
      <c r="C999">
        <f t="shared" si="216"/>
        <v>0</v>
      </c>
      <c r="D999">
        <f t="shared" si="217"/>
        <v>0</v>
      </c>
      <c r="E999" t="e">
        <f t="shared" si="218"/>
        <v>#N/A</v>
      </c>
      <c r="F999">
        <f t="shared" si="219"/>
        <v>0</v>
      </c>
      <c r="G999">
        <f t="shared" si="220"/>
        <v>0</v>
      </c>
      <c r="H999">
        <f t="shared" si="221"/>
        <v>0</v>
      </c>
      <c r="I999">
        <f t="shared" si="222"/>
        <v>0</v>
      </c>
      <c r="J999">
        <f t="shared" si="223"/>
        <v>0</v>
      </c>
      <c r="K999" s="4" t="e">
        <f t="shared" si="212"/>
        <v>#N/A</v>
      </c>
      <c r="L999" t="e">
        <f t="shared" si="213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4"/>
        <v>0</v>
      </c>
      <c r="B1000">
        <f t="shared" si="215"/>
        <v>0</v>
      </c>
      <c r="C1000">
        <f t="shared" si="216"/>
        <v>0</v>
      </c>
      <c r="D1000">
        <f t="shared" si="217"/>
        <v>0</v>
      </c>
      <c r="E1000" t="e">
        <f t="shared" si="218"/>
        <v>#N/A</v>
      </c>
      <c r="F1000">
        <f t="shared" si="219"/>
        <v>0</v>
      </c>
      <c r="G1000">
        <f t="shared" si="220"/>
        <v>0</v>
      </c>
      <c r="H1000">
        <f t="shared" si="221"/>
        <v>0</v>
      </c>
      <c r="I1000">
        <f t="shared" si="222"/>
        <v>0</v>
      </c>
      <c r="J1000">
        <f t="shared" si="223"/>
        <v>0</v>
      </c>
      <c r="K1000" s="4" t="e">
        <f t="shared" si="212"/>
        <v>#N/A</v>
      </c>
      <c r="L1000" t="e">
        <f t="shared" si="213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4"/>
        <v>0</v>
      </c>
      <c r="B1001">
        <f t="shared" si="215"/>
        <v>0</v>
      </c>
      <c r="C1001">
        <f t="shared" si="216"/>
        <v>0</v>
      </c>
      <c r="D1001">
        <f t="shared" si="217"/>
        <v>0</v>
      </c>
      <c r="E1001" t="e">
        <f t="shared" si="218"/>
        <v>#N/A</v>
      </c>
      <c r="F1001">
        <f t="shared" si="219"/>
        <v>0</v>
      </c>
      <c r="G1001">
        <f t="shared" si="220"/>
        <v>0</v>
      </c>
      <c r="H1001">
        <f t="shared" si="221"/>
        <v>0</v>
      </c>
      <c r="I1001">
        <f t="shared" si="222"/>
        <v>0</v>
      </c>
      <c r="J1001">
        <f t="shared" si="223"/>
        <v>0</v>
      </c>
      <c r="K1001" s="4" t="e">
        <f t="shared" si="212"/>
        <v>#N/A</v>
      </c>
      <c r="L1001" t="e">
        <f t="shared" si="213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4"/>
        <v>0</v>
      </c>
      <c r="B1002">
        <f t="shared" si="215"/>
        <v>0</v>
      </c>
      <c r="C1002">
        <f t="shared" si="216"/>
        <v>0</v>
      </c>
      <c r="D1002">
        <f t="shared" si="217"/>
        <v>0</v>
      </c>
      <c r="E1002" t="e">
        <f t="shared" si="218"/>
        <v>#N/A</v>
      </c>
      <c r="F1002">
        <f t="shared" si="219"/>
        <v>0</v>
      </c>
      <c r="G1002">
        <f t="shared" si="220"/>
        <v>0</v>
      </c>
      <c r="H1002">
        <f t="shared" si="221"/>
        <v>0</v>
      </c>
      <c r="I1002">
        <f t="shared" si="222"/>
        <v>0</v>
      </c>
      <c r="J1002">
        <f t="shared" si="223"/>
        <v>0</v>
      </c>
      <c r="K1002" s="4" t="e">
        <f t="shared" si="212"/>
        <v>#N/A</v>
      </c>
      <c r="L1002" t="e">
        <f t="shared" si="213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4"/>
        <v>0</v>
      </c>
      <c r="B1003">
        <f t="shared" si="215"/>
        <v>0</v>
      </c>
      <c r="C1003">
        <f t="shared" si="216"/>
        <v>0</v>
      </c>
      <c r="D1003">
        <f t="shared" si="217"/>
        <v>0</v>
      </c>
      <c r="E1003" t="e">
        <f t="shared" si="218"/>
        <v>#N/A</v>
      </c>
      <c r="F1003">
        <f t="shared" si="219"/>
        <v>0</v>
      </c>
      <c r="G1003">
        <f t="shared" si="220"/>
        <v>0</v>
      </c>
      <c r="H1003">
        <f t="shared" si="221"/>
        <v>0</v>
      </c>
      <c r="I1003">
        <f t="shared" si="222"/>
        <v>0</v>
      </c>
      <c r="J1003">
        <f t="shared" si="223"/>
        <v>0</v>
      </c>
      <c r="K1003" s="4" t="e">
        <f t="shared" si="212"/>
        <v>#N/A</v>
      </c>
      <c r="L1003" t="e">
        <f t="shared" si="213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4"/>
        <v>0</v>
      </c>
      <c r="B1004">
        <f t="shared" si="215"/>
        <v>0</v>
      </c>
      <c r="C1004">
        <f t="shared" si="216"/>
        <v>0</v>
      </c>
      <c r="D1004">
        <f t="shared" si="217"/>
        <v>0</v>
      </c>
      <c r="E1004" t="e">
        <f t="shared" si="218"/>
        <v>#N/A</v>
      </c>
      <c r="F1004">
        <f t="shared" si="219"/>
        <v>0</v>
      </c>
      <c r="G1004">
        <f t="shared" si="220"/>
        <v>0</v>
      </c>
      <c r="H1004">
        <f t="shared" si="221"/>
        <v>0</v>
      </c>
      <c r="I1004">
        <f t="shared" si="222"/>
        <v>0</v>
      </c>
      <c r="J1004">
        <f t="shared" si="223"/>
        <v>0</v>
      </c>
      <c r="K1004" s="4" t="e">
        <f t="shared" ref="K1004:K1067" si="226">IF(LEFT(B1004,3)="DBM",0,VLOOKUP(E1004,tabela,2,FALSE))</f>
        <v>#N/A</v>
      </c>
      <c r="L1004" t="e">
        <f t="shared" ref="L1004:L1067" si="227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4"/>
        <v>0</v>
      </c>
      <c r="B1005">
        <f t="shared" si="215"/>
        <v>0</v>
      </c>
      <c r="C1005">
        <f t="shared" si="216"/>
        <v>0</v>
      </c>
      <c r="D1005">
        <f t="shared" si="217"/>
        <v>0</v>
      </c>
      <c r="E1005" t="e">
        <f t="shared" si="218"/>
        <v>#N/A</v>
      </c>
      <c r="F1005">
        <f t="shared" si="219"/>
        <v>0</v>
      </c>
      <c r="G1005">
        <f t="shared" si="220"/>
        <v>0</v>
      </c>
      <c r="H1005">
        <f t="shared" si="221"/>
        <v>0</v>
      </c>
      <c r="I1005">
        <f t="shared" si="222"/>
        <v>0</v>
      </c>
      <c r="J1005">
        <f t="shared" si="223"/>
        <v>0</v>
      </c>
      <c r="K1005" s="4" t="e">
        <f t="shared" si="226"/>
        <v>#N/A</v>
      </c>
      <c r="L1005" t="e">
        <f t="shared" si="227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4"/>
        <v>0</v>
      </c>
      <c r="B1006">
        <f t="shared" si="215"/>
        <v>0</v>
      </c>
      <c r="C1006">
        <f t="shared" si="216"/>
        <v>0</v>
      </c>
      <c r="D1006">
        <f t="shared" si="217"/>
        <v>0</v>
      </c>
      <c r="E1006" t="e">
        <f t="shared" si="218"/>
        <v>#N/A</v>
      </c>
      <c r="F1006">
        <f t="shared" si="219"/>
        <v>0</v>
      </c>
      <c r="G1006">
        <f t="shared" si="220"/>
        <v>0</v>
      </c>
      <c r="H1006">
        <f t="shared" si="221"/>
        <v>0</v>
      </c>
      <c r="I1006">
        <f t="shared" si="222"/>
        <v>0</v>
      </c>
      <c r="J1006">
        <f t="shared" si="223"/>
        <v>0</v>
      </c>
      <c r="K1006" s="4" t="e">
        <f t="shared" si="226"/>
        <v>#N/A</v>
      </c>
      <c r="L1006" t="e">
        <f t="shared" si="227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4"/>
        <v>0</v>
      </c>
      <c r="B1007">
        <f t="shared" si="215"/>
        <v>0</v>
      </c>
      <c r="C1007">
        <f t="shared" si="216"/>
        <v>0</v>
      </c>
      <c r="D1007">
        <f t="shared" si="217"/>
        <v>0</v>
      </c>
      <c r="E1007" t="e">
        <f t="shared" si="218"/>
        <v>#N/A</v>
      </c>
      <c r="F1007">
        <f t="shared" si="219"/>
        <v>0</v>
      </c>
      <c r="G1007">
        <f t="shared" si="220"/>
        <v>0</v>
      </c>
      <c r="H1007">
        <f t="shared" si="221"/>
        <v>0</v>
      </c>
      <c r="I1007">
        <f t="shared" si="222"/>
        <v>0</v>
      </c>
      <c r="J1007">
        <f t="shared" si="223"/>
        <v>0</v>
      </c>
      <c r="K1007" s="4" t="e">
        <f t="shared" si="226"/>
        <v>#N/A</v>
      </c>
      <c r="L1007" t="e">
        <f t="shared" si="227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4"/>
        <v>0</v>
      </c>
      <c r="B1008">
        <f t="shared" si="215"/>
        <v>0</v>
      </c>
      <c r="C1008">
        <f t="shared" si="216"/>
        <v>0</v>
      </c>
      <c r="D1008">
        <f t="shared" si="217"/>
        <v>0</v>
      </c>
      <c r="E1008" t="e">
        <f t="shared" si="218"/>
        <v>#N/A</v>
      </c>
      <c r="F1008">
        <f t="shared" si="219"/>
        <v>0</v>
      </c>
      <c r="G1008">
        <f t="shared" si="220"/>
        <v>0</v>
      </c>
      <c r="H1008">
        <f t="shared" si="221"/>
        <v>0</v>
      </c>
      <c r="I1008">
        <f t="shared" si="222"/>
        <v>0</v>
      </c>
      <c r="J1008">
        <f t="shared" si="223"/>
        <v>0</v>
      </c>
      <c r="K1008" s="4" t="e">
        <f t="shared" si="226"/>
        <v>#N/A</v>
      </c>
      <c r="L1008" t="e">
        <f t="shared" si="227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4"/>
        <v>0</v>
      </c>
      <c r="B1009">
        <f t="shared" si="215"/>
        <v>0</v>
      </c>
      <c r="C1009">
        <f t="shared" si="216"/>
        <v>0</v>
      </c>
      <c r="D1009">
        <f t="shared" si="217"/>
        <v>0</v>
      </c>
      <c r="E1009" t="e">
        <f t="shared" si="218"/>
        <v>#N/A</v>
      </c>
      <c r="F1009">
        <f t="shared" si="219"/>
        <v>0</v>
      </c>
      <c r="G1009">
        <f t="shared" si="220"/>
        <v>0</v>
      </c>
      <c r="H1009">
        <f t="shared" si="221"/>
        <v>0</v>
      </c>
      <c r="I1009">
        <f t="shared" si="222"/>
        <v>0</v>
      </c>
      <c r="J1009">
        <f t="shared" si="223"/>
        <v>0</v>
      </c>
      <c r="K1009" s="4" t="e">
        <f t="shared" si="226"/>
        <v>#N/A</v>
      </c>
      <c r="L1009" t="e">
        <f t="shared" si="227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4"/>
        <v>0</v>
      </c>
      <c r="B1010">
        <f t="shared" si="215"/>
        <v>0</v>
      </c>
      <c r="C1010">
        <f t="shared" si="216"/>
        <v>0</v>
      </c>
      <c r="D1010">
        <f t="shared" si="217"/>
        <v>0</v>
      </c>
      <c r="E1010" t="e">
        <f t="shared" si="218"/>
        <v>#N/A</v>
      </c>
      <c r="F1010">
        <f t="shared" si="219"/>
        <v>0</v>
      </c>
      <c r="G1010">
        <f t="shared" si="220"/>
        <v>0</v>
      </c>
      <c r="H1010">
        <f t="shared" si="221"/>
        <v>0</v>
      </c>
      <c r="I1010">
        <f t="shared" si="222"/>
        <v>0</v>
      </c>
      <c r="J1010">
        <f t="shared" si="223"/>
        <v>0</v>
      </c>
      <c r="K1010" s="4" t="e">
        <f t="shared" si="226"/>
        <v>#N/A</v>
      </c>
      <c r="L1010" t="e">
        <f t="shared" si="227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4"/>
        <v>0</v>
      </c>
      <c r="B1011">
        <f t="shared" si="215"/>
        <v>0</v>
      </c>
      <c r="C1011">
        <f t="shared" si="216"/>
        <v>0</v>
      </c>
      <c r="D1011">
        <f t="shared" si="217"/>
        <v>0</v>
      </c>
      <c r="E1011" t="e">
        <f t="shared" si="218"/>
        <v>#N/A</v>
      </c>
      <c r="F1011">
        <f t="shared" si="219"/>
        <v>0</v>
      </c>
      <c r="G1011">
        <f t="shared" si="220"/>
        <v>0</v>
      </c>
      <c r="H1011">
        <f t="shared" si="221"/>
        <v>0</v>
      </c>
      <c r="I1011">
        <f t="shared" si="222"/>
        <v>0</v>
      </c>
      <c r="J1011">
        <f t="shared" si="223"/>
        <v>0</v>
      </c>
      <c r="K1011" s="4" t="e">
        <f t="shared" si="226"/>
        <v>#N/A</v>
      </c>
      <c r="L1011" t="e">
        <f t="shared" si="227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4"/>
        <v>0</v>
      </c>
      <c r="B1012">
        <f t="shared" si="215"/>
        <v>0</v>
      </c>
      <c r="C1012">
        <f t="shared" si="216"/>
        <v>0</v>
      </c>
      <c r="D1012">
        <f t="shared" si="217"/>
        <v>0</v>
      </c>
      <c r="E1012" t="e">
        <f t="shared" si="218"/>
        <v>#N/A</v>
      </c>
      <c r="F1012">
        <f t="shared" si="219"/>
        <v>0</v>
      </c>
      <c r="G1012">
        <f t="shared" si="220"/>
        <v>0</v>
      </c>
      <c r="H1012">
        <f t="shared" si="221"/>
        <v>0</v>
      </c>
      <c r="I1012">
        <f t="shared" si="222"/>
        <v>0</v>
      </c>
      <c r="J1012">
        <f t="shared" si="223"/>
        <v>0</v>
      </c>
      <c r="K1012" s="4" t="e">
        <f t="shared" si="226"/>
        <v>#N/A</v>
      </c>
      <c r="L1012" t="e">
        <f t="shared" si="227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4"/>
        <v>0</v>
      </c>
      <c r="B1013">
        <f t="shared" si="215"/>
        <v>0</v>
      </c>
      <c r="C1013">
        <f t="shared" si="216"/>
        <v>0</v>
      </c>
      <c r="D1013">
        <f t="shared" si="217"/>
        <v>0</v>
      </c>
      <c r="E1013" t="e">
        <f t="shared" si="218"/>
        <v>#N/A</v>
      </c>
      <c r="F1013">
        <f t="shared" si="219"/>
        <v>0</v>
      </c>
      <c r="G1013">
        <f t="shared" si="220"/>
        <v>0</v>
      </c>
      <c r="H1013">
        <f t="shared" si="221"/>
        <v>0</v>
      </c>
      <c r="I1013">
        <f t="shared" si="222"/>
        <v>0</v>
      </c>
      <c r="J1013">
        <f t="shared" si="223"/>
        <v>0</v>
      </c>
      <c r="K1013" s="4" t="e">
        <f t="shared" si="226"/>
        <v>#N/A</v>
      </c>
      <c r="L1013" t="e">
        <f t="shared" si="227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4"/>
        <v>0</v>
      </c>
      <c r="B1014">
        <f t="shared" si="215"/>
        <v>0</v>
      </c>
      <c r="C1014">
        <f t="shared" si="216"/>
        <v>0</v>
      </c>
      <c r="D1014">
        <f t="shared" si="217"/>
        <v>0</v>
      </c>
      <c r="E1014" t="e">
        <f t="shared" si="218"/>
        <v>#N/A</v>
      </c>
      <c r="F1014">
        <f t="shared" si="219"/>
        <v>0</v>
      </c>
      <c r="G1014">
        <f t="shared" si="220"/>
        <v>0</v>
      </c>
      <c r="H1014">
        <f t="shared" si="221"/>
        <v>0</v>
      </c>
      <c r="I1014">
        <f t="shared" si="222"/>
        <v>0</v>
      </c>
      <c r="J1014">
        <f t="shared" si="223"/>
        <v>0</v>
      </c>
      <c r="K1014" s="4" t="e">
        <f t="shared" si="226"/>
        <v>#N/A</v>
      </c>
      <c r="L1014" t="e">
        <f t="shared" si="227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4"/>
        <v>0</v>
      </c>
      <c r="B1015">
        <f t="shared" si="215"/>
        <v>0</v>
      </c>
      <c r="C1015">
        <f t="shared" si="216"/>
        <v>0</v>
      </c>
      <c r="D1015">
        <f t="shared" si="217"/>
        <v>0</v>
      </c>
      <c r="E1015" t="e">
        <f t="shared" si="218"/>
        <v>#N/A</v>
      </c>
      <c r="F1015">
        <f t="shared" si="219"/>
        <v>0</v>
      </c>
      <c r="G1015">
        <f t="shared" si="220"/>
        <v>0</v>
      </c>
      <c r="H1015">
        <f t="shared" si="221"/>
        <v>0</v>
      </c>
      <c r="I1015">
        <f t="shared" si="222"/>
        <v>0</v>
      </c>
      <c r="J1015">
        <f t="shared" si="223"/>
        <v>0</v>
      </c>
      <c r="K1015" s="4" t="e">
        <f t="shared" si="226"/>
        <v>#N/A</v>
      </c>
      <c r="L1015" t="e">
        <f t="shared" si="227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4"/>
        <v>0</v>
      </c>
      <c r="B1016">
        <f t="shared" si="215"/>
        <v>0</v>
      </c>
      <c r="C1016">
        <f t="shared" si="216"/>
        <v>0</v>
      </c>
      <c r="D1016">
        <f t="shared" si="217"/>
        <v>0</v>
      </c>
      <c r="E1016" t="e">
        <f t="shared" si="218"/>
        <v>#N/A</v>
      </c>
      <c r="F1016">
        <f t="shared" si="219"/>
        <v>0</v>
      </c>
      <c r="G1016">
        <f t="shared" si="220"/>
        <v>0</v>
      </c>
      <c r="H1016">
        <f t="shared" si="221"/>
        <v>0</v>
      </c>
      <c r="I1016">
        <f t="shared" si="222"/>
        <v>0</v>
      </c>
      <c r="J1016">
        <f t="shared" si="223"/>
        <v>0</v>
      </c>
      <c r="K1016" s="4" t="e">
        <f t="shared" si="226"/>
        <v>#N/A</v>
      </c>
      <c r="L1016" t="e">
        <f t="shared" si="227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4"/>
        <v>0</v>
      </c>
      <c r="B1017">
        <f t="shared" si="215"/>
        <v>0</v>
      </c>
      <c r="C1017">
        <f t="shared" si="216"/>
        <v>0</v>
      </c>
      <c r="D1017">
        <f t="shared" si="217"/>
        <v>0</v>
      </c>
      <c r="E1017" t="e">
        <f t="shared" si="218"/>
        <v>#N/A</v>
      </c>
      <c r="F1017">
        <f t="shared" si="219"/>
        <v>0</v>
      </c>
      <c r="G1017">
        <f t="shared" si="220"/>
        <v>0</v>
      </c>
      <c r="H1017">
        <f t="shared" si="221"/>
        <v>0</v>
      </c>
      <c r="I1017">
        <f t="shared" si="222"/>
        <v>0</v>
      </c>
      <c r="J1017">
        <f t="shared" si="223"/>
        <v>0</v>
      </c>
      <c r="K1017" s="4" t="e">
        <f t="shared" si="226"/>
        <v>#N/A</v>
      </c>
      <c r="L1017" t="e">
        <f t="shared" si="227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4"/>
        <v>0</v>
      </c>
      <c r="B1018">
        <f t="shared" si="215"/>
        <v>0</v>
      </c>
      <c r="C1018">
        <f t="shared" si="216"/>
        <v>0</v>
      </c>
      <c r="D1018">
        <f t="shared" si="217"/>
        <v>0</v>
      </c>
      <c r="E1018" t="e">
        <f t="shared" si="218"/>
        <v>#N/A</v>
      </c>
      <c r="F1018">
        <f t="shared" si="219"/>
        <v>0</v>
      </c>
      <c r="G1018">
        <f t="shared" si="220"/>
        <v>0</v>
      </c>
      <c r="H1018">
        <f t="shared" si="221"/>
        <v>0</v>
      </c>
      <c r="I1018">
        <f t="shared" si="222"/>
        <v>0</v>
      </c>
      <c r="J1018">
        <f t="shared" si="223"/>
        <v>0</v>
      </c>
      <c r="K1018" s="4" t="e">
        <f t="shared" si="226"/>
        <v>#N/A</v>
      </c>
      <c r="L1018" t="e">
        <f t="shared" si="227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4"/>
        <v>0</v>
      </c>
      <c r="B1019">
        <f t="shared" si="215"/>
        <v>0</v>
      </c>
      <c r="C1019">
        <f t="shared" si="216"/>
        <v>0</v>
      </c>
      <c r="D1019">
        <f t="shared" si="217"/>
        <v>0</v>
      </c>
      <c r="E1019" t="e">
        <f t="shared" si="218"/>
        <v>#N/A</v>
      </c>
      <c r="F1019">
        <f t="shared" si="219"/>
        <v>0</v>
      </c>
      <c r="G1019">
        <f t="shared" si="220"/>
        <v>0</v>
      </c>
      <c r="H1019">
        <f t="shared" si="221"/>
        <v>0</v>
      </c>
      <c r="I1019">
        <f t="shared" si="222"/>
        <v>0</v>
      </c>
      <c r="J1019">
        <f t="shared" si="223"/>
        <v>0</v>
      </c>
      <c r="K1019" s="4" t="e">
        <f t="shared" si="226"/>
        <v>#N/A</v>
      </c>
      <c r="L1019" t="e">
        <f t="shared" si="227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4"/>
        <v>0</v>
      </c>
      <c r="B1020">
        <f t="shared" si="215"/>
        <v>0</v>
      </c>
      <c r="C1020">
        <f t="shared" si="216"/>
        <v>0</v>
      </c>
      <c r="D1020">
        <f t="shared" si="217"/>
        <v>0</v>
      </c>
      <c r="E1020" t="e">
        <f t="shared" si="218"/>
        <v>#N/A</v>
      </c>
      <c r="F1020">
        <f t="shared" si="219"/>
        <v>0</v>
      </c>
      <c r="G1020">
        <f t="shared" si="220"/>
        <v>0</v>
      </c>
      <c r="H1020">
        <f t="shared" si="221"/>
        <v>0</v>
      </c>
      <c r="I1020">
        <f t="shared" si="222"/>
        <v>0</v>
      </c>
      <c r="J1020">
        <f t="shared" si="223"/>
        <v>0</v>
      </c>
      <c r="K1020" s="4" t="e">
        <f t="shared" si="226"/>
        <v>#N/A</v>
      </c>
      <c r="L1020" t="e">
        <f t="shared" si="227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4"/>
        <v>0</v>
      </c>
      <c r="B1021">
        <f t="shared" si="215"/>
        <v>0</v>
      </c>
      <c r="C1021">
        <f t="shared" si="216"/>
        <v>0</v>
      </c>
      <c r="D1021">
        <f t="shared" si="217"/>
        <v>0</v>
      </c>
      <c r="E1021" t="e">
        <f t="shared" si="218"/>
        <v>#N/A</v>
      </c>
      <c r="F1021">
        <f t="shared" si="219"/>
        <v>0</v>
      </c>
      <c r="G1021">
        <f t="shared" si="220"/>
        <v>0</v>
      </c>
      <c r="H1021">
        <f t="shared" si="221"/>
        <v>0</v>
      </c>
      <c r="I1021">
        <f t="shared" si="222"/>
        <v>0</v>
      </c>
      <c r="J1021">
        <f t="shared" si="223"/>
        <v>0</v>
      </c>
      <c r="K1021" s="4" t="e">
        <f t="shared" si="226"/>
        <v>#N/A</v>
      </c>
      <c r="L1021" t="e">
        <f t="shared" si="227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4"/>
        <v>0</v>
      </c>
      <c r="B1022">
        <f t="shared" si="215"/>
        <v>0</v>
      </c>
      <c r="C1022">
        <f t="shared" si="216"/>
        <v>0</v>
      </c>
      <c r="D1022">
        <f t="shared" si="217"/>
        <v>0</v>
      </c>
      <c r="E1022" t="e">
        <f t="shared" si="218"/>
        <v>#N/A</v>
      </c>
      <c r="F1022">
        <f t="shared" si="219"/>
        <v>0</v>
      </c>
      <c r="G1022">
        <f t="shared" si="220"/>
        <v>0</v>
      </c>
      <c r="H1022">
        <f t="shared" si="221"/>
        <v>0</v>
      </c>
      <c r="I1022">
        <f t="shared" si="222"/>
        <v>0</v>
      </c>
      <c r="J1022">
        <f t="shared" si="223"/>
        <v>0</v>
      </c>
      <c r="K1022" s="4" t="e">
        <f t="shared" si="226"/>
        <v>#N/A</v>
      </c>
      <c r="L1022" t="e">
        <f t="shared" si="227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4"/>
        <v>0</v>
      </c>
      <c r="B1023">
        <f t="shared" si="215"/>
        <v>0</v>
      </c>
      <c r="C1023">
        <f t="shared" si="216"/>
        <v>0</v>
      </c>
      <c r="D1023">
        <f t="shared" si="217"/>
        <v>0</v>
      </c>
      <c r="E1023" t="e">
        <f t="shared" si="218"/>
        <v>#N/A</v>
      </c>
      <c r="F1023">
        <f t="shared" si="219"/>
        <v>0</v>
      </c>
      <c r="G1023">
        <f t="shared" si="220"/>
        <v>0</v>
      </c>
      <c r="H1023">
        <f t="shared" si="221"/>
        <v>0</v>
      </c>
      <c r="I1023">
        <f t="shared" si="222"/>
        <v>0</v>
      </c>
      <c r="J1023">
        <f t="shared" si="223"/>
        <v>0</v>
      </c>
      <c r="K1023" s="4" t="e">
        <f t="shared" si="226"/>
        <v>#N/A</v>
      </c>
      <c r="L1023" t="e">
        <f t="shared" si="227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4"/>
        <v>0</v>
      </c>
      <c r="B1024">
        <f t="shared" si="215"/>
        <v>0</v>
      </c>
      <c r="C1024">
        <f t="shared" si="216"/>
        <v>0</v>
      </c>
      <c r="D1024">
        <f t="shared" si="217"/>
        <v>0</v>
      </c>
      <c r="E1024" t="e">
        <f t="shared" si="218"/>
        <v>#N/A</v>
      </c>
      <c r="F1024">
        <f t="shared" si="219"/>
        <v>0</v>
      </c>
      <c r="G1024">
        <f t="shared" si="220"/>
        <v>0</v>
      </c>
      <c r="H1024">
        <f t="shared" si="221"/>
        <v>0</v>
      </c>
      <c r="I1024">
        <f t="shared" si="222"/>
        <v>0</v>
      </c>
      <c r="J1024">
        <f t="shared" si="223"/>
        <v>0</v>
      </c>
      <c r="K1024" s="4" t="e">
        <f t="shared" si="226"/>
        <v>#N/A</v>
      </c>
      <c r="L1024" t="e">
        <f t="shared" si="227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4"/>
        <v>0</v>
      </c>
      <c r="B1025">
        <f t="shared" si="215"/>
        <v>0</v>
      </c>
      <c r="C1025">
        <f t="shared" si="216"/>
        <v>0</v>
      </c>
      <c r="D1025">
        <f t="shared" si="217"/>
        <v>0</v>
      </c>
      <c r="E1025" t="e">
        <f t="shared" si="218"/>
        <v>#N/A</v>
      </c>
      <c r="F1025">
        <f t="shared" si="219"/>
        <v>0</v>
      </c>
      <c r="G1025">
        <f t="shared" si="220"/>
        <v>0</v>
      </c>
      <c r="H1025">
        <f t="shared" si="221"/>
        <v>0</v>
      </c>
      <c r="I1025">
        <f t="shared" si="222"/>
        <v>0</v>
      </c>
      <c r="J1025">
        <f t="shared" si="223"/>
        <v>0</v>
      </c>
      <c r="K1025" s="4" t="e">
        <f t="shared" si="226"/>
        <v>#N/A</v>
      </c>
      <c r="L1025" t="e">
        <f t="shared" si="227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8">bd_campaign</f>
        <v>0</v>
      </c>
      <c r="B1026">
        <f t="shared" ref="B1026:B1089" si="229">bd_site</f>
        <v>0</v>
      </c>
      <c r="C1026">
        <f t="shared" ref="C1026:C1089" si="230">bd_placement</f>
        <v>0</v>
      </c>
      <c r="D1026">
        <f t="shared" ref="D1026:D1089" si="231">bd_placementID</f>
        <v>0</v>
      </c>
      <c r="E1026" t="e">
        <f t="shared" ref="E1026:E1089" si="232">VLOOKUP(CONCATENATE(bd_adtype,"_",bd_creativetype),tabela,2,FALSE)</f>
        <v>#N/A</v>
      </c>
      <c r="F1026">
        <f t="shared" ref="F1026:F1089" si="233">bd_ad</f>
        <v>0</v>
      </c>
      <c r="G1026">
        <f t="shared" ref="G1026:G1089" si="234">bd_adid</f>
        <v>0</v>
      </c>
      <c r="H1026">
        <f t="shared" ref="H1026:H1089" si="235">bd_creativetype</f>
        <v>0</v>
      </c>
      <c r="I1026">
        <f t="shared" ref="I1026:I1089" si="236">bd_impression</f>
        <v>0</v>
      </c>
      <c r="J1026">
        <f t="shared" ref="J1026:J1089" si="237">bd_clicks</f>
        <v>0</v>
      </c>
      <c r="K1026" s="4" t="e">
        <f t="shared" si="226"/>
        <v>#N/A</v>
      </c>
      <c r="L1026" t="e">
        <f t="shared" si="227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8"/>
        <v>0</v>
      </c>
      <c r="B1027">
        <f t="shared" si="229"/>
        <v>0</v>
      </c>
      <c r="C1027">
        <f t="shared" si="230"/>
        <v>0</v>
      </c>
      <c r="D1027">
        <f t="shared" si="231"/>
        <v>0</v>
      </c>
      <c r="E1027" t="e">
        <f t="shared" si="232"/>
        <v>#N/A</v>
      </c>
      <c r="F1027">
        <f t="shared" si="233"/>
        <v>0</v>
      </c>
      <c r="G1027">
        <f t="shared" si="234"/>
        <v>0</v>
      </c>
      <c r="H1027">
        <f t="shared" si="235"/>
        <v>0</v>
      </c>
      <c r="I1027">
        <f t="shared" si="236"/>
        <v>0</v>
      </c>
      <c r="J1027">
        <f t="shared" si="237"/>
        <v>0</v>
      </c>
      <c r="K1027" s="4" t="e">
        <f t="shared" si="226"/>
        <v>#N/A</v>
      </c>
      <c r="L1027" t="e">
        <f t="shared" si="227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8"/>
        <v>0</v>
      </c>
      <c r="B1028">
        <f t="shared" si="229"/>
        <v>0</v>
      </c>
      <c r="C1028">
        <f t="shared" si="230"/>
        <v>0</v>
      </c>
      <c r="D1028">
        <f t="shared" si="231"/>
        <v>0</v>
      </c>
      <c r="E1028" t="e">
        <f t="shared" si="232"/>
        <v>#N/A</v>
      </c>
      <c r="F1028">
        <f t="shared" si="233"/>
        <v>0</v>
      </c>
      <c r="G1028">
        <f t="shared" si="234"/>
        <v>0</v>
      </c>
      <c r="H1028">
        <f t="shared" si="235"/>
        <v>0</v>
      </c>
      <c r="I1028">
        <f t="shared" si="236"/>
        <v>0</v>
      </c>
      <c r="J1028">
        <f t="shared" si="237"/>
        <v>0</v>
      </c>
      <c r="K1028" s="4" t="e">
        <f t="shared" si="226"/>
        <v>#N/A</v>
      </c>
      <c r="L1028" t="e">
        <f t="shared" si="227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8"/>
        <v>0</v>
      </c>
      <c r="B1029">
        <f t="shared" si="229"/>
        <v>0</v>
      </c>
      <c r="C1029">
        <f t="shared" si="230"/>
        <v>0</v>
      </c>
      <c r="D1029">
        <f t="shared" si="231"/>
        <v>0</v>
      </c>
      <c r="E1029" t="e">
        <f t="shared" si="232"/>
        <v>#N/A</v>
      </c>
      <c r="F1029">
        <f t="shared" si="233"/>
        <v>0</v>
      </c>
      <c r="G1029">
        <f t="shared" si="234"/>
        <v>0</v>
      </c>
      <c r="H1029">
        <f t="shared" si="235"/>
        <v>0</v>
      </c>
      <c r="I1029">
        <f t="shared" si="236"/>
        <v>0</v>
      </c>
      <c r="J1029">
        <f t="shared" si="237"/>
        <v>0</v>
      </c>
      <c r="K1029" s="4" t="e">
        <f t="shared" si="226"/>
        <v>#N/A</v>
      </c>
      <c r="L1029" t="e">
        <f t="shared" si="227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8"/>
        <v>0</v>
      </c>
      <c r="B1030">
        <f t="shared" si="229"/>
        <v>0</v>
      </c>
      <c r="C1030">
        <f t="shared" si="230"/>
        <v>0</v>
      </c>
      <c r="D1030">
        <f t="shared" si="231"/>
        <v>0</v>
      </c>
      <c r="E1030" t="e">
        <f t="shared" si="232"/>
        <v>#N/A</v>
      </c>
      <c r="F1030">
        <f t="shared" si="233"/>
        <v>0</v>
      </c>
      <c r="G1030">
        <f t="shared" si="234"/>
        <v>0</v>
      </c>
      <c r="H1030">
        <f t="shared" si="235"/>
        <v>0</v>
      </c>
      <c r="I1030">
        <f t="shared" si="236"/>
        <v>0</v>
      </c>
      <c r="J1030">
        <f t="shared" si="237"/>
        <v>0</v>
      </c>
      <c r="K1030" s="4" t="e">
        <f t="shared" si="226"/>
        <v>#N/A</v>
      </c>
      <c r="L1030" t="e">
        <f t="shared" si="227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8"/>
        <v>0</v>
      </c>
      <c r="B1031">
        <f t="shared" si="229"/>
        <v>0</v>
      </c>
      <c r="C1031">
        <f t="shared" si="230"/>
        <v>0</v>
      </c>
      <c r="D1031">
        <f t="shared" si="231"/>
        <v>0</v>
      </c>
      <c r="E1031" t="e">
        <f t="shared" si="232"/>
        <v>#N/A</v>
      </c>
      <c r="F1031">
        <f t="shared" si="233"/>
        <v>0</v>
      </c>
      <c r="G1031">
        <f t="shared" si="234"/>
        <v>0</v>
      </c>
      <c r="H1031">
        <f t="shared" si="235"/>
        <v>0</v>
      </c>
      <c r="I1031">
        <f t="shared" si="236"/>
        <v>0</v>
      </c>
      <c r="J1031">
        <f t="shared" si="237"/>
        <v>0</v>
      </c>
      <c r="K1031" s="4" t="e">
        <f t="shared" si="226"/>
        <v>#N/A</v>
      </c>
      <c r="L1031" t="e">
        <f t="shared" si="227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8"/>
        <v>0</v>
      </c>
      <c r="B1032">
        <f t="shared" si="229"/>
        <v>0</v>
      </c>
      <c r="C1032">
        <f t="shared" si="230"/>
        <v>0</v>
      </c>
      <c r="D1032">
        <f t="shared" si="231"/>
        <v>0</v>
      </c>
      <c r="E1032" t="e">
        <f t="shared" si="232"/>
        <v>#N/A</v>
      </c>
      <c r="F1032">
        <f t="shared" si="233"/>
        <v>0</v>
      </c>
      <c r="G1032">
        <f t="shared" si="234"/>
        <v>0</v>
      </c>
      <c r="H1032">
        <f t="shared" si="235"/>
        <v>0</v>
      </c>
      <c r="I1032">
        <f t="shared" si="236"/>
        <v>0</v>
      </c>
      <c r="J1032">
        <f t="shared" si="237"/>
        <v>0</v>
      </c>
      <c r="K1032" s="4" t="e">
        <f t="shared" si="226"/>
        <v>#N/A</v>
      </c>
      <c r="L1032" t="e">
        <f t="shared" si="227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8"/>
        <v>0</v>
      </c>
      <c r="B1033">
        <f t="shared" si="229"/>
        <v>0</v>
      </c>
      <c r="C1033">
        <f t="shared" si="230"/>
        <v>0</v>
      </c>
      <c r="D1033">
        <f t="shared" si="231"/>
        <v>0</v>
      </c>
      <c r="E1033" t="e">
        <f t="shared" si="232"/>
        <v>#N/A</v>
      </c>
      <c r="F1033">
        <f t="shared" si="233"/>
        <v>0</v>
      </c>
      <c r="G1033">
        <f t="shared" si="234"/>
        <v>0</v>
      </c>
      <c r="H1033">
        <f t="shared" si="235"/>
        <v>0</v>
      </c>
      <c r="I1033">
        <f t="shared" si="236"/>
        <v>0</v>
      </c>
      <c r="J1033">
        <f t="shared" si="237"/>
        <v>0</v>
      </c>
      <c r="K1033" s="4" t="e">
        <f t="shared" si="226"/>
        <v>#N/A</v>
      </c>
      <c r="L1033" t="e">
        <f t="shared" si="227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8"/>
        <v>0</v>
      </c>
      <c r="B1034">
        <f t="shared" si="229"/>
        <v>0</v>
      </c>
      <c r="C1034">
        <f t="shared" si="230"/>
        <v>0</v>
      </c>
      <c r="D1034">
        <f t="shared" si="231"/>
        <v>0</v>
      </c>
      <c r="E1034" t="e">
        <f t="shared" si="232"/>
        <v>#N/A</v>
      </c>
      <c r="F1034">
        <f t="shared" si="233"/>
        <v>0</v>
      </c>
      <c r="G1034">
        <f t="shared" si="234"/>
        <v>0</v>
      </c>
      <c r="H1034">
        <f t="shared" si="235"/>
        <v>0</v>
      </c>
      <c r="I1034">
        <f t="shared" si="236"/>
        <v>0</v>
      </c>
      <c r="J1034">
        <f t="shared" si="237"/>
        <v>0</v>
      </c>
      <c r="K1034" s="4" t="e">
        <f t="shared" si="226"/>
        <v>#N/A</v>
      </c>
      <c r="L1034" t="e">
        <f t="shared" si="227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8"/>
        <v>0</v>
      </c>
      <c r="B1035">
        <f t="shared" si="229"/>
        <v>0</v>
      </c>
      <c r="C1035">
        <f t="shared" si="230"/>
        <v>0</v>
      </c>
      <c r="D1035">
        <f t="shared" si="231"/>
        <v>0</v>
      </c>
      <c r="E1035" t="e">
        <f t="shared" si="232"/>
        <v>#N/A</v>
      </c>
      <c r="F1035">
        <f t="shared" si="233"/>
        <v>0</v>
      </c>
      <c r="G1035">
        <f t="shared" si="234"/>
        <v>0</v>
      </c>
      <c r="H1035">
        <f t="shared" si="235"/>
        <v>0</v>
      </c>
      <c r="I1035">
        <f t="shared" si="236"/>
        <v>0</v>
      </c>
      <c r="J1035">
        <f t="shared" si="237"/>
        <v>0</v>
      </c>
      <c r="K1035" s="4" t="e">
        <f t="shared" si="226"/>
        <v>#N/A</v>
      </c>
      <c r="L1035" t="e">
        <f t="shared" si="227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8"/>
        <v>0</v>
      </c>
      <c r="B1036">
        <f t="shared" si="229"/>
        <v>0</v>
      </c>
      <c r="C1036">
        <f t="shared" si="230"/>
        <v>0</v>
      </c>
      <c r="D1036">
        <f t="shared" si="231"/>
        <v>0</v>
      </c>
      <c r="E1036" t="e">
        <f t="shared" si="232"/>
        <v>#N/A</v>
      </c>
      <c r="F1036">
        <f t="shared" si="233"/>
        <v>0</v>
      </c>
      <c r="G1036">
        <f t="shared" si="234"/>
        <v>0</v>
      </c>
      <c r="H1036">
        <f t="shared" si="235"/>
        <v>0</v>
      </c>
      <c r="I1036">
        <f t="shared" si="236"/>
        <v>0</v>
      </c>
      <c r="J1036">
        <f t="shared" si="237"/>
        <v>0</v>
      </c>
      <c r="K1036" s="4" t="e">
        <f t="shared" si="226"/>
        <v>#N/A</v>
      </c>
      <c r="L1036" t="e">
        <f t="shared" si="227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8"/>
        <v>0</v>
      </c>
      <c r="B1037">
        <f t="shared" si="229"/>
        <v>0</v>
      </c>
      <c r="C1037">
        <f t="shared" si="230"/>
        <v>0</v>
      </c>
      <c r="D1037">
        <f t="shared" si="231"/>
        <v>0</v>
      </c>
      <c r="E1037" t="e">
        <f t="shared" si="232"/>
        <v>#N/A</v>
      </c>
      <c r="F1037">
        <f t="shared" si="233"/>
        <v>0</v>
      </c>
      <c r="G1037">
        <f t="shared" si="234"/>
        <v>0</v>
      </c>
      <c r="H1037">
        <f t="shared" si="235"/>
        <v>0</v>
      </c>
      <c r="I1037">
        <f t="shared" si="236"/>
        <v>0</v>
      </c>
      <c r="J1037">
        <f t="shared" si="237"/>
        <v>0</v>
      </c>
      <c r="K1037" s="4" t="e">
        <f t="shared" si="226"/>
        <v>#N/A</v>
      </c>
      <c r="L1037" t="e">
        <f t="shared" si="227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8"/>
        <v>0</v>
      </c>
      <c r="B1038">
        <f t="shared" si="229"/>
        <v>0</v>
      </c>
      <c r="C1038">
        <f t="shared" si="230"/>
        <v>0</v>
      </c>
      <c r="D1038">
        <f t="shared" si="231"/>
        <v>0</v>
      </c>
      <c r="E1038" t="e">
        <f t="shared" si="232"/>
        <v>#N/A</v>
      </c>
      <c r="F1038">
        <f t="shared" si="233"/>
        <v>0</v>
      </c>
      <c r="G1038">
        <f t="shared" si="234"/>
        <v>0</v>
      </c>
      <c r="H1038">
        <f t="shared" si="235"/>
        <v>0</v>
      </c>
      <c r="I1038">
        <f t="shared" si="236"/>
        <v>0</v>
      </c>
      <c r="J1038">
        <f t="shared" si="237"/>
        <v>0</v>
      </c>
      <c r="K1038" s="4" t="e">
        <f t="shared" si="226"/>
        <v>#N/A</v>
      </c>
      <c r="L1038" t="e">
        <f t="shared" si="227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8"/>
        <v>0</v>
      </c>
      <c r="B1039">
        <f t="shared" si="229"/>
        <v>0</v>
      </c>
      <c r="C1039">
        <f t="shared" si="230"/>
        <v>0</v>
      </c>
      <c r="D1039">
        <f t="shared" si="231"/>
        <v>0</v>
      </c>
      <c r="E1039" t="e">
        <f t="shared" si="232"/>
        <v>#N/A</v>
      </c>
      <c r="F1039">
        <f t="shared" si="233"/>
        <v>0</v>
      </c>
      <c r="G1039">
        <f t="shared" si="234"/>
        <v>0</v>
      </c>
      <c r="H1039">
        <f t="shared" si="235"/>
        <v>0</v>
      </c>
      <c r="I1039">
        <f t="shared" si="236"/>
        <v>0</v>
      </c>
      <c r="J1039">
        <f t="shared" si="237"/>
        <v>0</v>
      </c>
      <c r="K1039" s="4" t="e">
        <f t="shared" si="226"/>
        <v>#N/A</v>
      </c>
      <c r="L1039" t="e">
        <f t="shared" si="227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8"/>
        <v>0</v>
      </c>
      <c r="B1040">
        <f t="shared" si="229"/>
        <v>0</v>
      </c>
      <c r="C1040">
        <f t="shared" si="230"/>
        <v>0</v>
      </c>
      <c r="D1040">
        <f t="shared" si="231"/>
        <v>0</v>
      </c>
      <c r="E1040" t="e">
        <f t="shared" si="232"/>
        <v>#N/A</v>
      </c>
      <c r="F1040">
        <f t="shared" si="233"/>
        <v>0</v>
      </c>
      <c r="G1040">
        <f t="shared" si="234"/>
        <v>0</v>
      </c>
      <c r="H1040">
        <f t="shared" si="235"/>
        <v>0</v>
      </c>
      <c r="I1040">
        <f t="shared" si="236"/>
        <v>0</v>
      </c>
      <c r="J1040">
        <f t="shared" si="237"/>
        <v>0</v>
      </c>
      <c r="K1040" s="4" t="e">
        <f t="shared" si="226"/>
        <v>#N/A</v>
      </c>
      <c r="L1040" t="e">
        <f t="shared" si="227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8"/>
        <v>0</v>
      </c>
      <c r="B1041">
        <f t="shared" si="229"/>
        <v>0</v>
      </c>
      <c r="C1041">
        <f t="shared" si="230"/>
        <v>0</v>
      </c>
      <c r="D1041">
        <f t="shared" si="231"/>
        <v>0</v>
      </c>
      <c r="E1041" t="e">
        <f t="shared" si="232"/>
        <v>#N/A</v>
      </c>
      <c r="F1041">
        <f t="shared" si="233"/>
        <v>0</v>
      </c>
      <c r="G1041">
        <f t="shared" si="234"/>
        <v>0</v>
      </c>
      <c r="H1041">
        <f t="shared" si="235"/>
        <v>0</v>
      </c>
      <c r="I1041">
        <f t="shared" si="236"/>
        <v>0</v>
      </c>
      <c r="J1041">
        <f t="shared" si="237"/>
        <v>0</v>
      </c>
      <c r="K1041" s="4" t="e">
        <f t="shared" si="226"/>
        <v>#N/A</v>
      </c>
      <c r="L1041" t="e">
        <f t="shared" si="227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8"/>
        <v>0</v>
      </c>
      <c r="B1042">
        <f t="shared" si="229"/>
        <v>0</v>
      </c>
      <c r="C1042">
        <f t="shared" si="230"/>
        <v>0</v>
      </c>
      <c r="D1042">
        <f t="shared" si="231"/>
        <v>0</v>
      </c>
      <c r="E1042" t="e">
        <f t="shared" si="232"/>
        <v>#N/A</v>
      </c>
      <c r="F1042">
        <f t="shared" si="233"/>
        <v>0</v>
      </c>
      <c r="G1042">
        <f t="shared" si="234"/>
        <v>0</v>
      </c>
      <c r="H1042">
        <f t="shared" si="235"/>
        <v>0</v>
      </c>
      <c r="I1042">
        <f t="shared" si="236"/>
        <v>0</v>
      </c>
      <c r="J1042">
        <f t="shared" si="237"/>
        <v>0</v>
      </c>
      <c r="K1042" s="4" t="e">
        <f t="shared" si="226"/>
        <v>#N/A</v>
      </c>
      <c r="L1042" t="e">
        <f t="shared" si="227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8"/>
        <v>0</v>
      </c>
      <c r="B1043">
        <f t="shared" si="229"/>
        <v>0</v>
      </c>
      <c r="C1043">
        <f t="shared" si="230"/>
        <v>0</v>
      </c>
      <c r="D1043">
        <f t="shared" si="231"/>
        <v>0</v>
      </c>
      <c r="E1043" t="e">
        <f t="shared" si="232"/>
        <v>#N/A</v>
      </c>
      <c r="F1043">
        <f t="shared" si="233"/>
        <v>0</v>
      </c>
      <c r="G1043">
        <f t="shared" si="234"/>
        <v>0</v>
      </c>
      <c r="H1043">
        <f t="shared" si="235"/>
        <v>0</v>
      </c>
      <c r="I1043">
        <f t="shared" si="236"/>
        <v>0</v>
      </c>
      <c r="J1043">
        <f t="shared" si="237"/>
        <v>0</v>
      </c>
      <c r="K1043" s="4" t="e">
        <f t="shared" si="226"/>
        <v>#N/A</v>
      </c>
      <c r="L1043" t="e">
        <f t="shared" si="227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8"/>
        <v>0</v>
      </c>
      <c r="B1044">
        <f t="shared" si="229"/>
        <v>0</v>
      </c>
      <c r="C1044">
        <f t="shared" si="230"/>
        <v>0</v>
      </c>
      <c r="D1044">
        <f t="shared" si="231"/>
        <v>0</v>
      </c>
      <c r="E1044" t="e">
        <f t="shared" si="232"/>
        <v>#N/A</v>
      </c>
      <c r="F1044">
        <f t="shared" si="233"/>
        <v>0</v>
      </c>
      <c r="G1044">
        <f t="shared" si="234"/>
        <v>0</v>
      </c>
      <c r="H1044">
        <f t="shared" si="235"/>
        <v>0</v>
      </c>
      <c r="I1044">
        <f t="shared" si="236"/>
        <v>0</v>
      </c>
      <c r="J1044">
        <f t="shared" si="237"/>
        <v>0</v>
      </c>
      <c r="K1044" s="4" t="e">
        <f t="shared" si="226"/>
        <v>#N/A</v>
      </c>
      <c r="L1044" t="e">
        <f t="shared" si="227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8"/>
        <v>0</v>
      </c>
      <c r="B1045">
        <f t="shared" si="229"/>
        <v>0</v>
      </c>
      <c r="C1045">
        <f t="shared" si="230"/>
        <v>0</v>
      </c>
      <c r="D1045">
        <f t="shared" si="231"/>
        <v>0</v>
      </c>
      <c r="E1045" t="e">
        <f t="shared" si="232"/>
        <v>#N/A</v>
      </c>
      <c r="F1045">
        <f t="shared" si="233"/>
        <v>0</v>
      </c>
      <c r="G1045">
        <f t="shared" si="234"/>
        <v>0</v>
      </c>
      <c r="H1045">
        <f t="shared" si="235"/>
        <v>0</v>
      </c>
      <c r="I1045">
        <f t="shared" si="236"/>
        <v>0</v>
      </c>
      <c r="J1045">
        <f t="shared" si="237"/>
        <v>0</v>
      </c>
      <c r="K1045" s="4" t="e">
        <f t="shared" si="226"/>
        <v>#N/A</v>
      </c>
      <c r="L1045" t="e">
        <f t="shared" si="227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8"/>
        <v>0</v>
      </c>
      <c r="B1046">
        <f t="shared" si="229"/>
        <v>0</v>
      </c>
      <c r="C1046">
        <f t="shared" si="230"/>
        <v>0</v>
      </c>
      <c r="D1046">
        <f t="shared" si="231"/>
        <v>0</v>
      </c>
      <c r="E1046" t="e">
        <f t="shared" si="232"/>
        <v>#N/A</v>
      </c>
      <c r="F1046">
        <f t="shared" si="233"/>
        <v>0</v>
      </c>
      <c r="G1046">
        <f t="shared" si="234"/>
        <v>0</v>
      </c>
      <c r="H1046">
        <f t="shared" si="235"/>
        <v>0</v>
      </c>
      <c r="I1046">
        <f t="shared" si="236"/>
        <v>0</v>
      </c>
      <c r="J1046">
        <f t="shared" si="237"/>
        <v>0</v>
      </c>
      <c r="K1046" s="4" t="e">
        <f t="shared" si="226"/>
        <v>#N/A</v>
      </c>
      <c r="L1046" t="e">
        <f t="shared" si="227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8"/>
        <v>0</v>
      </c>
      <c r="B1047">
        <f t="shared" si="229"/>
        <v>0</v>
      </c>
      <c r="C1047">
        <f t="shared" si="230"/>
        <v>0</v>
      </c>
      <c r="D1047">
        <f t="shared" si="231"/>
        <v>0</v>
      </c>
      <c r="E1047" t="e">
        <f t="shared" si="232"/>
        <v>#N/A</v>
      </c>
      <c r="F1047">
        <f t="shared" si="233"/>
        <v>0</v>
      </c>
      <c r="G1047">
        <f t="shared" si="234"/>
        <v>0</v>
      </c>
      <c r="H1047">
        <f t="shared" si="235"/>
        <v>0</v>
      </c>
      <c r="I1047">
        <f t="shared" si="236"/>
        <v>0</v>
      </c>
      <c r="J1047">
        <f t="shared" si="237"/>
        <v>0</v>
      </c>
      <c r="K1047" s="4" t="e">
        <f t="shared" si="226"/>
        <v>#N/A</v>
      </c>
      <c r="L1047" t="e">
        <f t="shared" si="227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8"/>
        <v>0</v>
      </c>
      <c r="B1048">
        <f t="shared" si="229"/>
        <v>0</v>
      </c>
      <c r="C1048">
        <f t="shared" si="230"/>
        <v>0</v>
      </c>
      <c r="D1048">
        <f t="shared" si="231"/>
        <v>0</v>
      </c>
      <c r="E1048" t="e">
        <f t="shared" si="232"/>
        <v>#N/A</v>
      </c>
      <c r="F1048">
        <f t="shared" si="233"/>
        <v>0</v>
      </c>
      <c r="G1048">
        <f t="shared" si="234"/>
        <v>0</v>
      </c>
      <c r="H1048">
        <f t="shared" si="235"/>
        <v>0</v>
      </c>
      <c r="I1048">
        <f t="shared" si="236"/>
        <v>0</v>
      </c>
      <c r="J1048">
        <f t="shared" si="237"/>
        <v>0</v>
      </c>
      <c r="K1048" s="4" t="e">
        <f t="shared" si="226"/>
        <v>#N/A</v>
      </c>
      <c r="L1048" t="e">
        <f t="shared" si="227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8"/>
        <v>0</v>
      </c>
      <c r="B1049">
        <f t="shared" si="229"/>
        <v>0</v>
      </c>
      <c r="C1049">
        <f t="shared" si="230"/>
        <v>0</v>
      </c>
      <c r="D1049">
        <f t="shared" si="231"/>
        <v>0</v>
      </c>
      <c r="E1049" t="e">
        <f t="shared" si="232"/>
        <v>#N/A</v>
      </c>
      <c r="F1049">
        <f t="shared" si="233"/>
        <v>0</v>
      </c>
      <c r="G1049">
        <f t="shared" si="234"/>
        <v>0</v>
      </c>
      <c r="H1049">
        <f t="shared" si="235"/>
        <v>0</v>
      </c>
      <c r="I1049">
        <f t="shared" si="236"/>
        <v>0</v>
      </c>
      <c r="J1049">
        <f t="shared" si="237"/>
        <v>0</v>
      </c>
      <c r="K1049" s="4" t="e">
        <f t="shared" si="226"/>
        <v>#N/A</v>
      </c>
      <c r="L1049" t="e">
        <f t="shared" si="227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8"/>
        <v>0</v>
      </c>
      <c r="B1050">
        <f t="shared" si="229"/>
        <v>0</v>
      </c>
      <c r="C1050">
        <f t="shared" si="230"/>
        <v>0</v>
      </c>
      <c r="D1050">
        <f t="shared" si="231"/>
        <v>0</v>
      </c>
      <c r="E1050" t="e">
        <f t="shared" si="232"/>
        <v>#N/A</v>
      </c>
      <c r="F1050">
        <f t="shared" si="233"/>
        <v>0</v>
      </c>
      <c r="G1050">
        <f t="shared" si="234"/>
        <v>0</v>
      </c>
      <c r="H1050">
        <f t="shared" si="235"/>
        <v>0</v>
      </c>
      <c r="I1050">
        <f t="shared" si="236"/>
        <v>0</v>
      </c>
      <c r="J1050">
        <f t="shared" si="237"/>
        <v>0</v>
      </c>
      <c r="K1050" s="4" t="e">
        <f t="shared" si="226"/>
        <v>#N/A</v>
      </c>
      <c r="L1050" t="e">
        <f t="shared" si="227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8"/>
        <v>0</v>
      </c>
      <c r="B1051">
        <f t="shared" si="229"/>
        <v>0</v>
      </c>
      <c r="C1051">
        <f t="shared" si="230"/>
        <v>0</v>
      </c>
      <c r="D1051">
        <f t="shared" si="231"/>
        <v>0</v>
      </c>
      <c r="E1051" t="e">
        <f t="shared" si="232"/>
        <v>#N/A</v>
      </c>
      <c r="F1051">
        <f t="shared" si="233"/>
        <v>0</v>
      </c>
      <c r="G1051">
        <f t="shared" si="234"/>
        <v>0</v>
      </c>
      <c r="H1051">
        <f t="shared" si="235"/>
        <v>0</v>
      </c>
      <c r="I1051">
        <f t="shared" si="236"/>
        <v>0</v>
      </c>
      <c r="J1051">
        <f t="shared" si="237"/>
        <v>0</v>
      </c>
      <c r="K1051" s="4" t="e">
        <f t="shared" si="226"/>
        <v>#N/A</v>
      </c>
      <c r="L1051" t="e">
        <f t="shared" si="227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8"/>
        <v>0</v>
      </c>
      <c r="B1052">
        <f t="shared" si="229"/>
        <v>0</v>
      </c>
      <c r="C1052">
        <f t="shared" si="230"/>
        <v>0</v>
      </c>
      <c r="D1052">
        <f t="shared" si="231"/>
        <v>0</v>
      </c>
      <c r="E1052" t="e">
        <f t="shared" si="232"/>
        <v>#N/A</v>
      </c>
      <c r="F1052">
        <f t="shared" si="233"/>
        <v>0</v>
      </c>
      <c r="G1052">
        <f t="shared" si="234"/>
        <v>0</v>
      </c>
      <c r="H1052">
        <f t="shared" si="235"/>
        <v>0</v>
      </c>
      <c r="I1052">
        <f t="shared" si="236"/>
        <v>0</v>
      </c>
      <c r="J1052">
        <f t="shared" si="237"/>
        <v>0</v>
      </c>
      <c r="K1052" s="4" t="e">
        <f t="shared" si="226"/>
        <v>#N/A</v>
      </c>
      <c r="L1052" t="e">
        <f t="shared" si="227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8"/>
        <v>0</v>
      </c>
      <c r="B1053">
        <f t="shared" si="229"/>
        <v>0</v>
      </c>
      <c r="C1053">
        <f t="shared" si="230"/>
        <v>0</v>
      </c>
      <c r="D1053">
        <f t="shared" si="231"/>
        <v>0</v>
      </c>
      <c r="E1053" t="e">
        <f t="shared" si="232"/>
        <v>#N/A</v>
      </c>
      <c r="F1053">
        <f t="shared" si="233"/>
        <v>0</v>
      </c>
      <c r="G1053">
        <f t="shared" si="234"/>
        <v>0</v>
      </c>
      <c r="H1053">
        <f t="shared" si="235"/>
        <v>0</v>
      </c>
      <c r="I1053">
        <f t="shared" si="236"/>
        <v>0</v>
      </c>
      <c r="J1053">
        <f t="shared" si="237"/>
        <v>0</v>
      </c>
      <c r="K1053" s="4" t="e">
        <f t="shared" si="226"/>
        <v>#N/A</v>
      </c>
      <c r="L1053" t="e">
        <f t="shared" si="227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8"/>
        <v>0</v>
      </c>
      <c r="B1054">
        <f t="shared" si="229"/>
        <v>0</v>
      </c>
      <c r="C1054">
        <f t="shared" si="230"/>
        <v>0</v>
      </c>
      <c r="D1054">
        <f t="shared" si="231"/>
        <v>0</v>
      </c>
      <c r="E1054" t="e">
        <f t="shared" si="232"/>
        <v>#N/A</v>
      </c>
      <c r="F1054">
        <f t="shared" si="233"/>
        <v>0</v>
      </c>
      <c r="G1054">
        <f t="shared" si="234"/>
        <v>0</v>
      </c>
      <c r="H1054">
        <f t="shared" si="235"/>
        <v>0</v>
      </c>
      <c r="I1054">
        <f t="shared" si="236"/>
        <v>0</v>
      </c>
      <c r="J1054">
        <f t="shared" si="237"/>
        <v>0</v>
      </c>
      <c r="K1054" s="4" t="e">
        <f t="shared" si="226"/>
        <v>#N/A</v>
      </c>
      <c r="L1054" t="e">
        <f t="shared" si="227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8"/>
        <v>0</v>
      </c>
      <c r="B1055">
        <f t="shared" si="229"/>
        <v>0</v>
      </c>
      <c r="C1055">
        <f t="shared" si="230"/>
        <v>0</v>
      </c>
      <c r="D1055">
        <f t="shared" si="231"/>
        <v>0</v>
      </c>
      <c r="E1055" t="e">
        <f t="shared" si="232"/>
        <v>#N/A</v>
      </c>
      <c r="F1055">
        <f t="shared" si="233"/>
        <v>0</v>
      </c>
      <c r="G1055">
        <f t="shared" si="234"/>
        <v>0</v>
      </c>
      <c r="H1055">
        <f t="shared" si="235"/>
        <v>0</v>
      </c>
      <c r="I1055">
        <f t="shared" si="236"/>
        <v>0</v>
      </c>
      <c r="J1055">
        <f t="shared" si="237"/>
        <v>0</v>
      </c>
      <c r="K1055" s="4" t="e">
        <f t="shared" si="226"/>
        <v>#N/A</v>
      </c>
      <c r="L1055" t="e">
        <f t="shared" si="227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8"/>
        <v>0</v>
      </c>
      <c r="B1056">
        <f t="shared" si="229"/>
        <v>0</v>
      </c>
      <c r="C1056">
        <f t="shared" si="230"/>
        <v>0</v>
      </c>
      <c r="D1056">
        <f t="shared" si="231"/>
        <v>0</v>
      </c>
      <c r="E1056" t="e">
        <f t="shared" si="232"/>
        <v>#N/A</v>
      </c>
      <c r="F1056">
        <f t="shared" si="233"/>
        <v>0</v>
      </c>
      <c r="G1056">
        <f t="shared" si="234"/>
        <v>0</v>
      </c>
      <c r="H1056">
        <f t="shared" si="235"/>
        <v>0</v>
      </c>
      <c r="I1056">
        <f t="shared" si="236"/>
        <v>0</v>
      </c>
      <c r="J1056">
        <f t="shared" si="237"/>
        <v>0</v>
      </c>
      <c r="K1056" s="4" t="e">
        <f t="shared" si="226"/>
        <v>#N/A</v>
      </c>
      <c r="L1056" t="e">
        <f t="shared" si="227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8"/>
        <v>0</v>
      </c>
      <c r="B1057">
        <f t="shared" si="229"/>
        <v>0</v>
      </c>
      <c r="C1057">
        <f t="shared" si="230"/>
        <v>0</v>
      </c>
      <c r="D1057">
        <f t="shared" si="231"/>
        <v>0</v>
      </c>
      <c r="E1057" t="e">
        <f t="shared" si="232"/>
        <v>#N/A</v>
      </c>
      <c r="F1057">
        <f t="shared" si="233"/>
        <v>0</v>
      </c>
      <c r="G1057">
        <f t="shared" si="234"/>
        <v>0</v>
      </c>
      <c r="H1057">
        <f t="shared" si="235"/>
        <v>0</v>
      </c>
      <c r="I1057">
        <f t="shared" si="236"/>
        <v>0</v>
      </c>
      <c r="J1057">
        <f t="shared" si="237"/>
        <v>0</v>
      </c>
      <c r="K1057" s="4" t="e">
        <f t="shared" si="226"/>
        <v>#N/A</v>
      </c>
      <c r="L1057" t="e">
        <f t="shared" si="227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8"/>
        <v>0</v>
      </c>
      <c r="B1058">
        <f t="shared" si="229"/>
        <v>0</v>
      </c>
      <c r="C1058">
        <f t="shared" si="230"/>
        <v>0</v>
      </c>
      <c r="D1058">
        <f t="shared" si="231"/>
        <v>0</v>
      </c>
      <c r="E1058" t="e">
        <f t="shared" si="232"/>
        <v>#N/A</v>
      </c>
      <c r="F1058">
        <f t="shared" si="233"/>
        <v>0</v>
      </c>
      <c r="G1058">
        <f t="shared" si="234"/>
        <v>0</v>
      </c>
      <c r="H1058">
        <f t="shared" si="235"/>
        <v>0</v>
      </c>
      <c r="I1058">
        <f t="shared" si="236"/>
        <v>0</v>
      </c>
      <c r="J1058">
        <f t="shared" si="237"/>
        <v>0</v>
      </c>
      <c r="K1058" s="4" t="e">
        <f t="shared" si="226"/>
        <v>#N/A</v>
      </c>
      <c r="L1058" t="e">
        <f t="shared" si="227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8"/>
        <v>0</v>
      </c>
      <c r="B1059">
        <f t="shared" si="229"/>
        <v>0</v>
      </c>
      <c r="C1059">
        <f t="shared" si="230"/>
        <v>0</v>
      </c>
      <c r="D1059">
        <f t="shared" si="231"/>
        <v>0</v>
      </c>
      <c r="E1059" t="e">
        <f t="shared" si="232"/>
        <v>#N/A</v>
      </c>
      <c r="F1059">
        <f t="shared" si="233"/>
        <v>0</v>
      </c>
      <c r="G1059">
        <f t="shared" si="234"/>
        <v>0</v>
      </c>
      <c r="H1059">
        <f t="shared" si="235"/>
        <v>0</v>
      </c>
      <c r="I1059">
        <f t="shared" si="236"/>
        <v>0</v>
      </c>
      <c r="J1059">
        <f t="shared" si="237"/>
        <v>0</v>
      </c>
      <c r="K1059" s="4" t="e">
        <f t="shared" si="226"/>
        <v>#N/A</v>
      </c>
      <c r="L1059" t="e">
        <f t="shared" si="227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8"/>
        <v>0</v>
      </c>
      <c r="B1060">
        <f t="shared" si="229"/>
        <v>0</v>
      </c>
      <c r="C1060">
        <f t="shared" si="230"/>
        <v>0</v>
      </c>
      <c r="D1060">
        <f t="shared" si="231"/>
        <v>0</v>
      </c>
      <c r="E1060" t="e">
        <f t="shared" si="232"/>
        <v>#N/A</v>
      </c>
      <c r="F1060">
        <f t="shared" si="233"/>
        <v>0</v>
      </c>
      <c r="G1060">
        <f t="shared" si="234"/>
        <v>0</v>
      </c>
      <c r="H1060">
        <f t="shared" si="235"/>
        <v>0</v>
      </c>
      <c r="I1060">
        <f t="shared" si="236"/>
        <v>0</v>
      </c>
      <c r="J1060">
        <f t="shared" si="237"/>
        <v>0</v>
      </c>
      <c r="K1060" s="4" t="e">
        <f t="shared" si="226"/>
        <v>#N/A</v>
      </c>
      <c r="L1060" t="e">
        <f t="shared" si="227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8"/>
        <v>0</v>
      </c>
      <c r="B1061">
        <f t="shared" si="229"/>
        <v>0</v>
      </c>
      <c r="C1061">
        <f t="shared" si="230"/>
        <v>0</v>
      </c>
      <c r="D1061">
        <f t="shared" si="231"/>
        <v>0</v>
      </c>
      <c r="E1061" t="e">
        <f t="shared" si="232"/>
        <v>#N/A</v>
      </c>
      <c r="F1061">
        <f t="shared" si="233"/>
        <v>0</v>
      </c>
      <c r="G1061">
        <f t="shared" si="234"/>
        <v>0</v>
      </c>
      <c r="H1061">
        <f t="shared" si="235"/>
        <v>0</v>
      </c>
      <c r="I1061">
        <f t="shared" si="236"/>
        <v>0</v>
      </c>
      <c r="J1061">
        <f t="shared" si="237"/>
        <v>0</v>
      </c>
      <c r="K1061" s="4" t="e">
        <f t="shared" si="226"/>
        <v>#N/A</v>
      </c>
      <c r="L1061" t="e">
        <f t="shared" si="227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8"/>
        <v>0</v>
      </c>
      <c r="B1062">
        <f t="shared" si="229"/>
        <v>0</v>
      </c>
      <c r="C1062">
        <f t="shared" si="230"/>
        <v>0</v>
      </c>
      <c r="D1062">
        <f t="shared" si="231"/>
        <v>0</v>
      </c>
      <c r="E1062" t="e">
        <f t="shared" si="232"/>
        <v>#N/A</v>
      </c>
      <c r="F1062">
        <f t="shared" si="233"/>
        <v>0</v>
      </c>
      <c r="G1062">
        <f t="shared" si="234"/>
        <v>0</v>
      </c>
      <c r="H1062">
        <f t="shared" si="235"/>
        <v>0</v>
      </c>
      <c r="I1062">
        <f t="shared" si="236"/>
        <v>0</v>
      </c>
      <c r="J1062">
        <f t="shared" si="237"/>
        <v>0</v>
      </c>
      <c r="K1062" s="4" t="e">
        <f t="shared" si="226"/>
        <v>#N/A</v>
      </c>
      <c r="L1062" t="e">
        <f t="shared" si="227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8"/>
        <v>0</v>
      </c>
      <c r="B1063">
        <f t="shared" si="229"/>
        <v>0</v>
      </c>
      <c r="C1063">
        <f t="shared" si="230"/>
        <v>0</v>
      </c>
      <c r="D1063">
        <f t="shared" si="231"/>
        <v>0</v>
      </c>
      <c r="E1063" t="e">
        <f t="shared" si="232"/>
        <v>#N/A</v>
      </c>
      <c r="F1063">
        <f t="shared" si="233"/>
        <v>0</v>
      </c>
      <c r="G1063">
        <f t="shared" si="234"/>
        <v>0</v>
      </c>
      <c r="H1063">
        <f t="shared" si="235"/>
        <v>0</v>
      </c>
      <c r="I1063">
        <f t="shared" si="236"/>
        <v>0</v>
      </c>
      <c r="J1063">
        <f t="shared" si="237"/>
        <v>0</v>
      </c>
      <c r="K1063" s="4" t="e">
        <f t="shared" si="226"/>
        <v>#N/A</v>
      </c>
      <c r="L1063" t="e">
        <f t="shared" si="227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8"/>
        <v>0</v>
      </c>
      <c r="B1064">
        <f t="shared" si="229"/>
        <v>0</v>
      </c>
      <c r="C1064">
        <f t="shared" si="230"/>
        <v>0</v>
      </c>
      <c r="D1064">
        <f t="shared" si="231"/>
        <v>0</v>
      </c>
      <c r="E1064" t="e">
        <f t="shared" si="232"/>
        <v>#N/A</v>
      </c>
      <c r="F1064">
        <f t="shared" si="233"/>
        <v>0</v>
      </c>
      <c r="G1064">
        <f t="shared" si="234"/>
        <v>0</v>
      </c>
      <c r="H1064">
        <f t="shared" si="235"/>
        <v>0</v>
      </c>
      <c r="I1064">
        <f t="shared" si="236"/>
        <v>0</v>
      </c>
      <c r="J1064">
        <f t="shared" si="237"/>
        <v>0</v>
      </c>
      <c r="K1064" s="4" t="e">
        <f t="shared" si="226"/>
        <v>#N/A</v>
      </c>
      <c r="L1064" t="e">
        <f t="shared" si="227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8"/>
        <v>0</v>
      </c>
      <c r="B1065">
        <f t="shared" si="229"/>
        <v>0</v>
      </c>
      <c r="C1065">
        <f t="shared" si="230"/>
        <v>0</v>
      </c>
      <c r="D1065">
        <f t="shared" si="231"/>
        <v>0</v>
      </c>
      <c r="E1065" t="e">
        <f t="shared" si="232"/>
        <v>#N/A</v>
      </c>
      <c r="F1065">
        <f t="shared" si="233"/>
        <v>0</v>
      </c>
      <c r="G1065">
        <f t="shared" si="234"/>
        <v>0</v>
      </c>
      <c r="H1065">
        <f t="shared" si="235"/>
        <v>0</v>
      </c>
      <c r="I1065">
        <f t="shared" si="236"/>
        <v>0</v>
      </c>
      <c r="J1065">
        <f t="shared" si="237"/>
        <v>0</v>
      </c>
      <c r="K1065" s="4" t="e">
        <f t="shared" si="226"/>
        <v>#N/A</v>
      </c>
      <c r="L1065" t="e">
        <f t="shared" si="227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8"/>
        <v>0</v>
      </c>
      <c r="B1066">
        <f t="shared" si="229"/>
        <v>0</v>
      </c>
      <c r="C1066">
        <f t="shared" si="230"/>
        <v>0</v>
      </c>
      <c r="D1066">
        <f t="shared" si="231"/>
        <v>0</v>
      </c>
      <c r="E1066" t="e">
        <f t="shared" si="232"/>
        <v>#N/A</v>
      </c>
      <c r="F1066">
        <f t="shared" si="233"/>
        <v>0</v>
      </c>
      <c r="G1066">
        <f t="shared" si="234"/>
        <v>0</v>
      </c>
      <c r="H1066">
        <f t="shared" si="235"/>
        <v>0</v>
      </c>
      <c r="I1066">
        <f t="shared" si="236"/>
        <v>0</v>
      </c>
      <c r="J1066">
        <f t="shared" si="237"/>
        <v>0</v>
      </c>
      <c r="K1066" s="4" t="e">
        <f t="shared" si="226"/>
        <v>#N/A</v>
      </c>
      <c r="L1066" t="e">
        <f t="shared" si="227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8"/>
        <v>0</v>
      </c>
      <c r="B1067">
        <f t="shared" si="229"/>
        <v>0</v>
      </c>
      <c r="C1067">
        <f t="shared" si="230"/>
        <v>0</v>
      </c>
      <c r="D1067">
        <f t="shared" si="231"/>
        <v>0</v>
      </c>
      <c r="E1067" t="e">
        <f t="shared" si="232"/>
        <v>#N/A</v>
      </c>
      <c r="F1067">
        <f t="shared" si="233"/>
        <v>0</v>
      </c>
      <c r="G1067">
        <f t="shared" si="234"/>
        <v>0</v>
      </c>
      <c r="H1067">
        <f t="shared" si="235"/>
        <v>0</v>
      </c>
      <c r="I1067">
        <f t="shared" si="236"/>
        <v>0</v>
      </c>
      <c r="J1067">
        <f t="shared" si="237"/>
        <v>0</v>
      </c>
      <c r="K1067" s="4" t="e">
        <f t="shared" si="226"/>
        <v>#N/A</v>
      </c>
      <c r="L1067" t="e">
        <f t="shared" si="227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8"/>
        <v>0</v>
      </c>
      <c r="B1068">
        <f t="shared" si="229"/>
        <v>0</v>
      </c>
      <c r="C1068">
        <f t="shared" si="230"/>
        <v>0</v>
      </c>
      <c r="D1068">
        <f t="shared" si="231"/>
        <v>0</v>
      </c>
      <c r="E1068" t="e">
        <f t="shared" si="232"/>
        <v>#N/A</v>
      </c>
      <c r="F1068">
        <f t="shared" si="233"/>
        <v>0</v>
      </c>
      <c r="G1068">
        <f t="shared" si="234"/>
        <v>0</v>
      </c>
      <c r="H1068">
        <f t="shared" si="235"/>
        <v>0</v>
      </c>
      <c r="I1068">
        <f t="shared" si="236"/>
        <v>0</v>
      </c>
      <c r="J1068">
        <f t="shared" si="237"/>
        <v>0</v>
      </c>
      <c r="K1068" s="4" t="e">
        <f t="shared" ref="K1068:K1131" si="240">IF(LEFT(B1068,3)="DBM",0,VLOOKUP(E1068,tabela,2,FALSE))</f>
        <v>#N/A</v>
      </c>
      <c r="L1068" t="e">
        <f t="shared" ref="L1068:L1131" si="241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8"/>
        <v>0</v>
      </c>
      <c r="B1069">
        <f t="shared" si="229"/>
        <v>0</v>
      </c>
      <c r="C1069">
        <f t="shared" si="230"/>
        <v>0</v>
      </c>
      <c r="D1069">
        <f t="shared" si="231"/>
        <v>0</v>
      </c>
      <c r="E1069" t="e">
        <f t="shared" si="232"/>
        <v>#N/A</v>
      </c>
      <c r="F1069">
        <f t="shared" si="233"/>
        <v>0</v>
      </c>
      <c r="G1069">
        <f t="shared" si="234"/>
        <v>0</v>
      </c>
      <c r="H1069">
        <f t="shared" si="235"/>
        <v>0</v>
      </c>
      <c r="I1069">
        <f t="shared" si="236"/>
        <v>0</v>
      </c>
      <c r="J1069">
        <f t="shared" si="237"/>
        <v>0</v>
      </c>
      <c r="K1069" s="4" t="e">
        <f t="shared" si="240"/>
        <v>#N/A</v>
      </c>
      <c r="L1069" t="e">
        <f t="shared" si="241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8"/>
        <v>0</v>
      </c>
      <c r="B1070">
        <f t="shared" si="229"/>
        <v>0</v>
      </c>
      <c r="C1070">
        <f t="shared" si="230"/>
        <v>0</v>
      </c>
      <c r="D1070">
        <f t="shared" si="231"/>
        <v>0</v>
      </c>
      <c r="E1070" t="e">
        <f t="shared" si="232"/>
        <v>#N/A</v>
      </c>
      <c r="F1070">
        <f t="shared" si="233"/>
        <v>0</v>
      </c>
      <c r="G1070">
        <f t="shared" si="234"/>
        <v>0</v>
      </c>
      <c r="H1070">
        <f t="shared" si="235"/>
        <v>0</v>
      </c>
      <c r="I1070">
        <f t="shared" si="236"/>
        <v>0</v>
      </c>
      <c r="J1070">
        <f t="shared" si="237"/>
        <v>0</v>
      </c>
      <c r="K1070" s="4" t="e">
        <f t="shared" si="240"/>
        <v>#N/A</v>
      </c>
      <c r="L1070" t="e">
        <f t="shared" si="241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8"/>
        <v>0</v>
      </c>
      <c r="B1071">
        <f t="shared" si="229"/>
        <v>0</v>
      </c>
      <c r="C1071">
        <f t="shared" si="230"/>
        <v>0</v>
      </c>
      <c r="D1071">
        <f t="shared" si="231"/>
        <v>0</v>
      </c>
      <c r="E1071" t="e">
        <f t="shared" si="232"/>
        <v>#N/A</v>
      </c>
      <c r="F1071">
        <f t="shared" si="233"/>
        <v>0</v>
      </c>
      <c r="G1071">
        <f t="shared" si="234"/>
        <v>0</v>
      </c>
      <c r="H1071">
        <f t="shared" si="235"/>
        <v>0</v>
      </c>
      <c r="I1071">
        <f t="shared" si="236"/>
        <v>0</v>
      </c>
      <c r="J1071">
        <f t="shared" si="237"/>
        <v>0</v>
      </c>
      <c r="K1071" s="4" t="e">
        <f t="shared" si="240"/>
        <v>#N/A</v>
      </c>
      <c r="L1071" t="e">
        <f t="shared" si="241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8"/>
        <v>0</v>
      </c>
      <c r="B1072">
        <f t="shared" si="229"/>
        <v>0</v>
      </c>
      <c r="C1072">
        <f t="shared" si="230"/>
        <v>0</v>
      </c>
      <c r="D1072">
        <f t="shared" si="231"/>
        <v>0</v>
      </c>
      <c r="E1072" t="e">
        <f t="shared" si="232"/>
        <v>#N/A</v>
      </c>
      <c r="F1072">
        <f t="shared" si="233"/>
        <v>0</v>
      </c>
      <c r="G1072">
        <f t="shared" si="234"/>
        <v>0</v>
      </c>
      <c r="H1072">
        <f t="shared" si="235"/>
        <v>0</v>
      </c>
      <c r="I1072">
        <f t="shared" si="236"/>
        <v>0</v>
      </c>
      <c r="J1072">
        <f t="shared" si="237"/>
        <v>0</v>
      </c>
      <c r="K1072" s="4" t="e">
        <f t="shared" si="240"/>
        <v>#N/A</v>
      </c>
      <c r="L1072" t="e">
        <f t="shared" si="241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8"/>
        <v>0</v>
      </c>
      <c r="B1073">
        <f t="shared" si="229"/>
        <v>0</v>
      </c>
      <c r="C1073">
        <f t="shared" si="230"/>
        <v>0</v>
      </c>
      <c r="D1073">
        <f t="shared" si="231"/>
        <v>0</v>
      </c>
      <c r="E1073" t="e">
        <f t="shared" si="232"/>
        <v>#N/A</v>
      </c>
      <c r="F1073">
        <f t="shared" si="233"/>
        <v>0</v>
      </c>
      <c r="G1073">
        <f t="shared" si="234"/>
        <v>0</v>
      </c>
      <c r="H1073">
        <f t="shared" si="235"/>
        <v>0</v>
      </c>
      <c r="I1073">
        <f t="shared" si="236"/>
        <v>0</v>
      </c>
      <c r="J1073">
        <f t="shared" si="237"/>
        <v>0</v>
      </c>
      <c r="K1073" s="4" t="e">
        <f t="shared" si="240"/>
        <v>#N/A</v>
      </c>
      <c r="L1073" t="e">
        <f t="shared" si="241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8"/>
        <v>0</v>
      </c>
      <c r="B1074">
        <f t="shared" si="229"/>
        <v>0</v>
      </c>
      <c r="C1074">
        <f t="shared" si="230"/>
        <v>0</v>
      </c>
      <c r="D1074">
        <f t="shared" si="231"/>
        <v>0</v>
      </c>
      <c r="E1074" t="e">
        <f t="shared" si="232"/>
        <v>#N/A</v>
      </c>
      <c r="F1074">
        <f t="shared" si="233"/>
        <v>0</v>
      </c>
      <c r="G1074">
        <f t="shared" si="234"/>
        <v>0</v>
      </c>
      <c r="H1074">
        <f t="shared" si="235"/>
        <v>0</v>
      </c>
      <c r="I1074">
        <f t="shared" si="236"/>
        <v>0</v>
      </c>
      <c r="J1074">
        <f t="shared" si="237"/>
        <v>0</v>
      </c>
      <c r="K1074" s="4" t="e">
        <f t="shared" si="240"/>
        <v>#N/A</v>
      </c>
      <c r="L1074" t="e">
        <f t="shared" si="241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8"/>
        <v>0</v>
      </c>
      <c r="B1075">
        <f t="shared" si="229"/>
        <v>0</v>
      </c>
      <c r="C1075">
        <f t="shared" si="230"/>
        <v>0</v>
      </c>
      <c r="D1075">
        <f t="shared" si="231"/>
        <v>0</v>
      </c>
      <c r="E1075" t="e">
        <f t="shared" si="232"/>
        <v>#N/A</v>
      </c>
      <c r="F1075">
        <f t="shared" si="233"/>
        <v>0</v>
      </c>
      <c r="G1075">
        <f t="shared" si="234"/>
        <v>0</v>
      </c>
      <c r="H1075">
        <f t="shared" si="235"/>
        <v>0</v>
      </c>
      <c r="I1075">
        <f t="shared" si="236"/>
        <v>0</v>
      </c>
      <c r="J1075">
        <f t="shared" si="237"/>
        <v>0</v>
      </c>
      <c r="K1075" s="4" t="e">
        <f t="shared" si="240"/>
        <v>#N/A</v>
      </c>
      <c r="L1075" t="e">
        <f t="shared" si="241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8"/>
        <v>0</v>
      </c>
      <c r="B1076">
        <f t="shared" si="229"/>
        <v>0</v>
      </c>
      <c r="C1076">
        <f t="shared" si="230"/>
        <v>0</v>
      </c>
      <c r="D1076">
        <f t="shared" si="231"/>
        <v>0</v>
      </c>
      <c r="E1076" t="e">
        <f t="shared" si="232"/>
        <v>#N/A</v>
      </c>
      <c r="F1076">
        <f t="shared" si="233"/>
        <v>0</v>
      </c>
      <c r="G1076">
        <f t="shared" si="234"/>
        <v>0</v>
      </c>
      <c r="H1076">
        <f t="shared" si="235"/>
        <v>0</v>
      </c>
      <c r="I1076">
        <f t="shared" si="236"/>
        <v>0</v>
      </c>
      <c r="J1076">
        <f t="shared" si="237"/>
        <v>0</v>
      </c>
      <c r="K1076" s="4" t="e">
        <f t="shared" si="240"/>
        <v>#N/A</v>
      </c>
      <c r="L1076" t="e">
        <f t="shared" si="241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8"/>
        <v>0</v>
      </c>
      <c r="B1077">
        <f t="shared" si="229"/>
        <v>0</v>
      </c>
      <c r="C1077">
        <f t="shared" si="230"/>
        <v>0</v>
      </c>
      <c r="D1077">
        <f t="shared" si="231"/>
        <v>0</v>
      </c>
      <c r="E1077" t="e">
        <f t="shared" si="232"/>
        <v>#N/A</v>
      </c>
      <c r="F1077">
        <f t="shared" si="233"/>
        <v>0</v>
      </c>
      <c r="G1077">
        <f t="shared" si="234"/>
        <v>0</v>
      </c>
      <c r="H1077">
        <f t="shared" si="235"/>
        <v>0</v>
      </c>
      <c r="I1077">
        <f t="shared" si="236"/>
        <v>0</v>
      </c>
      <c r="J1077">
        <f t="shared" si="237"/>
        <v>0</v>
      </c>
      <c r="K1077" s="4" t="e">
        <f t="shared" si="240"/>
        <v>#N/A</v>
      </c>
      <c r="L1077" t="e">
        <f t="shared" si="241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8"/>
        <v>0</v>
      </c>
      <c r="B1078">
        <f t="shared" si="229"/>
        <v>0</v>
      </c>
      <c r="C1078">
        <f t="shared" si="230"/>
        <v>0</v>
      </c>
      <c r="D1078">
        <f t="shared" si="231"/>
        <v>0</v>
      </c>
      <c r="E1078" t="e">
        <f t="shared" si="232"/>
        <v>#N/A</v>
      </c>
      <c r="F1078">
        <f t="shared" si="233"/>
        <v>0</v>
      </c>
      <c r="G1078">
        <f t="shared" si="234"/>
        <v>0</v>
      </c>
      <c r="H1078">
        <f t="shared" si="235"/>
        <v>0</v>
      </c>
      <c r="I1078">
        <f t="shared" si="236"/>
        <v>0</v>
      </c>
      <c r="J1078">
        <f t="shared" si="237"/>
        <v>0</v>
      </c>
      <c r="K1078" s="4" t="e">
        <f t="shared" si="240"/>
        <v>#N/A</v>
      </c>
      <c r="L1078" t="e">
        <f t="shared" si="241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8"/>
        <v>0</v>
      </c>
      <c r="B1079">
        <f t="shared" si="229"/>
        <v>0</v>
      </c>
      <c r="C1079">
        <f t="shared" si="230"/>
        <v>0</v>
      </c>
      <c r="D1079">
        <f t="shared" si="231"/>
        <v>0</v>
      </c>
      <c r="E1079" t="e">
        <f t="shared" si="232"/>
        <v>#N/A</v>
      </c>
      <c r="F1079">
        <f t="shared" si="233"/>
        <v>0</v>
      </c>
      <c r="G1079">
        <f t="shared" si="234"/>
        <v>0</v>
      </c>
      <c r="H1079">
        <f t="shared" si="235"/>
        <v>0</v>
      </c>
      <c r="I1079">
        <f t="shared" si="236"/>
        <v>0</v>
      </c>
      <c r="J1079">
        <f t="shared" si="237"/>
        <v>0</v>
      </c>
      <c r="K1079" s="4" t="e">
        <f t="shared" si="240"/>
        <v>#N/A</v>
      </c>
      <c r="L1079" t="e">
        <f t="shared" si="241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8"/>
        <v>0</v>
      </c>
      <c r="B1080">
        <f t="shared" si="229"/>
        <v>0</v>
      </c>
      <c r="C1080">
        <f t="shared" si="230"/>
        <v>0</v>
      </c>
      <c r="D1080">
        <f t="shared" si="231"/>
        <v>0</v>
      </c>
      <c r="E1080" t="e">
        <f t="shared" si="232"/>
        <v>#N/A</v>
      </c>
      <c r="F1080">
        <f t="shared" si="233"/>
        <v>0</v>
      </c>
      <c r="G1080">
        <f t="shared" si="234"/>
        <v>0</v>
      </c>
      <c r="H1080">
        <f t="shared" si="235"/>
        <v>0</v>
      </c>
      <c r="I1080">
        <f t="shared" si="236"/>
        <v>0</v>
      </c>
      <c r="J1080">
        <f t="shared" si="237"/>
        <v>0</v>
      </c>
      <c r="K1080" s="4" t="e">
        <f t="shared" si="240"/>
        <v>#N/A</v>
      </c>
      <c r="L1080" t="e">
        <f t="shared" si="241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8"/>
        <v>0</v>
      </c>
      <c r="B1081">
        <f t="shared" si="229"/>
        <v>0</v>
      </c>
      <c r="C1081">
        <f t="shared" si="230"/>
        <v>0</v>
      </c>
      <c r="D1081">
        <f t="shared" si="231"/>
        <v>0</v>
      </c>
      <c r="E1081" t="e">
        <f t="shared" si="232"/>
        <v>#N/A</v>
      </c>
      <c r="F1081">
        <f t="shared" si="233"/>
        <v>0</v>
      </c>
      <c r="G1081">
        <f t="shared" si="234"/>
        <v>0</v>
      </c>
      <c r="H1081">
        <f t="shared" si="235"/>
        <v>0</v>
      </c>
      <c r="I1081">
        <f t="shared" si="236"/>
        <v>0</v>
      </c>
      <c r="J1081">
        <f t="shared" si="237"/>
        <v>0</v>
      </c>
      <c r="K1081" s="4" t="e">
        <f t="shared" si="240"/>
        <v>#N/A</v>
      </c>
      <c r="L1081" t="e">
        <f t="shared" si="241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8"/>
        <v>0</v>
      </c>
      <c r="B1082">
        <f t="shared" si="229"/>
        <v>0</v>
      </c>
      <c r="C1082">
        <f t="shared" si="230"/>
        <v>0</v>
      </c>
      <c r="D1082">
        <f t="shared" si="231"/>
        <v>0</v>
      </c>
      <c r="E1082" t="e">
        <f t="shared" si="232"/>
        <v>#N/A</v>
      </c>
      <c r="F1082">
        <f t="shared" si="233"/>
        <v>0</v>
      </c>
      <c r="G1082">
        <f t="shared" si="234"/>
        <v>0</v>
      </c>
      <c r="H1082">
        <f t="shared" si="235"/>
        <v>0</v>
      </c>
      <c r="I1082">
        <f t="shared" si="236"/>
        <v>0</v>
      </c>
      <c r="J1082">
        <f t="shared" si="237"/>
        <v>0</v>
      </c>
      <c r="K1082" s="4" t="e">
        <f t="shared" si="240"/>
        <v>#N/A</v>
      </c>
      <c r="L1082" t="e">
        <f t="shared" si="241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8"/>
        <v>0</v>
      </c>
      <c r="B1083">
        <f t="shared" si="229"/>
        <v>0</v>
      </c>
      <c r="C1083">
        <f t="shared" si="230"/>
        <v>0</v>
      </c>
      <c r="D1083">
        <f t="shared" si="231"/>
        <v>0</v>
      </c>
      <c r="E1083" t="e">
        <f t="shared" si="232"/>
        <v>#N/A</v>
      </c>
      <c r="F1083">
        <f t="shared" si="233"/>
        <v>0</v>
      </c>
      <c r="G1083">
        <f t="shared" si="234"/>
        <v>0</v>
      </c>
      <c r="H1083">
        <f t="shared" si="235"/>
        <v>0</v>
      </c>
      <c r="I1083">
        <f t="shared" si="236"/>
        <v>0</v>
      </c>
      <c r="J1083">
        <f t="shared" si="237"/>
        <v>0</v>
      </c>
      <c r="K1083" s="4" t="e">
        <f t="shared" si="240"/>
        <v>#N/A</v>
      </c>
      <c r="L1083" t="e">
        <f t="shared" si="241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8"/>
        <v>0</v>
      </c>
      <c r="B1084">
        <f t="shared" si="229"/>
        <v>0</v>
      </c>
      <c r="C1084">
        <f t="shared" si="230"/>
        <v>0</v>
      </c>
      <c r="D1084">
        <f t="shared" si="231"/>
        <v>0</v>
      </c>
      <c r="E1084" t="e">
        <f t="shared" si="232"/>
        <v>#N/A</v>
      </c>
      <c r="F1084">
        <f t="shared" si="233"/>
        <v>0</v>
      </c>
      <c r="G1084">
        <f t="shared" si="234"/>
        <v>0</v>
      </c>
      <c r="H1084">
        <f t="shared" si="235"/>
        <v>0</v>
      </c>
      <c r="I1084">
        <f t="shared" si="236"/>
        <v>0</v>
      </c>
      <c r="J1084">
        <f t="shared" si="237"/>
        <v>0</v>
      </c>
      <c r="K1084" s="4" t="e">
        <f t="shared" si="240"/>
        <v>#N/A</v>
      </c>
      <c r="L1084" t="e">
        <f t="shared" si="241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8"/>
        <v>0</v>
      </c>
      <c r="B1085">
        <f t="shared" si="229"/>
        <v>0</v>
      </c>
      <c r="C1085">
        <f t="shared" si="230"/>
        <v>0</v>
      </c>
      <c r="D1085">
        <f t="shared" si="231"/>
        <v>0</v>
      </c>
      <c r="E1085" t="e">
        <f t="shared" si="232"/>
        <v>#N/A</v>
      </c>
      <c r="F1085">
        <f t="shared" si="233"/>
        <v>0</v>
      </c>
      <c r="G1085">
        <f t="shared" si="234"/>
        <v>0</v>
      </c>
      <c r="H1085">
        <f t="shared" si="235"/>
        <v>0</v>
      </c>
      <c r="I1085">
        <f t="shared" si="236"/>
        <v>0</v>
      </c>
      <c r="J1085">
        <f t="shared" si="237"/>
        <v>0</v>
      </c>
      <c r="K1085" s="4" t="e">
        <f t="shared" si="240"/>
        <v>#N/A</v>
      </c>
      <c r="L1085" t="e">
        <f t="shared" si="241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8"/>
        <v>0</v>
      </c>
      <c r="B1086">
        <f t="shared" si="229"/>
        <v>0</v>
      </c>
      <c r="C1086">
        <f t="shared" si="230"/>
        <v>0</v>
      </c>
      <c r="D1086">
        <f t="shared" si="231"/>
        <v>0</v>
      </c>
      <c r="E1086" t="e">
        <f t="shared" si="232"/>
        <v>#N/A</v>
      </c>
      <c r="F1086">
        <f t="shared" si="233"/>
        <v>0</v>
      </c>
      <c r="G1086">
        <f t="shared" si="234"/>
        <v>0</v>
      </c>
      <c r="H1086">
        <f t="shared" si="235"/>
        <v>0</v>
      </c>
      <c r="I1086">
        <f t="shared" si="236"/>
        <v>0</v>
      </c>
      <c r="J1086">
        <f t="shared" si="237"/>
        <v>0</v>
      </c>
      <c r="K1086" s="4" t="e">
        <f t="shared" si="240"/>
        <v>#N/A</v>
      </c>
      <c r="L1086" t="e">
        <f t="shared" si="241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8"/>
        <v>0</v>
      </c>
      <c r="B1087">
        <f t="shared" si="229"/>
        <v>0</v>
      </c>
      <c r="C1087">
        <f t="shared" si="230"/>
        <v>0</v>
      </c>
      <c r="D1087">
        <f t="shared" si="231"/>
        <v>0</v>
      </c>
      <c r="E1087" t="e">
        <f t="shared" si="232"/>
        <v>#N/A</v>
      </c>
      <c r="F1087">
        <f t="shared" si="233"/>
        <v>0</v>
      </c>
      <c r="G1087">
        <f t="shared" si="234"/>
        <v>0</v>
      </c>
      <c r="H1087">
        <f t="shared" si="235"/>
        <v>0</v>
      </c>
      <c r="I1087">
        <f t="shared" si="236"/>
        <v>0</v>
      </c>
      <c r="J1087">
        <f t="shared" si="237"/>
        <v>0</v>
      </c>
      <c r="K1087" s="4" t="e">
        <f t="shared" si="240"/>
        <v>#N/A</v>
      </c>
      <c r="L1087" t="e">
        <f t="shared" si="241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8"/>
        <v>0</v>
      </c>
      <c r="B1088">
        <f t="shared" si="229"/>
        <v>0</v>
      </c>
      <c r="C1088">
        <f t="shared" si="230"/>
        <v>0</v>
      </c>
      <c r="D1088">
        <f t="shared" si="231"/>
        <v>0</v>
      </c>
      <c r="E1088" t="e">
        <f t="shared" si="232"/>
        <v>#N/A</v>
      </c>
      <c r="F1088">
        <f t="shared" si="233"/>
        <v>0</v>
      </c>
      <c r="G1088">
        <f t="shared" si="234"/>
        <v>0</v>
      </c>
      <c r="H1088">
        <f t="shared" si="235"/>
        <v>0</v>
      </c>
      <c r="I1088">
        <f t="shared" si="236"/>
        <v>0</v>
      </c>
      <c r="J1088">
        <f t="shared" si="237"/>
        <v>0</v>
      </c>
      <c r="K1088" s="4" t="e">
        <f t="shared" si="240"/>
        <v>#N/A</v>
      </c>
      <c r="L1088" t="e">
        <f t="shared" si="241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8"/>
        <v>0</v>
      </c>
      <c r="B1089">
        <f t="shared" si="229"/>
        <v>0</v>
      </c>
      <c r="C1089">
        <f t="shared" si="230"/>
        <v>0</v>
      </c>
      <c r="D1089">
        <f t="shared" si="231"/>
        <v>0</v>
      </c>
      <c r="E1089" t="e">
        <f t="shared" si="232"/>
        <v>#N/A</v>
      </c>
      <c r="F1089">
        <f t="shared" si="233"/>
        <v>0</v>
      </c>
      <c r="G1089">
        <f t="shared" si="234"/>
        <v>0</v>
      </c>
      <c r="H1089">
        <f t="shared" si="235"/>
        <v>0</v>
      </c>
      <c r="I1089">
        <f t="shared" si="236"/>
        <v>0</v>
      </c>
      <c r="J1089">
        <f t="shared" si="237"/>
        <v>0</v>
      </c>
      <c r="K1089" s="4" t="e">
        <f t="shared" si="240"/>
        <v>#N/A</v>
      </c>
      <c r="L1089" t="e">
        <f t="shared" si="241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2">bd_campaign</f>
        <v>0</v>
      </c>
      <c r="B1090">
        <f t="shared" ref="B1090:B1153" si="243">bd_site</f>
        <v>0</v>
      </c>
      <c r="C1090">
        <f t="shared" ref="C1090:C1153" si="244">bd_placement</f>
        <v>0</v>
      </c>
      <c r="D1090">
        <f t="shared" ref="D1090:D1153" si="245">bd_placementID</f>
        <v>0</v>
      </c>
      <c r="E1090" t="e">
        <f t="shared" ref="E1090:E1153" si="246">VLOOKUP(CONCATENATE(bd_adtype,"_",bd_creativetype),tabela,2,FALSE)</f>
        <v>#N/A</v>
      </c>
      <c r="F1090">
        <f t="shared" ref="F1090:F1153" si="247">bd_ad</f>
        <v>0</v>
      </c>
      <c r="G1090">
        <f t="shared" ref="G1090:G1153" si="248">bd_adid</f>
        <v>0</v>
      </c>
      <c r="H1090">
        <f t="shared" ref="H1090:H1153" si="249">bd_creativetype</f>
        <v>0</v>
      </c>
      <c r="I1090">
        <f t="shared" ref="I1090:I1153" si="250">bd_impression</f>
        <v>0</v>
      </c>
      <c r="J1090">
        <f t="shared" ref="J1090:J1153" si="251">bd_clicks</f>
        <v>0</v>
      </c>
      <c r="K1090" s="4" t="e">
        <f t="shared" si="240"/>
        <v>#N/A</v>
      </c>
      <c r="L1090" t="e">
        <f t="shared" si="241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2"/>
        <v>0</v>
      </c>
      <c r="B1091">
        <f t="shared" si="243"/>
        <v>0</v>
      </c>
      <c r="C1091">
        <f t="shared" si="244"/>
        <v>0</v>
      </c>
      <c r="D1091">
        <f t="shared" si="245"/>
        <v>0</v>
      </c>
      <c r="E1091" t="e">
        <f t="shared" si="246"/>
        <v>#N/A</v>
      </c>
      <c r="F1091">
        <f t="shared" si="247"/>
        <v>0</v>
      </c>
      <c r="G1091">
        <f t="shared" si="248"/>
        <v>0</v>
      </c>
      <c r="H1091">
        <f t="shared" si="249"/>
        <v>0</v>
      </c>
      <c r="I1091">
        <f t="shared" si="250"/>
        <v>0</v>
      </c>
      <c r="J1091">
        <f t="shared" si="251"/>
        <v>0</v>
      </c>
      <c r="K1091" s="4" t="e">
        <f t="shared" si="240"/>
        <v>#N/A</v>
      </c>
      <c r="L1091" t="e">
        <f t="shared" si="241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2"/>
        <v>0</v>
      </c>
      <c r="B1092">
        <f t="shared" si="243"/>
        <v>0</v>
      </c>
      <c r="C1092">
        <f t="shared" si="244"/>
        <v>0</v>
      </c>
      <c r="D1092">
        <f t="shared" si="245"/>
        <v>0</v>
      </c>
      <c r="E1092" t="e">
        <f t="shared" si="246"/>
        <v>#N/A</v>
      </c>
      <c r="F1092">
        <f t="shared" si="247"/>
        <v>0</v>
      </c>
      <c r="G1092">
        <f t="shared" si="248"/>
        <v>0</v>
      </c>
      <c r="H1092">
        <f t="shared" si="249"/>
        <v>0</v>
      </c>
      <c r="I1092">
        <f t="shared" si="250"/>
        <v>0</v>
      </c>
      <c r="J1092">
        <f t="shared" si="251"/>
        <v>0</v>
      </c>
      <c r="K1092" s="4" t="e">
        <f t="shared" si="240"/>
        <v>#N/A</v>
      </c>
      <c r="L1092" t="e">
        <f t="shared" si="241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2"/>
        <v>0</v>
      </c>
      <c r="B1093">
        <f t="shared" si="243"/>
        <v>0</v>
      </c>
      <c r="C1093">
        <f t="shared" si="244"/>
        <v>0</v>
      </c>
      <c r="D1093">
        <f t="shared" si="245"/>
        <v>0</v>
      </c>
      <c r="E1093" t="e">
        <f t="shared" si="246"/>
        <v>#N/A</v>
      </c>
      <c r="F1093">
        <f t="shared" si="247"/>
        <v>0</v>
      </c>
      <c r="G1093">
        <f t="shared" si="248"/>
        <v>0</v>
      </c>
      <c r="H1093">
        <f t="shared" si="249"/>
        <v>0</v>
      </c>
      <c r="I1093">
        <f t="shared" si="250"/>
        <v>0</v>
      </c>
      <c r="J1093">
        <f t="shared" si="251"/>
        <v>0</v>
      </c>
      <c r="K1093" s="4" t="e">
        <f t="shared" si="240"/>
        <v>#N/A</v>
      </c>
      <c r="L1093" t="e">
        <f t="shared" si="241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2"/>
        <v>0</v>
      </c>
      <c r="B1094">
        <f t="shared" si="243"/>
        <v>0</v>
      </c>
      <c r="C1094">
        <f t="shared" si="244"/>
        <v>0</v>
      </c>
      <c r="D1094">
        <f t="shared" si="245"/>
        <v>0</v>
      </c>
      <c r="E1094" t="e">
        <f t="shared" si="246"/>
        <v>#N/A</v>
      </c>
      <c r="F1094">
        <f t="shared" si="247"/>
        <v>0</v>
      </c>
      <c r="G1094">
        <f t="shared" si="248"/>
        <v>0</v>
      </c>
      <c r="H1094">
        <f t="shared" si="249"/>
        <v>0</v>
      </c>
      <c r="I1094">
        <f t="shared" si="250"/>
        <v>0</v>
      </c>
      <c r="J1094">
        <f t="shared" si="251"/>
        <v>0</v>
      </c>
      <c r="K1094" s="4" t="e">
        <f t="shared" si="240"/>
        <v>#N/A</v>
      </c>
      <c r="L1094" t="e">
        <f t="shared" si="241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2"/>
        <v>0</v>
      </c>
      <c r="B1095">
        <f t="shared" si="243"/>
        <v>0</v>
      </c>
      <c r="C1095">
        <f t="shared" si="244"/>
        <v>0</v>
      </c>
      <c r="D1095">
        <f t="shared" si="245"/>
        <v>0</v>
      </c>
      <c r="E1095" t="e">
        <f t="shared" si="246"/>
        <v>#N/A</v>
      </c>
      <c r="F1095">
        <f t="shared" si="247"/>
        <v>0</v>
      </c>
      <c r="G1095">
        <f t="shared" si="248"/>
        <v>0</v>
      </c>
      <c r="H1095">
        <f t="shared" si="249"/>
        <v>0</v>
      </c>
      <c r="I1095">
        <f t="shared" si="250"/>
        <v>0</v>
      </c>
      <c r="J1095">
        <f t="shared" si="251"/>
        <v>0</v>
      </c>
      <c r="K1095" s="4" t="e">
        <f t="shared" si="240"/>
        <v>#N/A</v>
      </c>
      <c r="L1095" t="e">
        <f t="shared" si="241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2"/>
        <v>0</v>
      </c>
      <c r="B1096">
        <f t="shared" si="243"/>
        <v>0</v>
      </c>
      <c r="C1096">
        <f t="shared" si="244"/>
        <v>0</v>
      </c>
      <c r="D1096">
        <f t="shared" si="245"/>
        <v>0</v>
      </c>
      <c r="E1096" t="e">
        <f t="shared" si="246"/>
        <v>#N/A</v>
      </c>
      <c r="F1096">
        <f t="shared" si="247"/>
        <v>0</v>
      </c>
      <c r="G1096">
        <f t="shared" si="248"/>
        <v>0</v>
      </c>
      <c r="H1096">
        <f t="shared" si="249"/>
        <v>0</v>
      </c>
      <c r="I1096">
        <f t="shared" si="250"/>
        <v>0</v>
      </c>
      <c r="J1096">
        <f t="shared" si="251"/>
        <v>0</v>
      </c>
      <c r="K1096" s="4" t="e">
        <f t="shared" si="240"/>
        <v>#N/A</v>
      </c>
      <c r="L1096" t="e">
        <f t="shared" si="241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2"/>
        <v>0</v>
      </c>
      <c r="B1097">
        <f t="shared" si="243"/>
        <v>0</v>
      </c>
      <c r="C1097">
        <f t="shared" si="244"/>
        <v>0</v>
      </c>
      <c r="D1097">
        <f t="shared" si="245"/>
        <v>0</v>
      </c>
      <c r="E1097" t="e">
        <f t="shared" si="246"/>
        <v>#N/A</v>
      </c>
      <c r="F1097">
        <f t="shared" si="247"/>
        <v>0</v>
      </c>
      <c r="G1097">
        <f t="shared" si="248"/>
        <v>0</v>
      </c>
      <c r="H1097">
        <f t="shared" si="249"/>
        <v>0</v>
      </c>
      <c r="I1097">
        <f t="shared" si="250"/>
        <v>0</v>
      </c>
      <c r="J1097">
        <f t="shared" si="251"/>
        <v>0</v>
      </c>
      <c r="K1097" s="4" t="e">
        <f t="shared" si="240"/>
        <v>#N/A</v>
      </c>
      <c r="L1097" t="e">
        <f t="shared" si="241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2"/>
        <v>0</v>
      </c>
      <c r="B1098">
        <f t="shared" si="243"/>
        <v>0</v>
      </c>
      <c r="C1098">
        <f t="shared" si="244"/>
        <v>0</v>
      </c>
      <c r="D1098">
        <f t="shared" si="245"/>
        <v>0</v>
      </c>
      <c r="E1098" t="e">
        <f t="shared" si="246"/>
        <v>#N/A</v>
      </c>
      <c r="F1098">
        <f t="shared" si="247"/>
        <v>0</v>
      </c>
      <c r="G1098">
        <f t="shared" si="248"/>
        <v>0</v>
      </c>
      <c r="H1098">
        <f t="shared" si="249"/>
        <v>0</v>
      </c>
      <c r="I1098">
        <f t="shared" si="250"/>
        <v>0</v>
      </c>
      <c r="J1098">
        <f t="shared" si="251"/>
        <v>0</v>
      </c>
      <c r="K1098" s="4" t="e">
        <f t="shared" si="240"/>
        <v>#N/A</v>
      </c>
      <c r="L1098" t="e">
        <f t="shared" si="241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2"/>
        <v>0</v>
      </c>
      <c r="B1099">
        <f t="shared" si="243"/>
        <v>0</v>
      </c>
      <c r="C1099">
        <f t="shared" si="244"/>
        <v>0</v>
      </c>
      <c r="D1099">
        <f t="shared" si="245"/>
        <v>0</v>
      </c>
      <c r="E1099" t="e">
        <f t="shared" si="246"/>
        <v>#N/A</v>
      </c>
      <c r="F1099">
        <f t="shared" si="247"/>
        <v>0</v>
      </c>
      <c r="G1099">
        <f t="shared" si="248"/>
        <v>0</v>
      </c>
      <c r="H1099">
        <f t="shared" si="249"/>
        <v>0</v>
      </c>
      <c r="I1099">
        <f t="shared" si="250"/>
        <v>0</v>
      </c>
      <c r="J1099">
        <f t="shared" si="251"/>
        <v>0</v>
      </c>
      <c r="K1099" s="4" t="e">
        <f t="shared" si="240"/>
        <v>#N/A</v>
      </c>
      <c r="L1099" t="e">
        <f t="shared" si="241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2"/>
        <v>0</v>
      </c>
      <c r="B1100">
        <f t="shared" si="243"/>
        <v>0</v>
      </c>
      <c r="C1100">
        <f t="shared" si="244"/>
        <v>0</v>
      </c>
      <c r="D1100">
        <f t="shared" si="245"/>
        <v>0</v>
      </c>
      <c r="E1100" t="e">
        <f t="shared" si="246"/>
        <v>#N/A</v>
      </c>
      <c r="F1100">
        <f t="shared" si="247"/>
        <v>0</v>
      </c>
      <c r="G1100">
        <f t="shared" si="248"/>
        <v>0</v>
      </c>
      <c r="H1100">
        <f t="shared" si="249"/>
        <v>0</v>
      </c>
      <c r="I1100">
        <f t="shared" si="250"/>
        <v>0</v>
      </c>
      <c r="J1100">
        <f t="shared" si="251"/>
        <v>0</v>
      </c>
      <c r="K1100" s="4" t="e">
        <f t="shared" si="240"/>
        <v>#N/A</v>
      </c>
      <c r="L1100" t="e">
        <f t="shared" si="241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2"/>
        <v>0</v>
      </c>
      <c r="B1101">
        <f t="shared" si="243"/>
        <v>0</v>
      </c>
      <c r="C1101">
        <f t="shared" si="244"/>
        <v>0</v>
      </c>
      <c r="D1101">
        <f t="shared" si="245"/>
        <v>0</v>
      </c>
      <c r="E1101" t="e">
        <f t="shared" si="246"/>
        <v>#N/A</v>
      </c>
      <c r="F1101">
        <f t="shared" si="247"/>
        <v>0</v>
      </c>
      <c r="G1101">
        <f t="shared" si="248"/>
        <v>0</v>
      </c>
      <c r="H1101">
        <f t="shared" si="249"/>
        <v>0</v>
      </c>
      <c r="I1101">
        <f t="shared" si="250"/>
        <v>0</v>
      </c>
      <c r="J1101">
        <f t="shared" si="251"/>
        <v>0</v>
      </c>
      <c r="K1101" s="4" t="e">
        <f t="shared" si="240"/>
        <v>#N/A</v>
      </c>
      <c r="L1101" t="e">
        <f t="shared" si="241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2"/>
        <v>0</v>
      </c>
      <c r="B1102">
        <f t="shared" si="243"/>
        <v>0</v>
      </c>
      <c r="C1102">
        <f t="shared" si="244"/>
        <v>0</v>
      </c>
      <c r="D1102">
        <f t="shared" si="245"/>
        <v>0</v>
      </c>
      <c r="E1102" t="e">
        <f t="shared" si="246"/>
        <v>#N/A</v>
      </c>
      <c r="F1102">
        <f t="shared" si="247"/>
        <v>0</v>
      </c>
      <c r="G1102">
        <f t="shared" si="248"/>
        <v>0</v>
      </c>
      <c r="H1102">
        <f t="shared" si="249"/>
        <v>0</v>
      </c>
      <c r="I1102">
        <f t="shared" si="250"/>
        <v>0</v>
      </c>
      <c r="J1102">
        <f t="shared" si="251"/>
        <v>0</v>
      </c>
      <c r="K1102" s="4" t="e">
        <f t="shared" si="240"/>
        <v>#N/A</v>
      </c>
      <c r="L1102" t="e">
        <f t="shared" si="241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2"/>
        <v>0</v>
      </c>
      <c r="B1103">
        <f t="shared" si="243"/>
        <v>0</v>
      </c>
      <c r="C1103">
        <f t="shared" si="244"/>
        <v>0</v>
      </c>
      <c r="D1103">
        <f t="shared" si="245"/>
        <v>0</v>
      </c>
      <c r="E1103" t="e">
        <f t="shared" si="246"/>
        <v>#N/A</v>
      </c>
      <c r="F1103">
        <f t="shared" si="247"/>
        <v>0</v>
      </c>
      <c r="G1103">
        <f t="shared" si="248"/>
        <v>0</v>
      </c>
      <c r="H1103">
        <f t="shared" si="249"/>
        <v>0</v>
      </c>
      <c r="I1103">
        <f t="shared" si="250"/>
        <v>0</v>
      </c>
      <c r="J1103">
        <f t="shared" si="251"/>
        <v>0</v>
      </c>
      <c r="K1103" s="4" t="e">
        <f t="shared" si="240"/>
        <v>#N/A</v>
      </c>
      <c r="L1103" t="e">
        <f t="shared" si="241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2"/>
        <v>0</v>
      </c>
      <c r="B1104">
        <f t="shared" si="243"/>
        <v>0</v>
      </c>
      <c r="C1104">
        <f t="shared" si="244"/>
        <v>0</v>
      </c>
      <c r="D1104">
        <f t="shared" si="245"/>
        <v>0</v>
      </c>
      <c r="E1104" t="e">
        <f t="shared" si="246"/>
        <v>#N/A</v>
      </c>
      <c r="F1104">
        <f t="shared" si="247"/>
        <v>0</v>
      </c>
      <c r="G1104">
        <f t="shared" si="248"/>
        <v>0</v>
      </c>
      <c r="H1104">
        <f t="shared" si="249"/>
        <v>0</v>
      </c>
      <c r="I1104">
        <f t="shared" si="250"/>
        <v>0</v>
      </c>
      <c r="J1104">
        <f t="shared" si="251"/>
        <v>0</v>
      </c>
      <c r="K1104" s="4" t="e">
        <f t="shared" si="240"/>
        <v>#N/A</v>
      </c>
      <c r="L1104" t="e">
        <f t="shared" si="241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2"/>
        <v>0</v>
      </c>
      <c r="B1105">
        <f t="shared" si="243"/>
        <v>0</v>
      </c>
      <c r="C1105">
        <f t="shared" si="244"/>
        <v>0</v>
      </c>
      <c r="D1105">
        <f t="shared" si="245"/>
        <v>0</v>
      </c>
      <c r="E1105" t="e">
        <f t="shared" si="246"/>
        <v>#N/A</v>
      </c>
      <c r="F1105">
        <f t="shared" si="247"/>
        <v>0</v>
      </c>
      <c r="G1105">
        <f t="shared" si="248"/>
        <v>0</v>
      </c>
      <c r="H1105">
        <f t="shared" si="249"/>
        <v>0</v>
      </c>
      <c r="I1105">
        <f t="shared" si="250"/>
        <v>0</v>
      </c>
      <c r="J1105">
        <f t="shared" si="251"/>
        <v>0</v>
      </c>
      <c r="K1105" s="4" t="e">
        <f t="shared" si="240"/>
        <v>#N/A</v>
      </c>
      <c r="L1105" t="e">
        <f t="shared" si="241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2"/>
        <v>0</v>
      </c>
      <c r="B1106">
        <f t="shared" si="243"/>
        <v>0</v>
      </c>
      <c r="C1106">
        <f t="shared" si="244"/>
        <v>0</v>
      </c>
      <c r="D1106">
        <f t="shared" si="245"/>
        <v>0</v>
      </c>
      <c r="E1106" t="e">
        <f t="shared" si="246"/>
        <v>#N/A</v>
      </c>
      <c r="F1106">
        <f t="shared" si="247"/>
        <v>0</v>
      </c>
      <c r="G1106">
        <f t="shared" si="248"/>
        <v>0</v>
      </c>
      <c r="H1106">
        <f t="shared" si="249"/>
        <v>0</v>
      </c>
      <c r="I1106">
        <f t="shared" si="250"/>
        <v>0</v>
      </c>
      <c r="J1106">
        <f t="shared" si="251"/>
        <v>0</v>
      </c>
      <c r="K1106" s="4" t="e">
        <f t="shared" si="240"/>
        <v>#N/A</v>
      </c>
      <c r="L1106" t="e">
        <f t="shared" si="241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2"/>
        <v>0</v>
      </c>
      <c r="B1107">
        <f t="shared" si="243"/>
        <v>0</v>
      </c>
      <c r="C1107">
        <f t="shared" si="244"/>
        <v>0</v>
      </c>
      <c r="D1107">
        <f t="shared" si="245"/>
        <v>0</v>
      </c>
      <c r="E1107" t="e">
        <f t="shared" si="246"/>
        <v>#N/A</v>
      </c>
      <c r="F1107">
        <f t="shared" si="247"/>
        <v>0</v>
      </c>
      <c r="G1107">
        <f t="shared" si="248"/>
        <v>0</v>
      </c>
      <c r="H1107">
        <f t="shared" si="249"/>
        <v>0</v>
      </c>
      <c r="I1107">
        <f t="shared" si="250"/>
        <v>0</v>
      </c>
      <c r="J1107">
        <f t="shared" si="251"/>
        <v>0</v>
      </c>
      <c r="K1107" s="4" t="e">
        <f t="shared" si="240"/>
        <v>#N/A</v>
      </c>
      <c r="L1107" t="e">
        <f t="shared" si="241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2"/>
        <v>0</v>
      </c>
      <c r="B1108">
        <f t="shared" si="243"/>
        <v>0</v>
      </c>
      <c r="C1108">
        <f t="shared" si="244"/>
        <v>0</v>
      </c>
      <c r="D1108">
        <f t="shared" si="245"/>
        <v>0</v>
      </c>
      <c r="E1108" t="e">
        <f t="shared" si="246"/>
        <v>#N/A</v>
      </c>
      <c r="F1108">
        <f t="shared" si="247"/>
        <v>0</v>
      </c>
      <c r="G1108">
        <f t="shared" si="248"/>
        <v>0</v>
      </c>
      <c r="H1108">
        <f t="shared" si="249"/>
        <v>0</v>
      </c>
      <c r="I1108">
        <f t="shared" si="250"/>
        <v>0</v>
      </c>
      <c r="J1108">
        <f t="shared" si="251"/>
        <v>0</v>
      </c>
      <c r="K1108" s="4" t="e">
        <f t="shared" si="240"/>
        <v>#N/A</v>
      </c>
      <c r="L1108" t="e">
        <f t="shared" si="241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2"/>
        <v>0</v>
      </c>
      <c r="B1109">
        <f t="shared" si="243"/>
        <v>0</v>
      </c>
      <c r="C1109">
        <f t="shared" si="244"/>
        <v>0</v>
      </c>
      <c r="D1109">
        <f t="shared" si="245"/>
        <v>0</v>
      </c>
      <c r="E1109" t="e">
        <f t="shared" si="246"/>
        <v>#N/A</v>
      </c>
      <c r="F1109">
        <f t="shared" si="247"/>
        <v>0</v>
      </c>
      <c r="G1109">
        <f t="shared" si="248"/>
        <v>0</v>
      </c>
      <c r="H1109">
        <f t="shared" si="249"/>
        <v>0</v>
      </c>
      <c r="I1109">
        <f t="shared" si="250"/>
        <v>0</v>
      </c>
      <c r="J1109">
        <f t="shared" si="251"/>
        <v>0</v>
      </c>
      <c r="K1109" s="4" t="e">
        <f t="shared" si="240"/>
        <v>#N/A</v>
      </c>
      <c r="L1109" t="e">
        <f t="shared" si="241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2"/>
        <v>0</v>
      </c>
      <c r="B1110">
        <f t="shared" si="243"/>
        <v>0</v>
      </c>
      <c r="C1110">
        <f t="shared" si="244"/>
        <v>0</v>
      </c>
      <c r="D1110">
        <f t="shared" si="245"/>
        <v>0</v>
      </c>
      <c r="E1110" t="e">
        <f t="shared" si="246"/>
        <v>#N/A</v>
      </c>
      <c r="F1110">
        <f t="shared" si="247"/>
        <v>0</v>
      </c>
      <c r="G1110">
        <f t="shared" si="248"/>
        <v>0</v>
      </c>
      <c r="H1110">
        <f t="shared" si="249"/>
        <v>0</v>
      </c>
      <c r="I1110">
        <f t="shared" si="250"/>
        <v>0</v>
      </c>
      <c r="J1110">
        <f t="shared" si="251"/>
        <v>0</v>
      </c>
      <c r="K1110" s="4" t="e">
        <f t="shared" si="240"/>
        <v>#N/A</v>
      </c>
      <c r="L1110" t="e">
        <f t="shared" si="241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2"/>
        <v>0</v>
      </c>
      <c r="B1111">
        <f t="shared" si="243"/>
        <v>0</v>
      </c>
      <c r="C1111">
        <f t="shared" si="244"/>
        <v>0</v>
      </c>
      <c r="D1111">
        <f t="shared" si="245"/>
        <v>0</v>
      </c>
      <c r="E1111" t="e">
        <f t="shared" si="246"/>
        <v>#N/A</v>
      </c>
      <c r="F1111">
        <f t="shared" si="247"/>
        <v>0</v>
      </c>
      <c r="G1111">
        <f t="shared" si="248"/>
        <v>0</v>
      </c>
      <c r="H1111">
        <f t="shared" si="249"/>
        <v>0</v>
      </c>
      <c r="I1111">
        <f t="shared" si="250"/>
        <v>0</v>
      </c>
      <c r="J1111">
        <f t="shared" si="251"/>
        <v>0</v>
      </c>
      <c r="K1111" s="4" t="e">
        <f t="shared" si="240"/>
        <v>#N/A</v>
      </c>
      <c r="L1111" t="e">
        <f t="shared" si="241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2"/>
        <v>0</v>
      </c>
      <c r="B1112">
        <f t="shared" si="243"/>
        <v>0</v>
      </c>
      <c r="C1112">
        <f t="shared" si="244"/>
        <v>0</v>
      </c>
      <c r="D1112">
        <f t="shared" si="245"/>
        <v>0</v>
      </c>
      <c r="E1112" t="e">
        <f t="shared" si="246"/>
        <v>#N/A</v>
      </c>
      <c r="F1112">
        <f t="shared" si="247"/>
        <v>0</v>
      </c>
      <c r="G1112">
        <f t="shared" si="248"/>
        <v>0</v>
      </c>
      <c r="H1112">
        <f t="shared" si="249"/>
        <v>0</v>
      </c>
      <c r="I1112">
        <f t="shared" si="250"/>
        <v>0</v>
      </c>
      <c r="J1112">
        <f t="shared" si="251"/>
        <v>0</v>
      </c>
      <c r="K1112" s="4" t="e">
        <f t="shared" si="240"/>
        <v>#N/A</v>
      </c>
      <c r="L1112" t="e">
        <f t="shared" si="241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2"/>
        <v>0</v>
      </c>
      <c r="B1113">
        <f t="shared" si="243"/>
        <v>0</v>
      </c>
      <c r="C1113">
        <f t="shared" si="244"/>
        <v>0</v>
      </c>
      <c r="D1113">
        <f t="shared" si="245"/>
        <v>0</v>
      </c>
      <c r="E1113" t="e">
        <f t="shared" si="246"/>
        <v>#N/A</v>
      </c>
      <c r="F1113">
        <f t="shared" si="247"/>
        <v>0</v>
      </c>
      <c r="G1113">
        <f t="shared" si="248"/>
        <v>0</v>
      </c>
      <c r="H1113">
        <f t="shared" si="249"/>
        <v>0</v>
      </c>
      <c r="I1113">
        <f t="shared" si="250"/>
        <v>0</v>
      </c>
      <c r="J1113">
        <f t="shared" si="251"/>
        <v>0</v>
      </c>
      <c r="K1113" s="4" t="e">
        <f t="shared" si="240"/>
        <v>#N/A</v>
      </c>
      <c r="L1113" t="e">
        <f t="shared" si="241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2"/>
        <v>0</v>
      </c>
      <c r="B1114">
        <f t="shared" si="243"/>
        <v>0</v>
      </c>
      <c r="C1114">
        <f t="shared" si="244"/>
        <v>0</v>
      </c>
      <c r="D1114">
        <f t="shared" si="245"/>
        <v>0</v>
      </c>
      <c r="E1114" t="e">
        <f t="shared" si="246"/>
        <v>#N/A</v>
      </c>
      <c r="F1114">
        <f t="shared" si="247"/>
        <v>0</v>
      </c>
      <c r="G1114">
        <f t="shared" si="248"/>
        <v>0</v>
      </c>
      <c r="H1114">
        <f t="shared" si="249"/>
        <v>0</v>
      </c>
      <c r="I1114">
        <f t="shared" si="250"/>
        <v>0</v>
      </c>
      <c r="J1114">
        <f t="shared" si="251"/>
        <v>0</v>
      </c>
      <c r="K1114" s="4" t="e">
        <f t="shared" si="240"/>
        <v>#N/A</v>
      </c>
      <c r="L1114" t="e">
        <f t="shared" si="241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2"/>
        <v>0</v>
      </c>
      <c r="B1115">
        <f t="shared" si="243"/>
        <v>0</v>
      </c>
      <c r="C1115">
        <f t="shared" si="244"/>
        <v>0</v>
      </c>
      <c r="D1115">
        <f t="shared" si="245"/>
        <v>0</v>
      </c>
      <c r="E1115" t="e">
        <f t="shared" si="246"/>
        <v>#N/A</v>
      </c>
      <c r="F1115">
        <f t="shared" si="247"/>
        <v>0</v>
      </c>
      <c r="G1115">
        <f t="shared" si="248"/>
        <v>0</v>
      </c>
      <c r="H1115">
        <f t="shared" si="249"/>
        <v>0</v>
      </c>
      <c r="I1115">
        <f t="shared" si="250"/>
        <v>0</v>
      </c>
      <c r="J1115">
        <f t="shared" si="251"/>
        <v>0</v>
      </c>
      <c r="K1115" s="4" t="e">
        <f t="shared" si="240"/>
        <v>#N/A</v>
      </c>
      <c r="L1115" t="e">
        <f t="shared" si="241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2"/>
        <v>0</v>
      </c>
      <c r="B1116">
        <f t="shared" si="243"/>
        <v>0</v>
      </c>
      <c r="C1116">
        <f t="shared" si="244"/>
        <v>0</v>
      </c>
      <c r="D1116">
        <f t="shared" si="245"/>
        <v>0</v>
      </c>
      <c r="E1116" t="e">
        <f t="shared" si="246"/>
        <v>#N/A</v>
      </c>
      <c r="F1116">
        <f t="shared" si="247"/>
        <v>0</v>
      </c>
      <c r="G1116">
        <f t="shared" si="248"/>
        <v>0</v>
      </c>
      <c r="H1116">
        <f t="shared" si="249"/>
        <v>0</v>
      </c>
      <c r="I1116">
        <f t="shared" si="250"/>
        <v>0</v>
      </c>
      <c r="J1116">
        <f t="shared" si="251"/>
        <v>0</v>
      </c>
      <c r="K1116" s="4" t="e">
        <f t="shared" si="240"/>
        <v>#N/A</v>
      </c>
      <c r="L1116" t="e">
        <f t="shared" si="241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2"/>
        <v>0</v>
      </c>
      <c r="B1117">
        <f t="shared" si="243"/>
        <v>0</v>
      </c>
      <c r="C1117">
        <f t="shared" si="244"/>
        <v>0</v>
      </c>
      <c r="D1117">
        <f t="shared" si="245"/>
        <v>0</v>
      </c>
      <c r="E1117" t="e">
        <f t="shared" si="246"/>
        <v>#N/A</v>
      </c>
      <c r="F1117">
        <f t="shared" si="247"/>
        <v>0</v>
      </c>
      <c r="G1117">
        <f t="shared" si="248"/>
        <v>0</v>
      </c>
      <c r="H1117">
        <f t="shared" si="249"/>
        <v>0</v>
      </c>
      <c r="I1117">
        <f t="shared" si="250"/>
        <v>0</v>
      </c>
      <c r="J1117">
        <f t="shared" si="251"/>
        <v>0</v>
      </c>
      <c r="K1117" s="4" t="e">
        <f t="shared" si="240"/>
        <v>#N/A</v>
      </c>
      <c r="L1117" t="e">
        <f t="shared" si="241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2"/>
        <v>0</v>
      </c>
      <c r="B1118">
        <f t="shared" si="243"/>
        <v>0</v>
      </c>
      <c r="C1118">
        <f t="shared" si="244"/>
        <v>0</v>
      </c>
      <c r="D1118">
        <f t="shared" si="245"/>
        <v>0</v>
      </c>
      <c r="E1118" t="e">
        <f t="shared" si="246"/>
        <v>#N/A</v>
      </c>
      <c r="F1118">
        <f t="shared" si="247"/>
        <v>0</v>
      </c>
      <c r="G1118">
        <f t="shared" si="248"/>
        <v>0</v>
      </c>
      <c r="H1118">
        <f t="shared" si="249"/>
        <v>0</v>
      </c>
      <c r="I1118">
        <f t="shared" si="250"/>
        <v>0</v>
      </c>
      <c r="J1118">
        <f t="shared" si="251"/>
        <v>0</v>
      </c>
      <c r="K1118" s="4" t="e">
        <f t="shared" si="240"/>
        <v>#N/A</v>
      </c>
      <c r="L1118" t="e">
        <f t="shared" si="241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2"/>
        <v>0</v>
      </c>
      <c r="B1119">
        <f t="shared" si="243"/>
        <v>0</v>
      </c>
      <c r="C1119">
        <f t="shared" si="244"/>
        <v>0</v>
      </c>
      <c r="D1119">
        <f t="shared" si="245"/>
        <v>0</v>
      </c>
      <c r="E1119" t="e">
        <f t="shared" si="246"/>
        <v>#N/A</v>
      </c>
      <c r="F1119">
        <f t="shared" si="247"/>
        <v>0</v>
      </c>
      <c r="G1119">
        <f t="shared" si="248"/>
        <v>0</v>
      </c>
      <c r="H1119">
        <f t="shared" si="249"/>
        <v>0</v>
      </c>
      <c r="I1119">
        <f t="shared" si="250"/>
        <v>0</v>
      </c>
      <c r="J1119">
        <f t="shared" si="251"/>
        <v>0</v>
      </c>
      <c r="K1119" s="4" t="e">
        <f t="shared" si="240"/>
        <v>#N/A</v>
      </c>
      <c r="L1119" t="e">
        <f t="shared" si="241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2"/>
        <v>0</v>
      </c>
      <c r="B1120">
        <f t="shared" si="243"/>
        <v>0</v>
      </c>
      <c r="C1120">
        <f t="shared" si="244"/>
        <v>0</v>
      </c>
      <c r="D1120">
        <f t="shared" si="245"/>
        <v>0</v>
      </c>
      <c r="E1120" t="e">
        <f t="shared" si="246"/>
        <v>#N/A</v>
      </c>
      <c r="F1120">
        <f t="shared" si="247"/>
        <v>0</v>
      </c>
      <c r="G1120">
        <f t="shared" si="248"/>
        <v>0</v>
      </c>
      <c r="H1120">
        <f t="shared" si="249"/>
        <v>0</v>
      </c>
      <c r="I1120">
        <f t="shared" si="250"/>
        <v>0</v>
      </c>
      <c r="J1120">
        <f t="shared" si="251"/>
        <v>0</v>
      </c>
      <c r="K1120" s="4" t="e">
        <f t="shared" si="240"/>
        <v>#N/A</v>
      </c>
      <c r="L1120" t="e">
        <f t="shared" si="241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2"/>
        <v>0</v>
      </c>
      <c r="B1121">
        <f t="shared" si="243"/>
        <v>0</v>
      </c>
      <c r="C1121">
        <f t="shared" si="244"/>
        <v>0</v>
      </c>
      <c r="D1121">
        <f t="shared" si="245"/>
        <v>0</v>
      </c>
      <c r="E1121" t="e">
        <f t="shared" si="246"/>
        <v>#N/A</v>
      </c>
      <c r="F1121">
        <f t="shared" si="247"/>
        <v>0</v>
      </c>
      <c r="G1121">
        <f t="shared" si="248"/>
        <v>0</v>
      </c>
      <c r="H1121">
        <f t="shared" si="249"/>
        <v>0</v>
      </c>
      <c r="I1121">
        <f t="shared" si="250"/>
        <v>0</v>
      </c>
      <c r="J1121">
        <f t="shared" si="251"/>
        <v>0</v>
      </c>
      <c r="K1121" s="4" t="e">
        <f t="shared" si="240"/>
        <v>#N/A</v>
      </c>
      <c r="L1121" t="e">
        <f t="shared" si="241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2"/>
        <v>0</v>
      </c>
      <c r="B1122">
        <f t="shared" si="243"/>
        <v>0</v>
      </c>
      <c r="C1122">
        <f t="shared" si="244"/>
        <v>0</v>
      </c>
      <c r="D1122">
        <f t="shared" si="245"/>
        <v>0</v>
      </c>
      <c r="E1122" t="e">
        <f t="shared" si="246"/>
        <v>#N/A</v>
      </c>
      <c r="F1122">
        <f t="shared" si="247"/>
        <v>0</v>
      </c>
      <c r="G1122">
        <f t="shared" si="248"/>
        <v>0</v>
      </c>
      <c r="H1122">
        <f t="shared" si="249"/>
        <v>0</v>
      </c>
      <c r="I1122">
        <f t="shared" si="250"/>
        <v>0</v>
      </c>
      <c r="J1122">
        <f t="shared" si="251"/>
        <v>0</v>
      </c>
      <c r="K1122" s="4" t="e">
        <f t="shared" si="240"/>
        <v>#N/A</v>
      </c>
      <c r="L1122" t="e">
        <f t="shared" si="241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2"/>
        <v>0</v>
      </c>
      <c r="B1123">
        <f t="shared" si="243"/>
        <v>0</v>
      </c>
      <c r="C1123">
        <f t="shared" si="244"/>
        <v>0</v>
      </c>
      <c r="D1123">
        <f t="shared" si="245"/>
        <v>0</v>
      </c>
      <c r="E1123" t="e">
        <f t="shared" si="246"/>
        <v>#N/A</v>
      </c>
      <c r="F1123">
        <f t="shared" si="247"/>
        <v>0</v>
      </c>
      <c r="G1123">
        <f t="shared" si="248"/>
        <v>0</v>
      </c>
      <c r="H1123">
        <f t="shared" si="249"/>
        <v>0</v>
      </c>
      <c r="I1123">
        <f t="shared" si="250"/>
        <v>0</v>
      </c>
      <c r="J1123">
        <f t="shared" si="251"/>
        <v>0</v>
      </c>
      <c r="K1123" s="4" t="e">
        <f t="shared" si="240"/>
        <v>#N/A</v>
      </c>
      <c r="L1123" t="e">
        <f t="shared" si="241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2"/>
        <v>0</v>
      </c>
      <c r="B1124">
        <f t="shared" si="243"/>
        <v>0</v>
      </c>
      <c r="C1124">
        <f t="shared" si="244"/>
        <v>0</v>
      </c>
      <c r="D1124">
        <f t="shared" si="245"/>
        <v>0</v>
      </c>
      <c r="E1124" t="e">
        <f t="shared" si="246"/>
        <v>#N/A</v>
      </c>
      <c r="F1124">
        <f t="shared" si="247"/>
        <v>0</v>
      </c>
      <c r="G1124">
        <f t="shared" si="248"/>
        <v>0</v>
      </c>
      <c r="H1124">
        <f t="shared" si="249"/>
        <v>0</v>
      </c>
      <c r="I1124">
        <f t="shared" si="250"/>
        <v>0</v>
      </c>
      <c r="J1124">
        <f t="shared" si="251"/>
        <v>0</v>
      </c>
      <c r="K1124" s="4" t="e">
        <f t="shared" si="240"/>
        <v>#N/A</v>
      </c>
      <c r="L1124" t="e">
        <f t="shared" si="241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2"/>
        <v>0</v>
      </c>
      <c r="B1125">
        <f t="shared" si="243"/>
        <v>0</v>
      </c>
      <c r="C1125">
        <f t="shared" si="244"/>
        <v>0</v>
      </c>
      <c r="D1125">
        <f t="shared" si="245"/>
        <v>0</v>
      </c>
      <c r="E1125" t="e">
        <f t="shared" si="246"/>
        <v>#N/A</v>
      </c>
      <c r="F1125">
        <f t="shared" si="247"/>
        <v>0</v>
      </c>
      <c r="G1125">
        <f t="shared" si="248"/>
        <v>0</v>
      </c>
      <c r="H1125">
        <f t="shared" si="249"/>
        <v>0</v>
      </c>
      <c r="I1125">
        <f t="shared" si="250"/>
        <v>0</v>
      </c>
      <c r="J1125">
        <f t="shared" si="251"/>
        <v>0</v>
      </c>
      <c r="K1125" s="4" t="e">
        <f t="shared" si="240"/>
        <v>#N/A</v>
      </c>
      <c r="L1125" t="e">
        <f t="shared" si="241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2"/>
        <v>0</v>
      </c>
      <c r="B1126">
        <f t="shared" si="243"/>
        <v>0</v>
      </c>
      <c r="C1126">
        <f t="shared" si="244"/>
        <v>0</v>
      </c>
      <c r="D1126">
        <f t="shared" si="245"/>
        <v>0</v>
      </c>
      <c r="E1126" t="e">
        <f t="shared" si="246"/>
        <v>#N/A</v>
      </c>
      <c r="F1126">
        <f t="shared" si="247"/>
        <v>0</v>
      </c>
      <c r="G1126">
        <f t="shared" si="248"/>
        <v>0</v>
      </c>
      <c r="H1126">
        <f t="shared" si="249"/>
        <v>0</v>
      </c>
      <c r="I1126">
        <f t="shared" si="250"/>
        <v>0</v>
      </c>
      <c r="J1126">
        <f t="shared" si="251"/>
        <v>0</v>
      </c>
      <c r="K1126" s="4" t="e">
        <f t="shared" si="240"/>
        <v>#N/A</v>
      </c>
      <c r="L1126" t="e">
        <f t="shared" si="241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2"/>
        <v>0</v>
      </c>
      <c r="B1127">
        <f t="shared" si="243"/>
        <v>0</v>
      </c>
      <c r="C1127">
        <f t="shared" si="244"/>
        <v>0</v>
      </c>
      <c r="D1127">
        <f t="shared" si="245"/>
        <v>0</v>
      </c>
      <c r="E1127" t="e">
        <f t="shared" si="246"/>
        <v>#N/A</v>
      </c>
      <c r="F1127">
        <f t="shared" si="247"/>
        <v>0</v>
      </c>
      <c r="G1127">
        <f t="shared" si="248"/>
        <v>0</v>
      </c>
      <c r="H1127">
        <f t="shared" si="249"/>
        <v>0</v>
      </c>
      <c r="I1127">
        <f t="shared" si="250"/>
        <v>0</v>
      </c>
      <c r="J1127">
        <f t="shared" si="251"/>
        <v>0</v>
      </c>
      <c r="K1127" s="4" t="e">
        <f t="shared" si="240"/>
        <v>#N/A</v>
      </c>
      <c r="L1127" t="e">
        <f t="shared" si="241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2"/>
        <v>0</v>
      </c>
      <c r="B1128">
        <f t="shared" si="243"/>
        <v>0</v>
      </c>
      <c r="C1128">
        <f t="shared" si="244"/>
        <v>0</v>
      </c>
      <c r="D1128">
        <f t="shared" si="245"/>
        <v>0</v>
      </c>
      <c r="E1128" t="e">
        <f t="shared" si="246"/>
        <v>#N/A</v>
      </c>
      <c r="F1128">
        <f t="shared" si="247"/>
        <v>0</v>
      </c>
      <c r="G1128">
        <f t="shared" si="248"/>
        <v>0</v>
      </c>
      <c r="H1128">
        <f t="shared" si="249"/>
        <v>0</v>
      </c>
      <c r="I1128">
        <f t="shared" si="250"/>
        <v>0</v>
      </c>
      <c r="J1128">
        <f t="shared" si="251"/>
        <v>0</v>
      </c>
      <c r="K1128" s="4" t="e">
        <f t="shared" si="240"/>
        <v>#N/A</v>
      </c>
      <c r="L1128" t="e">
        <f t="shared" si="241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2"/>
        <v>0</v>
      </c>
      <c r="B1129">
        <f t="shared" si="243"/>
        <v>0</v>
      </c>
      <c r="C1129">
        <f t="shared" si="244"/>
        <v>0</v>
      </c>
      <c r="D1129">
        <f t="shared" si="245"/>
        <v>0</v>
      </c>
      <c r="E1129" t="e">
        <f t="shared" si="246"/>
        <v>#N/A</v>
      </c>
      <c r="F1129">
        <f t="shared" si="247"/>
        <v>0</v>
      </c>
      <c r="G1129">
        <f t="shared" si="248"/>
        <v>0</v>
      </c>
      <c r="H1129">
        <f t="shared" si="249"/>
        <v>0</v>
      </c>
      <c r="I1129">
        <f t="shared" si="250"/>
        <v>0</v>
      </c>
      <c r="J1129">
        <f t="shared" si="251"/>
        <v>0</v>
      </c>
      <c r="K1129" s="4" t="e">
        <f t="shared" si="240"/>
        <v>#N/A</v>
      </c>
      <c r="L1129" t="e">
        <f t="shared" si="241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2"/>
        <v>0</v>
      </c>
      <c r="B1130">
        <f t="shared" si="243"/>
        <v>0</v>
      </c>
      <c r="C1130">
        <f t="shared" si="244"/>
        <v>0</v>
      </c>
      <c r="D1130">
        <f t="shared" si="245"/>
        <v>0</v>
      </c>
      <c r="E1130" t="e">
        <f t="shared" si="246"/>
        <v>#N/A</v>
      </c>
      <c r="F1130">
        <f t="shared" si="247"/>
        <v>0</v>
      </c>
      <c r="G1130">
        <f t="shared" si="248"/>
        <v>0</v>
      </c>
      <c r="H1130">
        <f t="shared" si="249"/>
        <v>0</v>
      </c>
      <c r="I1130">
        <f t="shared" si="250"/>
        <v>0</v>
      </c>
      <c r="J1130">
        <f t="shared" si="251"/>
        <v>0</v>
      </c>
      <c r="K1130" s="4" t="e">
        <f t="shared" si="240"/>
        <v>#N/A</v>
      </c>
      <c r="L1130" t="e">
        <f t="shared" si="241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2"/>
        <v>0</v>
      </c>
      <c r="B1131">
        <f t="shared" si="243"/>
        <v>0</v>
      </c>
      <c r="C1131">
        <f t="shared" si="244"/>
        <v>0</v>
      </c>
      <c r="D1131">
        <f t="shared" si="245"/>
        <v>0</v>
      </c>
      <c r="E1131" t="e">
        <f t="shared" si="246"/>
        <v>#N/A</v>
      </c>
      <c r="F1131">
        <f t="shared" si="247"/>
        <v>0</v>
      </c>
      <c r="G1131">
        <f t="shared" si="248"/>
        <v>0</v>
      </c>
      <c r="H1131">
        <f t="shared" si="249"/>
        <v>0</v>
      </c>
      <c r="I1131">
        <f t="shared" si="250"/>
        <v>0</v>
      </c>
      <c r="J1131">
        <f t="shared" si="251"/>
        <v>0</v>
      </c>
      <c r="K1131" s="4" t="e">
        <f t="shared" si="240"/>
        <v>#N/A</v>
      </c>
      <c r="L1131" t="e">
        <f t="shared" si="241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2"/>
        <v>0</v>
      </c>
      <c r="B1132">
        <f t="shared" si="243"/>
        <v>0</v>
      </c>
      <c r="C1132">
        <f t="shared" si="244"/>
        <v>0</v>
      </c>
      <c r="D1132">
        <f t="shared" si="245"/>
        <v>0</v>
      </c>
      <c r="E1132" t="e">
        <f t="shared" si="246"/>
        <v>#N/A</v>
      </c>
      <c r="F1132">
        <f t="shared" si="247"/>
        <v>0</v>
      </c>
      <c r="G1132">
        <f t="shared" si="248"/>
        <v>0</v>
      </c>
      <c r="H1132">
        <f t="shared" si="249"/>
        <v>0</v>
      </c>
      <c r="I1132">
        <f t="shared" si="250"/>
        <v>0</v>
      </c>
      <c r="J1132">
        <f t="shared" si="251"/>
        <v>0</v>
      </c>
      <c r="K1132" s="4" t="e">
        <f t="shared" ref="K1132:K1195" si="254">IF(LEFT(B1132,3)="DBM",0,VLOOKUP(E1132,tabela,2,FALSE))</f>
        <v>#N/A</v>
      </c>
      <c r="L1132" t="e">
        <f t="shared" ref="L1132:L1195" si="255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2"/>
        <v>0</v>
      </c>
      <c r="B1133">
        <f t="shared" si="243"/>
        <v>0</v>
      </c>
      <c r="C1133">
        <f t="shared" si="244"/>
        <v>0</v>
      </c>
      <c r="D1133">
        <f t="shared" si="245"/>
        <v>0</v>
      </c>
      <c r="E1133" t="e">
        <f t="shared" si="246"/>
        <v>#N/A</v>
      </c>
      <c r="F1133">
        <f t="shared" si="247"/>
        <v>0</v>
      </c>
      <c r="G1133">
        <f t="shared" si="248"/>
        <v>0</v>
      </c>
      <c r="H1133">
        <f t="shared" si="249"/>
        <v>0</v>
      </c>
      <c r="I1133">
        <f t="shared" si="250"/>
        <v>0</v>
      </c>
      <c r="J1133">
        <f t="shared" si="251"/>
        <v>0</v>
      </c>
      <c r="K1133" s="4" t="e">
        <f t="shared" si="254"/>
        <v>#N/A</v>
      </c>
      <c r="L1133" t="e">
        <f t="shared" si="255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2"/>
        <v>0</v>
      </c>
      <c r="B1134">
        <f t="shared" si="243"/>
        <v>0</v>
      </c>
      <c r="C1134">
        <f t="shared" si="244"/>
        <v>0</v>
      </c>
      <c r="D1134">
        <f t="shared" si="245"/>
        <v>0</v>
      </c>
      <c r="E1134" t="e">
        <f t="shared" si="246"/>
        <v>#N/A</v>
      </c>
      <c r="F1134">
        <f t="shared" si="247"/>
        <v>0</v>
      </c>
      <c r="G1134">
        <f t="shared" si="248"/>
        <v>0</v>
      </c>
      <c r="H1134">
        <f t="shared" si="249"/>
        <v>0</v>
      </c>
      <c r="I1134">
        <f t="shared" si="250"/>
        <v>0</v>
      </c>
      <c r="J1134">
        <f t="shared" si="251"/>
        <v>0</v>
      </c>
      <c r="K1134" s="4" t="e">
        <f t="shared" si="254"/>
        <v>#N/A</v>
      </c>
      <c r="L1134" t="e">
        <f t="shared" si="255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2"/>
        <v>0</v>
      </c>
      <c r="B1135">
        <f t="shared" si="243"/>
        <v>0</v>
      </c>
      <c r="C1135">
        <f t="shared" si="244"/>
        <v>0</v>
      </c>
      <c r="D1135">
        <f t="shared" si="245"/>
        <v>0</v>
      </c>
      <c r="E1135" t="e">
        <f t="shared" si="246"/>
        <v>#N/A</v>
      </c>
      <c r="F1135">
        <f t="shared" si="247"/>
        <v>0</v>
      </c>
      <c r="G1135">
        <f t="shared" si="248"/>
        <v>0</v>
      </c>
      <c r="H1135">
        <f t="shared" si="249"/>
        <v>0</v>
      </c>
      <c r="I1135">
        <f t="shared" si="250"/>
        <v>0</v>
      </c>
      <c r="J1135">
        <f t="shared" si="251"/>
        <v>0</v>
      </c>
      <c r="K1135" s="4" t="e">
        <f t="shared" si="254"/>
        <v>#N/A</v>
      </c>
      <c r="L1135" t="e">
        <f t="shared" si="255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2"/>
        <v>0</v>
      </c>
      <c r="B1136">
        <f t="shared" si="243"/>
        <v>0</v>
      </c>
      <c r="C1136">
        <f t="shared" si="244"/>
        <v>0</v>
      </c>
      <c r="D1136">
        <f t="shared" si="245"/>
        <v>0</v>
      </c>
      <c r="E1136" t="e">
        <f t="shared" si="246"/>
        <v>#N/A</v>
      </c>
      <c r="F1136">
        <f t="shared" si="247"/>
        <v>0</v>
      </c>
      <c r="G1136">
        <f t="shared" si="248"/>
        <v>0</v>
      </c>
      <c r="H1136">
        <f t="shared" si="249"/>
        <v>0</v>
      </c>
      <c r="I1136">
        <f t="shared" si="250"/>
        <v>0</v>
      </c>
      <c r="J1136">
        <f t="shared" si="251"/>
        <v>0</v>
      </c>
      <c r="K1136" s="4" t="e">
        <f t="shared" si="254"/>
        <v>#N/A</v>
      </c>
      <c r="L1136" t="e">
        <f t="shared" si="255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2"/>
        <v>0</v>
      </c>
      <c r="B1137">
        <f t="shared" si="243"/>
        <v>0</v>
      </c>
      <c r="C1137">
        <f t="shared" si="244"/>
        <v>0</v>
      </c>
      <c r="D1137">
        <f t="shared" si="245"/>
        <v>0</v>
      </c>
      <c r="E1137" t="e">
        <f t="shared" si="246"/>
        <v>#N/A</v>
      </c>
      <c r="F1137">
        <f t="shared" si="247"/>
        <v>0</v>
      </c>
      <c r="G1137">
        <f t="shared" si="248"/>
        <v>0</v>
      </c>
      <c r="H1137">
        <f t="shared" si="249"/>
        <v>0</v>
      </c>
      <c r="I1137">
        <f t="shared" si="250"/>
        <v>0</v>
      </c>
      <c r="J1137">
        <f t="shared" si="251"/>
        <v>0</v>
      </c>
      <c r="K1137" s="4" t="e">
        <f t="shared" si="254"/>
        <v>#N/A</v>
      </c>
      <c r="L1137" t="e">
        <f t="shared" si="255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2"/>
        <v>0</v>
      </c>
      <c r="B1138">
        <f t="shared" si="243"/>
        <v>0</v>
      </c>
      <c r="C1138">
        <f t="shared" si="244"/>
        <v>0</v>
      </c>
      <c r="D1138">
        <f t="shared" si="245"/>
        <v>0</v>
      </c>
      <c r="E1138" t="e">
        <f t="shared" si="246"/>
        <v>#N/A</v>
      </c>
      <c r="F1138">
        <f t="shared" si="247"/>
        <v>0</v>
      </c>
      <c r="G1138">
        <f t="shared" si="248"/>
        <v>0</v>
      </c>
      <c r="H1138">
        <f t="shared" si="249"/>
        <v>0</v>
      </c>
      <c r="I1138">
        <f t="shared" si="250"/>
        <v>0</v>
      </c>
      <c r="J1138">
        <f t="shared" si="251"/>
        <v>0</v>
      </c>
      <c r="K1138" s="4" t="e">
        <f t="shared" si="254"/>
        <v>#N/A</v>
      </c>
      <c r="L1138" t="e">
        <f t="shared" si="255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2"/>
        <v>0</v>
      </c>
      <c r="B1139">
        <f t="shared" si="243"/>
        <v>0</v>
      </c>
      <c r="C1139">
        <f t="shared" si="244"/>
        <v>0</v>
      </c>
      <c r="D1139">
        <f t="shared" si="245"/>
        <v>0</v>
      </c>
      <c r="E1139" t="e">
        <f t="shared" si="246"/>
        <v>#N/A</v>
      </c>
      <c r="F1139">
        <f t="shared" si="247"/>
        <v>0</v>
      </c>
      <c r="G1139">
        <f t="shared" si="248"/>
        <v>0</v>
      </c>
      <c r="H1139">
        <f t="shared" si="249"/>
        <v>0</v>
      </c>
      <c r="I1139">
        <f t="shared" si="250"/>
        <v>0</v>
      </c>
      <c r="J1139">
        <f t="shared" si="251"/>
        <v>0</v>
      </c>
      <c r="K1139" s="4" t="e">
        <f t="shared" si="254"/>
        <v>#N/A</v>
      </c>
      <c r="L1139" t="e">
        <f t="shared" si="255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2"/>
        <v>0</v>
      </c>
      <c r="B1140">
        <f t="shared" si="243"/>
        <v>0</v>
      </c>
      <c r="C1140">
        <f t="shared" si="244"/>
        <v>0</v>
      </c>
      <c r="D1140">
        <f t="shared" si="245"/>
        <v>0</v>
      </c>
      <c r="E1140" t="e">
        <f t="shared" si="246"/>
        <v>#N/A</v>
      </c>
      <c r="F1140">
        <f t="shared" si="247"/>
        <v>0</v>
      </c>
      <c r="G1140">
        <f t="shared" si="248"/>
        <v>0</v>
      </c>
      <c r="H1140">
        <f t="shared" si="249"/>
        <v>0</v>
      </c>
      <c r="I1140">
        <f t="shared" si="250"/>
        <v>0</v>
      </c>
      <c r="J1140">
        <f t="shared" si="251"/>
        <v>0</v>
      </c>
      <c r="K1140" s="4" t="e">
        <f t="shared" si="254"/>
        <v>#N/A</v>
      </c>
      <c r="L1140" t="e">
        <f t="shared" si="255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2"/>
        <v>0</v>
      </c>
      <c r="B1141">
        <f t="shared" si="243"/>
        <v>0</v>
      </c>
      <c r="C1141">
        <f t="shared" si="244"/>
        <v>0</v>
      </c>
      <c r="D1141">
        <f t="shared" si="245"/>
        <v>0</v>
      </c>
      <c r="E1141" t="e">
        <f t="shared" si="246"/>
        <v>#N/A</v>
      </c>
      <c r="F1141">
        <f t="shared" si="247"/>
        <v>0</v>
      </c>
      <c r="G1141">
        <f t="shared" si="248"/>
        <v>0</v>
      </c>
      <c r="H1141">
        <f t="shared" si="249"/>
        <v>0</v>
      </c>
      <c r="I1141">
        <f t="shared" si="250"/>
        <v>0</v>
      </c>
      <c r="J1141">
        <f t="shared" si="251"/>
        <v>0</v>
      </c>
      <c r="K1141" s="4" t="e">
        <f t="shared" si="254"/>
        <v>#N/A</v>
      </c>
      <c r="L1141" t="e">
        <f t="shared" si="255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2"/>
        <v>0</v>
      </c>
      <c r="B1142">
        <f t="shared" si="243"/>
        <v>0</v>
      </c>
      <c r="C1142">
        <f t="shared" si="244"/>
        <v>0</v>
      </c>
      <c r="D1142">
        <f t="shared" si="245"/>
        <v>0</v>
      </c>
      <c r="E1142" t="e">
        <f t="shared" si="246"/>
        <v>#N/A</v>
      </c>
      <c r="F1142">
        <f t="shared" si="247"/>
        <v>0</v>
      </c>
      <c r="G1142">
        <f t="shared" si="248"/>
        <v>0</v>
      </c>
      <c r="H1142">
        <f t="shared" si="249"/>
        <v>0</v>
      </c>
      <c r="I1142">
        <f t="shared" si="250"/>
        <v>0</v>
      </c>
      <c r="J1142">
        <f t="shared" si="251"/>
        <v>0</v>
      </c>
      <c r="K1142" s="4" t="e">
        <f t="shared" si="254"/>
        <v>#N/A</v>
      </c>
      <c r="L1142" t="e">
        <f t="shared" si="255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2"/>
        <v>0</v>
      </c>
      <c r="B1143">
        <f t="shared" si="243"/>
        <v>0</v>
      </c>
      <c r="C1143">
        <f t="shared" si="244"/>
        <v>0</v>
      </c>
      <c r="D1143">
        <f t="shared" si="245"/>
        <v>0</v>
      </c>
      <c r="E1143" t="e">
        <f t="shared" si="246"/>
        <v>#N/A</v>
      </c>
      <c r="F1143">
        <f t="shared" si="247"/>
        <v>0</v>
      </c>
      <c r="G1143">
        <f t="shared" si="248"/>
        <v>0</v>
      </c>
      <c r="H1143">
        <f t="shared" si="249"/>
        <v>0</v>
      </c>
      <c r="I1143">
        <f t="shared" si="250"/>
        <v>0</v>
      </c>
      <c r="J1143">
        <f t="shared" si="251"/>
        <v>0</v>
      </c>
      <c r="K1143" s="4" t="e">
        <f t="shared" si="254"/>
        <v>#N/A</v>
      </c>
      <c r="L1143" t="e">
        <f t="shared" si="255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2"/>
        <v>0</v>
      </c>
      <c r="B1144">
        <f t="shared" si="243"/>
        <v>0</v>
      </c>
      <c r="C1144">
        <f t="shared" si="244"/>
        <v>0</v>
      </c>
      <c r="D1144">
        <f t="shared" si="245"/>
        <v>0</v>
      </c>
      <c r="E1144" t="e">
        <f t="shared" si="246"/>
        <v>#N/A</v>
      </c>
      <c r="F1144">
        <f t="shared" si="247"/>
        <v>0</v>
      </c>
      <c r="G1144">
        <f t="shared" si="248"/>
        <v>0</v>
      </c>
      <c r="H1144">
        <f t="shared" si="249"/>
        <v>0</v>
      </c>
      <c r="I1144">
        <f t="shared" si="250"/>
        <v>0</v>
      </c>
      <c r="J1144">
        <f t="shared" si="251"/>
        <v>0</v>
      </c>
      <c r="K1144" s="4" t="e">
        <f t="shared" si="254"/>
        <v>#N/A</v>
      </c>
      <c r="L1144" t="e">
        <f t="shared" si="255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2"/>
        <v>0</v>
      </c>
      <c r="B1145">
        <f t="shared" si="243"/>
        <v>0</v>
      </c>
      <c r="C1145">
        <f t="shared" si="244"/>
        <v>0</v>
      </c>
      <c r="D1145">
        <f t="shared" si="245"/>
        <v>0</v>
      </c>
      <c r="E1145" t="e">
        <f t="shared" si="246"/>
        <v>#N/A</v>
      </c>
      <c r="F1145">
        <f t="shared" si="247"/>
        <v>0</v>
      </c>
      <c r="G1145">
        <f t="shared" si="248"/>
        <v>0</v>
      </c>
      <c r="H1145">
        <f t="shared" si="249"/>
        <v>0</v>
      </c>
      <c r="I1145">
        <f t="shared" si="250"/>
        <v>0</v>
      </c>
      <c r="J1145">
        <f t="shared" si="251"/>
        <v>0</v>
      </c>
      <c r="K1145" s="4" t="e">
        <f t="shared" si="254"/>
        <v>#N/A</v>
      </c>
      <c r="L1145" t="e">
        <f t="shared" si="255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2"/>
        <v>0</v>
      </c>
      <c r="B1146">
        <f t="shared" si="243"/>
        <v>0</v>
      </c>
      <c r="C1146">
        <f t="shared" si="244"/>
        <v>0</v>
      </c>
      <c r="D1146">
        <f t="shared" si="245"/>
        <v>0</v>
      </c>
      <c r="E1146" t="e">
        <f t="shared" si="246"/>
        <v>#N/A</v>
      </c>
      <c r="F1146">
        <f t="shared" si="247"/>
        <v>0</v>
      </c>
      <c r="G1146">
        <f t="shared" si="248"/>
        <v>0</v>
      </c>
      <c r="H1146">
        <f t="shared" si="249"/>
        <v>0</v>
      </c>
      <c r="I1146">
        <f t="shared" si="250"/>
        <v>0</v>
      </c>
      <c r="J1146">
        <f t="shared" si="251"/>
        <v>0</v>
      </c>
      <c r="K1146" s="4" t="e">
        <f t="shared" si="254"/>
        <v>#N/A</v>
      </c>
      <c r="L1146" t="e">
        <f t="shared" si="255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2"/>
        <v>0</v>
      </c>
      <c r="B1147">
        <f t="shared" si="243"/>
        <v>0</v>
      </c>
      <c r="C1147">
        <f t="shared" si="244"/>
        <v>0</v>
      </c>
      <c r="D1147">
        <f t="shared" si="245"/>
        <v>0</v>
      </c>
      <c r="E1147" t="e">
        <f t="shared" si="246"/>
        <v>#N/A</v>
      </c>
      <c r="F1147">
        <f t="shared" si="247"/>
        <v>0</v>
      </c>
      <c r="G1147">
        <f t="shared" si="248"/>
        <v>0</v>
      </c>
      <c r="H1147">
        <f t="shared" si="249"/>
        <v>0</v>
      </c>
      <c r="I1147">
        <f t="shared" si="250"/>
        <v>0</v>
      </c>
      <c r="J1147">
        <f t="shared" si="251"/>
        <v>0</v>
      </c>
      <c r="K1147" s="4" t="e">
        <f t="shared" si="254"/>
        <v>#N/A</v>
      </c>
      <c r="L1147" t="e">
        <f t="shared" si="255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2"/>
        <v>0</v>
      </c>
      <c r="B1148">
        <f t="shared" si="243"/>
        <v>0</v>
      </c>
      <c r="C1148">
        <f t="shared" si="244"/>
        <v>0</v>
      </c>
      <c r="D1148">
        <f t="shared" si="245"/>
        <v>0</v>
      </c>
      <c r="E1148" t="e">
        <f t="shared" si="246"/>
        <v>#N/A</v>
      </c>
      <c r="F1148">
        <f t="shared" si="247"/>
        <v>0</v>
      </c>
      <c r="G1148">
        <f t="shared" si="248"/>
        <v>0</v>
      </c>
      <c r="H1148">
        <f t="shared" si="249"/>
        <v>0</v>
      </c>
      <c r="I1148">
        <f t="shared" si="250"/>
        <v>0</v>
      </c>
      <c r="J1148">
        <f t="shared" si="251"/>
        <v>0</v>
      </c>
      <c r="K1148" s="4" t="e">
        <f t="shared" si="254"/>
        <v>#N/A</v>
      </c>
      <c r="L1148" t="e">
        <f t="shared" si="255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2"/>
        <v>0</v>
      </c>
      <c r="B1149">
        <f t="shared" si="243"/>
        <v>0</v>
      </c>
      <c r="C1149">
        <f t="shared" si="244"/>
        <v>0</v>
      </c>
      <c r="D1149">
        <f t="shared" si="245"/>
        <v>0</v>
      </c>
      <c r="E1149" t="e">
        <f t="shared" si="246"/>
        <v>#N/A</v>
      </c>
      <c r="F1149">
        <f t="shared" si="247"/>
        <v>0</v>
      </c>
      <c r="G1149">
        <f t="shared" si="248"/>
        <v>0</v>
      </c>
      <c r="H1149">
        <f t="shared" si="249"/>
        <v>0</v>
      </c>
      <c r="I1149">
        <f t="shared" si="250"/>
        <v>0</v>
      </c>
      <c r="J1149">
        <f t="shared" si="251"/>
        <v>0</v>
      </c>
      <c r="K1149" s="4" t="e">
        <f t="shared" si="254"/>
        <v>#N/A</v>
      </c>
      <c r="L1149" t="e">
        <f t="shared" si="255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2"/>
        <v>0</v>
      </c>
      <c r="B1150">
        <f t="shared" si="243"/>
        <v>0</v>
      </c>
      <c r="C1150">
        <f t="shared" si="244"/>
        <v>0</v>
      </c>
      <c r="D1150">
        <f t="shared" si="245"/>
        <v>0</v>
      </c>
      <c r="E1150" t="e">
        <f t="shared" si="246"/>
        <v>#N/A</v>
      </c>
      <c r="F1150">
        <f t="shared" si="247"/>
        <v>0</v>
      </c>
      <c r="G1150">
        <f t="shared" si="248"/>
        <v>0</v>
      </c>
      <c r="H1150">
        <f t="shared" si="249"/>
        <v>0</v>
      </c>
      <c r="I1150">
        <f t="shared" si="250"/>
        <v>0</v>
      </c>
      <c r="J1150">
        <f t="shared" si="251"/>
        <v>0</v>
      </c>
      <c r="K1150" s="4" t="e">
        <f t="shared" si="254"/>
        <v>#N/A</v>
      </c>
      <c r="L1150" t="e">
        <f t="shared" si="255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2"/>
        <v>0</v>
      </c>
      <c r="B1151">
        <f t="shared" si="243"/>
        <v>0</v>
      </c>
      <c r="C1151">
        <f t="shared" si="244"/>
        <v>0</v>
      </c>
      <c r="D1151">
        <f t="shared" si="245"/>
        <v>0</v>
      </c>
      <c r="E1151" t="e">
        <f t="shared" si="246"/>
        <v>#N/A</v>
      </c>
      <c r="F1151">
        <f t="shared" si="247"/>
        <v>0</v>
      </c>
      <c r="G1151">
        <f t="shared" si="248"/>
        <v>0</v>
      </c>
      <c r="H1151">
        <f t="shared" si="249"/>
        <v>0</v>
      </c>
      <c r="I1151">
        <f t="shared" si="250"/>
        <v>0</v>
      </c>
      <c r="J1151">
        <f t="shared" si="251"/>
        <v>0</v>
      </c>
      <c r="K1151" s="4" t="e">
        <f t="shared" si="254"/>
        <v>#N/A</v>
      </c>
      <c r="L1151" t="e">
        <f t="shared" si="255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2"/>
        <v>0</v>
      </c>
      <c r="B1152">
        <f t="shared" si="243"/>
        <v>0</v>
      </c>
      <c r="C1152">
        <f t="shared" si="244"/>
        <v>0</v>
      </c>
      <c r="D1152">
        <f t="shared" si="245"/>
        <v>0</v>
      </c>
      <c r="E1152" t="e">
        <f t="shared" si="246"/>
        <v>#N/A</v>
      </c>
      <c r="F1152">
        <f t="shared" si="247"/>
        <v>0</v>
      </c>
      <c r="G1152">
        <f t="shared" si="248"/>
        <v>0</v>
      </c>
      <c r="H1152">
        <f t="shared" si="249"/>
        <v>0</v>
      </c>
      <c r="I1152">
        <f t="shared" si="250"/>
        <v>0</v>
      </c>
      <c r="J1152">
        <f t="shared" si="251"/>
        <v>0</v>
      </c>
      <c r="K1152" s="4" t="e">
        <f t="shared" si="254"/>
        <v>#N/A</v>
      </c>
      <c r="L1152" t="e">
        <f t="shared" si="255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2"/>
        <v>0</v>
      </c>
      <c r="B1153">
        <f t="shared" si="243"/>
        <v>0</v>
      </c>
      <c r="C1153">
        <f t="shared" si="244"/>
        <v>0</v>
      </c>
      <c r="D1153">
        <f t="shared" si="245"/>
        <v>0</v>
      </c>
      <c r="E1153" t="e">
        <f t="shared" si="246"/>
        <v>#N/A</v>
      </c>
      <c r="F1153">
        <f t="shared" si="247"/>
        <v>0</v>
      </c>
      <c r="G1153">
        <f t="shared" si="248"/>
        <v>0</v>
      </c>
      <c r="H1153">
        <f t="shared" si="249"/>
        <v>0</v>
      </c>
      <c r="I1153">
        <f t="shared" si="250"/>
        <v>0</v>
      </c>
      <c r="J1153">
        <f t="shared" si="251"/>
        <v>0</v>
      </c>
      <c r="K1153" s="4" t="e">
        <f t="shared" si="254"/>
        <v>#N/A</v>
      </c>
      <c r="L1153" t="e">
        <f t="shared" si="255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6">bd_campaign</f>
        <v>0</v>
      </c>
      <c r="B1154">
        <f t="shared" ref="B1154:B1217" si="257">bd_site</f>
        <v>0</v>
      </c>
      <c r="C1154">
        <f t="shared" ref="C1154:C1217" si="258">bd_placement</f>
        <v>0</v>
      </c>
      <c r="D1154">
        <f t="shared" ref="D1154:D1217" si="259">bd_placementID</f>
        <v>0</v>
      </c>
      <c r="E1154" t="e">
        <f t="shared" ref="E1154:E1217" si="260">VLOOKUP(CONCATENATE(bd_adtype,"_",bd_creativetype),tabela,2,FALSE)</f>
        <v>#N/A</v>
      </c>
      <c r="F1154">
        <f t="shared" ref="F1154:F1217" si="261">bd_ad</f>
        <v>0</v>
      </c>
      <c r="G1154">
        <f t="shared" ref="G1154:G1217" si="262">bd_adid</f>
        <v>0</v>
      </c>
      <c r="H1154">
        <f t="shared" ref="H1154:H1217" si="263">bd_creativetype</f>
        <v>0</v>
      </c>
      <c r="I1154">
        <f t="shared" ref="I1154:I1217" si="264">bd_impression</f>
        <v>0</v>
      </c>
      <c r="J1154">
        <f t="shared" ref="J1154:J1217" si="265">bd_clicks</f>
        <v>0</v>
      </c>
      <c r="K1154" s="4" t="e">
        <f t="shared" si="254"/>
        <v>#N/A</v>
      </c>
      <c r="L1154" t="e">
        <f t="shared" si="255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6"/>
        <v>0</v>
      </c>
      <c r="B1155">
        <f t="shared" si="257"/>
        <v>0</v>
      </c>
      <c r="C1155">
        <f t="shared" si="258"/>
        <v>0</v>
      </c>
      <c r="D1155">
        <f t="shared" si="259"/>
        <v>0</v>
      </c>
      <c r="E1155" t="e">
        <f t="shared" si="260"/>
        <v>#N/A</v>
      </c>
      <c r="F1155">
        <f t="shared" si="261"/>
        <v>0</v>
      </c>
      <c r="G1155">
        <f t="shared" si="262"/>
        <v>0</v>
      </c>
      <c r="H1155">
        <f t="shared" si="263"/>
        <v>0</v>
      </c>
      <c r="I1155">
        <f t="shared" si="264"/>
        <v>0</v>
      </c>
      <c r="J1155">
        <f t="shared" si="265"/>
        <v>0</v>
      </c>
      <c r="K1155" s="4" t="e">
        <f t="shared" si="254"/>
        <v>#N/A</v>
      </c>
      <c r="L1155" t="e">
        <f t="shared" si="255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6"/>
        <v>0</v>
      </c>
      <c r="B1156">
        <f t="shared" si="257"/>
        <v>0</v>
      </c>
      <c r="C1156">
        <f t="shared" si="258"/>
        <v>0</v>
      </c>
      <c r="D1156">
        <f t="shared" si="259"/>
        <v>0</v>
      </c>
      <c r="E1156" t="e">
        <f t="shared" si="260"/>
        <v>#N/A</v>
      </c>
      <c r="F1156">
        <f t="shared" si="261"/>
        <v>0</v>
      </c>
      <c r="G1156">
        <f t="shared" si="262"/>
        <v>0</v>
      </c>
      <c r="H1156">
        <f t="shared" si="263"/>
        <v>0</v>
      </c>
      <c r="I1156">
        <f t="shared" si="264"/>
        <v>0</v>
      </c>
      <c r="J1156">
        <f t="shared" si="265"/>
        <v>0</v>
      </c>
      <c r="K1156" s="4" t="e">
        <f t="shared" si="254"/>
        <v>#N/A</v>
      </c>
      <c r="L1156" t="e">
        <f t="shared" si="255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6"/>
        <v>0</v>
      </c>
      <c r="B1157">
        <f t="shared" si="257"/>
        <v>0</v>
      </c>
      <c r="C1157">
        <f t="shared" si="258"/>
        <v>0</v>
      </c>
      <c r="D1157">
        <f t="shared" si="259"/>
        <v>0</v>
      </c>
      <c r="E1157" t="e">
        <f t="shared" si="260"/>
        <v>#N/A</v>
      </c>
      <c r="F1157">
        <f t="shared" si="261"/>
        <v>0</v>
      </c>
      <c r="G1157">
        <f t="shared" si="262"/>
        <v>0</v>
      </c>
      <c r="H1157">
        <f t="shared" si="263"/>
        <v>0</v>
      </c>
      <c r="I1157">
        <f t="shared" si="264"/>
        <v>0</v>
      </c>
      <c r="J1157">
        <f t="shared" si="265"/>
        <v>0</v>
      </c>
      <c r="K1157" s="4" t="e">
        <f t="shared" si="254"/>
        <v>#N/A</v>
      </c>
      <c r="L1157" t="e">
        <f t="shared" si="255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6"/>
        <v>0</v>
      </c>
      <c r="B1158">
        <f t="shared" si="257"/>
        <v>0</v>
      </c>
      <c r="C1158">
        <f t="shared" si="258"/>
        <v>0</v>
      </c>
      <c r="D1158">
        <f t="shared" si="259"/>
        <v>0</v>
      </c>
      <c r="E1158" t="e">
        <f t="shared" si="260"/>
        <v>#N/A</v>
      </c>
      <c r="F1158">
        <f t="shared" si="261"/>
        <v>0</v>
      </c>
      <c r="G1158">
        <f t="shared" si="262"/>
        <v>0</v>
      </c>
      <c r="H1158">
        <f t="shared" si="263"/>
        <v>0</v>
      </c>
      <c r="I1158">
        <f t="shared" si="264"/>
        <v>0</v>
      </c>
      <c r="J1158">
        <f t="shared" si="265"/>
        <v>0</v>
      </c>
      <c r="K1158" s="4" t="e">
        <f t="shared" si="254"/>
        <v>#N/A</v>
      </c>
      <c r="L1158" t="e">
        <f t="shared" si="255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6"/>
        <v>0</v>
      </c>
      <c r="B1159">
        <f t="shared" si="257"/>
        <v>0</v>
      </c>
      <c r="C1159">
        <f t="shared" si="258"/>
        <v>0</v>
      </c>
      <c r="D1159">
        <f t="shared" si="259"/>
        <v>0</v>
      </c>
      <c r="E1159" t="e">
        <f t="shared" si="260"/>
        <v>#N/A</v>
      </c>
      <c r="F1159">
        <f t="shared" si="261"/>
        <v>0</v>
      </c>
      <c r="G1159">
        <f t="shared" si="262"/>
        <v>0</v>
      </c>
      <c r="H1159">
        <f t="shared" si="263"/>
        <v>0</v>
      </c>
      <c r="I1159">
        <f t="shared" si="264"/>
        <v>0</v>
      </c>
      <c r="J1159">
        <f t="shared" si="265"/>
        <v>0</v>
      </c>
      <c r="K1159" s="4" t="e">
        <f t="shared" si="254"/>
        <v>#N/A</v>
      </c>
      <c r="L1159" t="e">
        <f t="shared" si="255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6"/>
        <v>0</v>
      </c>
      <c r="B1160">
        <f t="shared" si="257"/>
        <v>0</v>
      </c>
      <c r="C1160">
        <f t="shared" si="258"/>
        <v>0</v>
      </c>
      <c r="D1160">
        <f t="shared" si="259"/>
        <v>0</v>
      </c>
      <c r="E1160" t="e">
        <f t="shared" si="260"/>
        <v>#N/A</v>
      </c>
      <c r="F1160">
        <f t="shared" si="261"/>
        <v>0</v>
      </c>
      <c r="G1160">
        <f t="shared" si="262"/>
        <v>0</v>
      </c>
      <c r="H1160">
        <f t="shared" si="263"/>
        <v>0</v>
      </c>
      <c r="I1160">
        <f t="shared" si="264"/>
        <v>0</v>
      </c>
      <c r="J1160">
        <f t="shared" si="265"/>
        <v>0</v>
      </c>
      <c r="K1160" s="4" t="e">
        <f t="shared" si="254"/>
        <v>#N/A</v>
      </c>
      <c r="L1160" t="e">
        <f t="shared" si="255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6"/>
        <v>0</v>
      </c>
      <c r="B1161">
        <f t="shared" si="257"/>
        <v>0</v>
      </c>
      <c r="C1161">
        <f t="shared" si="258"/>
        <v>0</v>
      </c>
      <c r="D1161">
        <f t="shared" si="259"/>
        <v>0</v>
      </c>
      <c r="E1161" t="e">
        <f t="shared" si="260"/>
        <v>#N/A</v>
      </c>
      <c r="F1161">
        <f t="shared" si="261"/>
        <v>0</v>
      </c>
      <c r="G1161">
        <f t="shared" si="262"/>
        <v>0</v>
      </c>
      <c r="H1161">
        <f t="shared" si="263"/>
        <v>0</v>
      </c>
      <c r="I1161">
        <f t="shared" si="264"/>
        <v>0</v>
      </c>
      <c r="J1161">
        <f t="shared" si="265"/>
        <v>0</v>
      </c>
      <c r="K1161" s="4" t="e">
        <f t="shared" si="254"/>
        <v>#N/A</v>
      </c>
      <c r="L1161" t="e">
        <f t="shared" si="255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6"/>
        <v>0</v>
      </c>
      <c r="B1162">
        <f t="shared" si="257"/>
        <v>0</v>
      </c>
      <c r="C1162">
        <f t="shared" si="258"/>
        <v>0</v>
      </c>
      <c r="D1162">
        <f t="shared" si="259"/>
        <v>0</v>
      </c>
      <c r="E1162" t="e">
        <f t="shared" si="260"/>
        <v>#N/A</v>
      </c>
      <c r="F1162">
        <f t="shared" si="261"/>
        <v>0</v>
      </c>
      <c r="G1162">
        <f t="shared" si="262"/>
        <v>0</v>
      </c>
      <c r="H1162">
        <f t="shared" si="263"/>
        <v>0</v>
      </c>
      <c r="I1162">
        <f t="shared" si="264"/>
        <v>0</v>
      </c>
      <c r="J1162">
        <f t="shared" si="265"/>
        <v>0</v>
      </c>
      <c r="K1162" s="4" t="e">
        <f t="shared" si="254"/>
        <v>#N/A</v>
      </c>
      <c r="L1162" t="e">
        <f t="shared" si="255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6"/>
        <v>0</v>
      </c>
      <c r="B1163">
        <f t="shared" si="257"/>
        <v>0</v>
      </c>
      <c r="C1163">
        <f t="shared" si="258"/>
        <v>0</v>
      </c>
      <c r="D1163">
        <f t="shared" si="259"/>
        <v>0</v>
      </c>
      <c r="E1163" t="e">
        <f t="shared" si="260"/>
        <v>#N/A</v>
      </c>
      <c r="F1163">
        <f t="shared" si="261"/>
        <v>0</v>
      </c>
      <c r="G1163">
        <f t="shared" si="262"/>
        <v>0</v>
      </c>
      <c r="H1163">
        <f t="shared" si="263"/>
        <v>0</v>
      </c>
      <c r="I1163">
        <f t="shared" si="264"/>
        <v>0</v>
      </c>
      <c r="J1163">
        <f t="shared" si="265"/>
        <v>0</v>
      </c>
      <c r="K1163" s="4" t="e">
        <f t="shared" si="254"/>
        <v>#N/A</v>
      </c>
      <c r="L1163" t="e">
        <f t="shared" si="255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6"/>
        <v>0</v>
      </c>
      <c r="B1164">
        <f t="shared" si="257"/>
        <v>0</v>
      </c>
      <c r="C1164">
        <f t="shared" si="258"/>
        <v>0</v>
      </c>
      <c r="D1164">
        <f t="shared" si="259"/>
        <v>0</v>
      </c>
      <c r="E1164" t="e">
        <f t="shared" si="260"/>
        <v>#N/A</v>
      </c>
      <c r="F1164">
        <f t="shared" si="261"/>
        <v>0</v>
      </c>
      <c r="G1164">
        <f t="shared" si="262"/>
        <v>0</v>
      </c>
      <c r="H1164">
        <f t="shared" si="263"/>
        <v>0</v>
      </c>
      <c r="I1164">
        <f t="shared" si="264"/>
        <v>0</v>
      </c>
      <c r="J1164">
        <f t="shared" si="265"/>
        <v>0</v>
      </c>
      <c r="K1164" s="4" t="e">
        <f t="shared" si="254"/>
        <v>#N/A</v>
      </c>
      <c r="L1164" t="e">
        <f t="shared" si="255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6"/>
        <v>0</v>
      </c>
      <c r="B1165">
        <f t="shared" si="257"/>
        <v>0</v>
      </c>
      <c r="C1165">
        <f t="shared" si="258"/>
        <v>0</v>
      </c>
      <c r="D1165">
        <f t="shared" si="259"/>
        <v>0</v>
      </c>
      <c r="E1165" t="e">
        <f t="shared" si="260"/>
        <v>#N/A</v>
      </c>
      <c r="F1165">
        <f t="shared" si="261"/>
        <v>0</v>
      </c>
      <c r="G1165">
        <f t="shared" si="262"/>
        <v>0</v>
      </c>
      <c r="H1165">
        <f t="shared" si="263"/>
        <v>0</v>
      </c>
      <c r="I1165">
        <f t="shared" si="264"/>
        <v>0</v>
      </c>
      <c r="J1165">
        <f t="shared" si="265"/>
        <v>0</v>
      </c>
      <c r="K1165" s="4" t="e">
        <f t="shared" si="254"/>
        <v>#N/A</v>
      </c>
      <c r="L1165" t="e">
        <f t="shared" si="255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6"/>
        <v>0</v>
      </c>
      <c r="B1166">
        <f t="shared" si="257"/>
        <v>0</v>
      </c>
      <c r="C1166">
        <f t="shared" si="258"/>
        <v>0</v>
      </c>
      <c r="D1166">
        <f t="shared" si="259"/>
        <v>0</v>
      </c>
      <c r="E1166" t="e">
        <f t="shared" si="260"/>
        <v>#N/A</v>
      </c>
      <c r="F1166">
        <f t="shared" si="261"/>
        <v>0</v>
      </c>
      <c r="G1166">
        <f t="shared" si="262"/>
        <v>0</v>
      </c>
      <c r="H1166">
        <f t="shared" si="263"/>
        <v>0</v>
      </c>
      <c r="I1166">
        <f t="shared" si="264"/>
        <v>0</v>
      </c>
      <c r="J1166">
        <f t="shared" si="265"/>
        <v>0</v>
      </c>
      <c r="K1166" s="4" t="e">
        <f t="shared" si="254"/>
        <v>#N/A</v>
      </c>
      <c r="L1166" t="e">
        <f t="shared" si="255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6"/>
        <v>0</v>
      </c>
      <c r="B1167">
        <f t="shared" si="257"/>
        <v>0</v>
      </c>
      <c r="C1167">
        <f t="shared" si="258"/>
        <v>0</v>
      </c>
      <c r="D1167">
        <f t="shared" si="259"/>
        <v>0</v>
      </c>
      <c r="E1167" t="e">
        <f t="shared" si="260"/>
        <v>#N/A</v>
      </c>
      <c r="F1167">
        <f t="shared" si="261"/>
        <v>0</v>
      </c>
      <c r="G1167">
        <f t="shared" si="262"/>
        <v>0</v>
      </c>
      <c r="H1167">
        <f t="shared" si="263"/>
        <v>0</v>
      </c>
      <c r="I1167">
        <f t="shared" si="264"/>
        <v>0</v>
      </c>
      <c r="J1167">
        <f t="shared" si="265"/>
        <v>0</v>
      </c>
      <c r="K1167" s="4" t="e">
        <f t="shared" si="254"/>
        <v>#N/A</v>
      </c>
      <c r="L1167" t="e">
        <f t="shared" si="255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6"/>
        <v>0</v>
      </c>
      <c r="B1168">
        <f t="shared" si="257"/>
        <v>0</v>
      </c>
      <c r="C1168">
        <f t="shared" si="258"/>
        <v>0</v>
      </c>
      <c r="D1168">
        <f t="shared" si="259"/>
        <v>0</v>
      </c>
      <c r="E1168" t="e">
        <f t="shared" si="260"/>
        <v>#N/A</v>
      </c>
      <c r="F1168">
        <f t="shared" si="261"/>
        <v>0</v>
      </c>
      <c r="G1168">
        <f t="shared" si="262"/>
        <v>0</v>
      </c>
      <c r="H1168">
        <f t="shared" si="263"/>
        <v>0</v>
      </c>
      <c r="I1168">
        <f t="shared" si="264"/>
        <v>0</v>
      </c>
      <c r="J1168">
        <f t="shared" si="265"/>
        <v>0</v>
      </c>
      <c r="K1168" s="4" t="e">
        <f t="shared" si="254"/>
        <v>#N/A</v>
      </c>
      <c r="L1168" t="e">
        <f t="shared" si="255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6"/>
        <v>0</v>
      </c>
      <c r="B1169">
        <f t="shared" si="257"/>
        <v>0</v>
      </c>
      <c r="C1169">
        <f t="shared" si="258"/>
        <v>0</v>
      </c>
      <c r="D1169">
        <f t="shared" si="259"/>
        <v>0</v>
      </c>
      <c r="E1169" t="e">
        <f t="shared" si="260"/>
        <v>#N/A</v>
      </c>
      <c r="F1169">
        <f t="shared" si="261"/>
        <v>0</v>
      </c>
      <c r="G1169">
        <f t="shared" si="262"/>
        <v>0</v>
      </c>
      <c r="H1169">
        <f t="shared" si="263"/>
        <v>0</v>
      </c>
      <c r="I1169">
        <f t="shared" si="264"/>
        <v>0</v>
      </c>
      <c r="J1169">
        <f t="shared" si="265"/>
        <v>0</v>
      </c>
      <c r="K1169" s="4" t="e">
        <f t="shared" si="254"/>
        <v>#N/A</v>
      </c>
      <c r="L1169" t="e">
        <f t="shared" si="255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6"/>
        <v>0</v>
      </c>
      <c r="B1170">
        <f t="shared" si="257"/>
        <v>0</v>
      </c>
      <c r="C1170">
        <f t="shared" si="258"/>
        <v>0</v>
      </c>
      <c r="D1170">
        <f t="shared" si="259"/>
        <v>0</v>
      </c>
      <c r="E1170" t="e">
        <f t="shared" si="260"/>
        <v>#N/A</v>
      </c>
      <c r="F1170">
        <f t="shared" si="261"/>
        <v>0</v>
      </c>
      <c r="G1170">
        <f t="shared" si="262"/>
        <v>0</v>
      </c>
      <c r="H1170">
        <f t="shared" si="263"/>
        <v>0</v>
      </c>
      <c r="I1170">
        <f t="shared" si="264"/>
        <v>0</v>
      </c>
      <c r="J1170">
        <f t="shared" si="265"/>
        <v>0</v>
      </c>
      <c r="K1170" s="4" t="e">
        <f t="shared" si="254"/>
        <v>#N/A</v>
      </c>
      <c r="L1170" t="e">
        <f t="shared" si="255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6"/>
        <v>0</v>
      </c>
      <c r="B1171">
        <f t="shared" si="257"/>
        <v>0</v>
      </c>
      <c r="C1171">
        <f t="shared" si="258"/>
        <v>0</v>
      </c>
      <c r="D1171">
        <f t="shared" si="259"/>
        <v>0</v>
      </c>
      <c r="E1171" t="e">
        <f t="shared" si="260"/>
        <v>#N/A</v>
      </c>
      <c r="F1171">
        <f t="shared" si="261"/>
        <v>0</v>
      </c>
      <c r="G1171">
        <f t="shared" si="262"/>
        <v>0</v>
      </c>
      <c r="H1171">
        <f t="shared" si="263"/>
        <v>0</v>
      </c>
      <c r="I1171">
        <f t="shared" si="264"/>
        <v>0</v>
      </c>
      <c r="J1171">
        <f t="shared" si="265"/>
        <v>0</v>
      </c>
      <c r="K1171" s="4" t="e">
        <f t="shared" si="254"/>
        <v>#N/A</v>
      </c>
      <c r="L1171" t="e">
        <f t="shared" si="255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6"/>
        <v>0</v>
      </c>
      <c r="B1172">
        <f t="shared" si="257"/>
        <v>0</v>
      </c>
      <c r="C1172">
        <f t="shared" si="258"/>
        <v>0</v>
      </c>
      <c r="D1172">
        <f t="shared" si="259"/>
        <v>0</v>
      </c>
      <c r="E1172" t="e">
        <f t="shared" si="260"/>
        <v>#N/A</v>
      </c>
      <c r="F1172">
        <f t="shared" si="261"/>
        <v>0</v>
      </c>
      <c r="G1172">
        <f t="shared" si="262"/>
        <v>0</v>
      </c>
      <c r="H1172">
        <f t="shared" si="263"/>
        <v>0</v>
      </c>
      <c r="I1172">
        <f t="shared" si="264"/>
        <v>0</v>
      </c>
      <c r="J1172">
        <f t="shared" si="265"/>
        <v>0</v>
      </c>
      <c r="K1172" s="4" t="e">
        <f t="shared" si="254"/>
        <v>#N/A</v>
      </c>
      <c r="L1172" t="e">
        <f t="shared" si="255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6"/>
        <v>0</v>
      </c>
      <c r="B1173">
        <f t="shared" si="257"/>
        <v>0</v>
      </c>
      <c r="C1173">
        <f t="shared" si="258"/>
        <v>0</v>
      </c>
      <c r="D1173">
        <f t="shared" si="259"/>
        <v>0</v>
      </c>
      <c r="E1173" t="e">
        <f t="shared" si="260"/>
        <v>#N/A</v>
      </c>
      <c r="F1173">
        <f t="shared" si="261"/>
        <v>0</v>
      </c>
      <c r="G1173">
        <f t="shared" si="262"/>
        <v>0</v>
      </c>
      <c r="H1173">
        <f t="shared" si="263"/>
        <v>0</v>
      </c>
      <c r="I1173">
        <f t="shared" si="264"/>
        <v>0</v>
      </c>
      <c r="J1173">
        <f t="shared" si="265"/>
        <v>0</v>
      </c>
      <c r="K1173" s="4" t="e">
        <f t="shared" si="254"/>
        <v>#N/A</v>
      </c>
      <c r="L1173" t="e">
        <f t="shared" si="255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6"/>
        <v>0</v>
      </c>
      <c r="B1174">
        <f t="shared" si="257"/>
        <v>0</v>
      </c>
      <c r="C1174">
        <f t="shared" si="258"/>
        <v>0</v>
      </c>
      <c r="D1174">
        <f t="shared" si="259"/>
        <v>0</v>
      </c>
      <c r="E1174" t="e">
        <f t="shared" si="260"/>
        <v>#N/A</v>
      </c>
      <c r="F1174">
        <f t="shared" si="261"/>
        <v>0</v>
      </c>
      <c r="G1174">
        <f t="shared" si="262"/>
        <v>0</v>
      </c>
      <c r="H1174">
        <f t="shared" si="263"/>
        <v>0</v>
      </c>
      <c r="I1174">
        <f t="shared" si="264"/>
        <v>0</v>
      </c>
      <c r="J1174">
        <f t="shared" si="265"/>
        <v>0</v>
      </c>
      <c r="K1174" s="4" t="e">
        <f t="shared" si="254"/>
        <v>#N/A</v>
      </c>
      <c r="L1174" t="e">
        <f t="shared" si="255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6"/>
        <v>0</v>
      </c>
      <c r="B1175">
        <f t="shared" si="257"/>
        <v>0</v>
      </c>
      <c r="C1175">
        <f t="shared" si="258"/>
        <v>0</v>
      </c>
      <c r="D1175">
        <f t="shared" si="259"/>
        <v>0</v>
      </c>
      <c r="E1175" t="e">
        <f t="shared" si="260"/>
        <v>#N/A</v>
      </c>
      <c r="F1175">
        <f t="shared" si="261"/>
        <v>0</v>
      </c>
      <c r="G1175">
        <f t="shared" si="262"/>
        <v>0</v>
      </c>
      <c r="H1175">
        <f t="shared" si="263"/>
        <v>0</v>
      </c>
      <c r="I1175">
        <f t="shared" si="264"/>
        <v>0</v>
      </c>
      <c r="J1175">
        <f t="shared" si="265"/>
        <v>0</v>
      </c>
      <c r="K1175" s="4" t="e">
        <f t="shared" si="254"/>
        <v>#N/A</v>
      </c>
      <c r="L1175" t="e">
        <f t="shared" si="255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6"/>
        <v>0</v>
      </c>
      <c r="B1176">
        <f t="shared" si="257"/>
        <v>0</v>
      </c>
      <c r="C1176">
        <f t="shared" si="258"/>
        <v>0</v>
      </c>
      <c r="D1176">
        <f t="shared" si="259"/>
        <v>0</v>
      </c>
      <c r="E1176" t="e">
        <f t="shared" si="260"/>
        <v>#N/A</v>
      </c>
      <c r="F1176">
        <f t="shared" si="261"/>
        <v>0</v>
      </c>
      <c r="G1176">
        <f t="shared" si="262"/>
        <v>0</v>
      </c>
      <c r="H1176">
        <f t="shared" si="263"/>
        <v>0</v>
      </c>
      <c r="I1176">
        <f t="shared" si="264"/>
        <v>0</v>
      </c>
      <c r="J1176">
        <f t="shared" si="265"/>
        <v>0</v>
      </c>
      <c r="K1176" s="4" t="e">
        <f t="shared" si="254"/>
        <v>#N/A</v>
      </c>
      <c r="L1176" t="e">
        <f t="shared" si="255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6"/>
        <v>0</v>
      </c>
      <c r="B1177">
        <f t="shared" si="257"/>
        <v>0</v>
      </c>
      <c r="C1177">
        <f t="shared" si="258"/>
        <v>0</v>
      </c>
      <c r="D1177">
        <f t="shared" si="259"/>
        <v>0</v>
      </c>
      <c r="E1177" t="e">
        <f t="shared" si="260"/>
        <v>#N/A</v>
      </c>
      <c r="F1177">
        <f t="shared" si="261"/>
        <v>0</v>
      </c>
      <c r="G1177">
        <f t="shared" si="262"/>
        <v>0</v>
      </c>
      <c r="H1177">
        <f t="shared" si="263"/>
        <v>0</v>
      </c>
      <c r="I1177">
        <f t="shared" si="264"/>
        <v>0</v>
      </c>
      <c r="J1177">
        <f t="shared" si="265"/>
        <v>0</v>
      </c>
      <c r="K1177" s="4" t="e">
        <f t="shared" si="254"/>
        <v>#N/A</v>
      </c>
      <c r="L1177" t="e">
        <f t="shared" si="255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6"/>
        <v>0</v>
      </c>
      <c r="B1178">
        <f t="shared" si="257"/>
        <v>0</v>
      </c>
      <c r="C1178">
        <f t="shared" si="258"/>
        <v>0</v>
      </c>
      <c r="D1178">
        <f t="shared" si="259"/>
        <v>0</v>
      </c>
      <c r="E1178" t="e">
        <f t="shared" si="260"/>
        <v>#N/A</v>
      </c>
      <c r="F1178">
        <f t="shared" si="261"/>
        <v>0</v>
      </c>
      <c r="G1178">
        <f t="shared" si="262"/>
        <v>0</v>
      </c>
      <c r="H1178">
        <f t="shared" si="263"/>
        <v>0</v>
      </c>
      <c r="I1178">
        <f t="shared" si="264"/>
        <v>0</v>
      </c>
      <c r="J1178">
        <f t="shared" si="265"/>
        <v>0</v>
      </c>
      <c r="K1178" s="4" t="e">
        <f t="shared" si="254"/>
        <v>#N/A</v>
      </c>
      <c r="L1178" t="e">
        <f t="shared" si="255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6"/>
        <v>0</v>
      </c>
      <c r="B1179">
        <f t="shared" si="257"/>
        <v>0</v>
      </c>
      <c r="C1179">
        <f t="shared" si="258"/>
        <v>0</v>
      </c>
      <c r="D1179">
        <f t="shared" si="259"/>
        <v>0</v>
      </c>
      <c r="E1179" t="e">
        <f t="shared" si="260"/>
        <v>#N/A</v>
      </c>
      <c r="F1179">
        <f t="shared" si="261"/>
        <v>0</v>
      </c>
      <c r="G1179">
        <f t="shared" si="262"/>
        <v>0</v>
      </c>
      <c r="H1179">
        <f t="shared" si="263"/>
        <v>0</v>
      </c>
      <c r="I1179">
        <f t="shared" si="264"/>
        <v>0</v>
      </c>
      <c r="J1179">
        <f t="shared" si="265"/>
        <v>0</v>
      </c>
      <c r="K1179" s="4" t="e">
        <f t="shared" si="254"/>
        <v>#N/A</v>
      </c>
      <c r="L1179" t="e">
        <f t="shared" si="255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6"/>
        <v>0</v>
      </c>
      <c r="B1180">
        <f t="shared" si="257"/>
        <v>0</v>
      </c>
      <c r="C1180">
        <f t="shared" si="258"/>
        <v>0</v>
      </c>
      <c r="D1180">
        <f t="shared" si="259"/>
        <v>0</v>
      </c>
      <c r="E1180" t="e">
        <f t="shared" si="260"/>
        <v>#N/A</v>
      </c>
      <c r="F1180">
        <f t="shared" si="261"/>
        <v>0</v>
      </c>
      <c r="G1180">
        <f t="shared" si="262"/>
        <v>0</v>
      </c>
      <c r="H1180">
        <f t="shared" si="263"/>
        <v>0</v>
      </c>
      <c r="I1180">
        <f t="shared" si="264"/>
        <v>0</v>
      </c>
      <c r="J1180">
        <f t="shared" si="265"/>
        <v>0</v>
      </c>
      <c r="K1180" s="4" t="e">
        <f t="shared" si="254"/>
        <v>#N/A</v>
      </c>
      <c r="L1180" t="e">
        <f t="shared" si="255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6"/>
        <v>0</v>
      </c>
      <c r="B1181">
        <f t="shared" si="257"/>
        <v>0</v>
      </c>
      <c r="C1181">
        <f t="shared" si="258"/>
        <v>0</v>
      </c>
      <c r="D1181">
        <f t="shared" si="259"/>
        <v>0</v>
      </c>
      <c r="E1181" t="e">
        <f t="shared" si="260"/>
        <v>#N/A</v>
      </c>
      <c r="F1181">
        <f t="shared" si="261"/>
        <v>0</v>
      </c>
      <c r="G1181">
        <f t="shared" si="262"/>
        <v>0</v>
      </c>
      <c r="H1181">
        <f t="shared" si="263"/>
        <v>0</v>
      </c>
      <c r="I1181">
        <f t="shared" si="264"/>
        <v>0</v>
      </c>
      <c r="J1181">
        <f t="shared" si="265"/>
        <v>0</v>
      </c>
      <c r="K1181" s="4" t="e">
        <f t="shared" si="254"/>
        <v>#N/A</v>
      </c>
      <c r="L1181" t="e">
        <f t="shared" si="255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6"/>
        <v>0</v>
      </c>
      <c r="B1182">
        <f t="shared" si="257"/>
        <v>0</v>
      </c>
      <c r="C1182">
        <f t="shared" si="258"/>
        <v>0</v>
      </c>
      <c r="D1182">
        <f t="shared" si="259"/>
        <v>0</v>
      </c>
      <c r="E1182" t="e">
        <f t="shared" si="260"/>
        <v>#N/A</v>
      </c>
      <c r="F1182">
        <f t="shared" si="261"/>
        <v>0</v>
      </c>
      <c r="G1182">
        <f t="shared" si="262"/>
        <v>0</v>
      </c>
      <c r="H1182">
        <f t="shared" si="263"/>
        <v>0</v>
      </c>
      <c r="I1182">
        <f t="shared" si="264"/>
        <v>0</v>
      </c>
      <c r="J1182">
        <f t="shared" si="265"/>
        <v>0</v>
      </c>
      <c r="K1182" s="4" t="e">
        <f t="shared" si="254"/>
        <v>#N/A</v>
      </c>
      <c r="L1182" t="e">
        <f t="shared" si="255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6"/>
        <v>0</v>
      </c>
      <c r="B1183">
        <f t="shared" si="257"/>
        <v>0</v>
      </c>
      <c r="C1183">
        <f t="shared" si="258"/>
        <v>0</v>
      </c>
      <c r="D1183">
        <f t="shared" si="259"/>
        <v>0</v>
      </c>
      <c r="E1183" t="e">
        <f t="shared" si="260"/>
        <v>#N/A</v>
      </c>
      <c r="F1183">
        <f t="shared" si="261"/>
        <v>0</v>
      </c>
      <c r="G1183">
        <f t="shared" si="262"/>
        <v>0</v>
      </c>
      <c r="H1183">
        <f t="shared" si="263"/>
        <v>0</v>
      </c>
      <c r="I1183">
        <f t="shared" si="264"/>
        <v>0</v>
      </c>
      <c r="J1183">
        <f t="shared" si="265"/>
        <v>0</v>
      </c>
      <c r="K1183" s="4" t="e">
        <f t="shared" si="254"/>
        <v>#N/A</v>
      </c>
      <c r="L1183" t="e">
        <f t="shared" si="255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6"/>
        <v>0</v>
      </c>
      <c r="B1184">
        <f t="shared" si="257"/>
        <v>0</v>
      </c>
      <c r="C1184">
        <f t="shared" si="258"/>
        <v>0</v>
      </c>
      <c r="D1184">
        <f t="shared" si="259"/>
        <v>0</v>
      </c>
      <c r="E1184" t="e">
        <f t="shared" si="260"/>
        <v>#N/A</v>
      </c>
      <c r="F1184">
        <f t="shared" si="261"/>
        <v>0</v>
      </c>
      <c r="G1184">
        <f t="shared" si="262"/>
        <v>0</v>
      </c>
      <c r="H1184">
        <f t="shared" si="263"/>
        <v>0</v>
      </c>
      <c r="I1184">
        <f t="shared" si="264"/>
        <v>0</v>
      </c>
      <c r="J1184">
        <f t="shared" si="265"/>
        <v>0</v>
      </c>
      <c r="K1184" s="4" t="e">
        <f t="shared" si="254"/>
        <v>#N/A</v>
      </c>
      <c r="L1184" t="e">
        <f t="shared" si="255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6"/>
        <v>0</v>
      </c>
      <c r="B1185">
        <f t="shared" si="257"/>
        <v>0</v>
      </c>
      <c r="C1185">
        <f t="shared" si="258"/>
        <v>0</v>
      </c>
      <c r="D1185">
        <f t="shared" si="259"/>
        <v>0</v>
      </c>
      <c r="E1185" t="e">
        <f t="shared" si="260"/>
        <v>#N/A</v>
      </c>
      <c r="F1185">
        <f t="shared" si="261"/>
        <v>0</v>
      </c>
      <c r="G1185">
        <f t="shared" si="262"/>
        <v>0</v>
      </c>
      <c r="H1185">
        <f t="shared" si="263"/>
        <v>0</v>
      </c>
      <c r="I1185">
        <f t="shared" si="264"/>
        <v>0</v>
      </c>
      <c r="J1185">
        <f t="shared" si="265"/>
        <v>0</v>
      </c>
      <c r="K1185" s="4" t="e">
        <f t="shared" si="254"/>
        <v>#N/A</v>
      </c>
      <c r="L1185" t="e">
        <f t="shared" si="255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6"/>
        <v>0</v>
      </c>
      <c r="B1186">
        <f t="shared" si="257"/>
        <v>0</v>
      </c>
      <c r="C1186">
        <f t="shared" si="258"/>
        <v>0</v>
      </c>
      <c r="D1186">
        <f t="shared" si="259"/>
        <v>0</v>
      </c>
      <c r="E1186" t="e">
        <f t="shared" si="260"/>
        <v>#N/A</v>
      </c>
      <c r="F1186">
        <f t="shared" si="261"/>
        <v>0</v>
      </c>
      <c r="G1186">
        <f t="shared" si="262"/>
        <v>0</v>
      </c>
      <c r="H1186">
        <f t="shared" si="263"/>
        <v>0</v>
      </c>
      <c r="I1186">
        <f t="shared" si="264"/>
        <v>0</v>
      </c>
      <c r="J1186">
        <f t="shared" si="265"/>
        <v>0</v>
      </c>
      <c r="K1186" s="4" t="e">
        <f t="shared" si="254"/>
        <v>#N/A</v>
      </c>
      <c r="L1186" t="e">
        <f t="shared" si="255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6"/>
        <v>0</v>
      </c>
      <c r="B1187">
        <f t="shared" si="257"/>
        <v>0</v>
      </c>
      <c r="C1187">
        <f t="shared" si="258"/>
        <v>0</v>
      </c>
      <c r="D1187">
        <f t="shared" si="259"/>
        <v>0</v>
      </c>
      <c r="E1187" t="e">
        <f t="shared" si="260"/>
        <v>#N/A</v>
      </c>
      <c r="F1187">
        <f t="shared" si="261"/>
        <v>0</v>
      </c>
      <c r="G1187">
        <f t="shared" si="262"/>
        <v>0</v>
      </c>
      <c r="H1187">
        <f t="shared" si="263"/>
        <v>0</v>
      </c>
      <c r="I1187">
        <f t="shared" si="264"/>
        <v>0</v>
      </c>
      <c r="J1187">
        <f t="shared" si="265"/>
        <v>0</v>
      </c>
      <c r="K1187" s="4" t="e">
        <f t="shared" si="254"/>
        <v>#N/A</v>
      </c>
      <c r="L1187" t="e">
        <f t="shared" si="255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6"/>
        <v>0</v>
      </c>
      <c r="B1188">
        <f t="shared" si="257"/>
        <v>0</v>
      </c>
      <c r="C1188">
        <f t="shared" si="258"/>
        <v>0</v>
      </c>
      <c r="D1188">
        <f t="shared" si="259"/>
        <v>0</v>
      </c>
      <c r="E1188" t="e">
        <f t="shared" si="260"/>
        <v>#N/A</v>
      </c>
      <c r="F1188">
        <f t="shared" si="261"/>
        <v>0</v>
      </c>
      <c r="G1188">
        <f t="shared" si="262"/>
        <v>0</v>
      </c>
      <c r="H1188">
        <f t="shared" si="263"/>
        <v>0</v>
      </c>
      <c r="I1188">
        <f t="shared" si="264"/>
        <v>0</v>
      </c>
      <c r="J1188">
        <f t="shared" si="265"/>
        <v>0</v>
      </c>
      <c r="K1188" s="4" t="e">
        <f t="shared" si="254"/>
        <v>#N/A</v>
      </c>
      <c r="L1188" t="e">
        <f t="shared" si="255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6"/>
        <v>0</v>
      </c>
      <c r="B1189">
        <f t="shared" si="257"/>
        <v>0</v>
      </c>
      <c r="C1189">
        <f t="shared" si="258"/>
        <v>0</v>
      </c>
      <c r="D1189">
        <f t="shared" si="259"/>
        <v>0</v>
      </c>
      <c r="E1189" t="e">
        <f t="shared" si="260"/>
        <v>#N/A</v>
      </c>
      <c r="F1189">
        <f t="shared" si="261"/>
        <v>0</v>
      </c>
      <c r="G1189">
        <f t="shared" si="262"/>
        <v>0</v>
      </c>
      <c r="H1189">
        <f t="shared" si="263"/>
        <v>0</v>
      </c>
      <c r="I1189">
        <f t="shared" si="264"/>
        <v>0</v>
      </c>
      <c r="J1189">
        <f t="shared" si="265"/>
        <v>0</v>
      </c>
      <c r="K1189" s="4" t="e">
        <f t="shared" si="254"/>
        <v>#N/A</v>
      </c>
      <c r="L1189" t="e">
        <f t="shared" si="255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6"/>
        <v>0</v>
      </c>
      <c r="B1190">
        <f t="shared" si="257"/>
        <v>0</v>
      </c>
      <c r="C1190">
        <f t="shared" si="258"/>
        <v>0</v>
      </c>
      <c r="D1190">
        <f t="shared" si="259"/>
        <v>0</v>
      </c>
      <c r="E1190" t="e">
        <f t="shared" si="260"/>
        <v>#N/A</v>
      </c>
      <c r="F1190">
        <f t="shared" si="261"/>
        <v>0</v>
      </c>
      <c r="G1190">
        <f t="shared" si="262"/>
        <v>0</v>
      </c>
      <c r="H1190">
        <f t="shared" si="263"/>
        <v>0</v>
      </c>
      <c r="I1190">
        <f t="shared" si="264"/>
        <v>0</v>
      </c>
      <c r="J1190">
        <f t="shared" si="265"/>
        <v>0</v>
      </c>
      <c r="K1190" s="4" t="e">
        <f t="shared" si="254"/>
        <v>#N/A</v>
      </c>
      <c r="L1190" t="e">
        <f t="shared" si="255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6"/>
        <v>0</v>
      </c>
      <c r="B1191">
        <f t="shared" si="257"/>
        <v>0</v>
      </c>
      <c r="C1191">
        <f t="shared" si="258"/>
        <v>0</v>
      </c>
      <c r="D1191">
        <f t="shared" si="259"/>
        <v>0</v>
      </c>
      <c r="E1191" t="e">
        <f t="shared" si="260"/>
        <v>#N/A</v>
      </c>
      <c r="F1191">
        <f t="shared" si="261"/>
        <v>0</v>
      </c>
      <c r="G1191">
        <f t="shared" si="262"/>
        <v>0</v>
      </c>
      <c r="H1191">
        <f t="shared" si="263"/>
        <v>0</v>
      </c>
      <c r="I1191">
        <f t="shared" si="264"/>
        <v>0</v>
      </c>
      <c r="J1191">
        <f t="shared" si="265"/>
        <v>0</v>
      </c>
      <c r="K1191" s="4" t="e">
        <f t="shared" si="254"/>
        <v>#N/A</v>
      </c>
      <c r="L1191" t="e">
        <f t="shared" si="255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6"/>
        <v>0</v>
      </c>
      <c r="B1192">
        <f t="shared" si="257"/>
        <v>0</v>
      </c>
      <c r="C1192">
        <f t="shared" si="258"/>
        <v>0</v>
      </c>
      <c r="D1192">
        <f t="shared" si="259"/>
        <v>0</v>
      </c>
      <c r="E1192" t="e">
        <f t="shared" si="260"/>
        <v>#N/A</v>
      </c>
      <c r="F1192">
        <f t="shared" si="261"/>
        <v>0</v>
      </c>
      <c r="G1192">
        <f t="shared" si="262"/>
        <v>0</v>
      </c>
      <c r="H1192">
        <f t="shared" si="263"/>
        <v>0</v>
      </c>
      <c r="I1192">
        <f t="shared" si="264"/>
        <v>0</v>
      </c>
      <c r="J1192">
        <f t="shared" si="265"/>
        <v>0</v>
      </c>
      <c r="K1192" s="4" t="e">
        <f t="shared" si="254"/>
        <v>#N/A</v>
      </c>
      <c r="L1192" t="e">
        <f t="shared" si="255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6"/>
        <v>0</v>
      </c>
      <c r="B1193">
        <f t="shared" si="257"/>
        <v>0</v>
      </c>
      <c r="C1193">
        <f t="shared" si="258"/>
        <v>0</v>
      </c>
      <c r="D1193">
        <f t="shared" si="259"/>
        <v>0</v>
      </c>
      <c r="E1193" t="e">
        <f t="shared" si="260"/>
        <v>#N/A</v>
      </c>
      <c r="F1193">
        <f t="shared" si="261"/>
        <v>0</v>
      </c>
      <c r="G1193">
        <f t="shared" si="262"/>
        <v>0</v>
      </c>
      <c r="H1193">
        <f t="shared" si="263"/>
        <v>0</v>
      </c>
      <c r="I1193">
        <f t="shared" si="264"/>
        <v>0</v>
      </c>
      <c r="J1193">
        <f t="shared" si="265"/>
        <v>0</v>
      </c>
      <c r="K1193" s="4" t="e">
        <f t="shared" si="254"/>
        <v>#N/A</v>
      </c>
      <c r="L1193" t="e">
        <f t="shared" si="255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6"/>
        <v>0</v>
      </c>
      <c r="B1194">
        <f t="shared" si="257"/>
        <v>0</v>
      </c>
      <c r="C1194">
        <f t="shared" si="258"/>
        <v>0</v>
      </c>
      <c r="D1194">
        <f t="shared" si="259"/>
        <v>0</v>
      </c>
      <c r="E1194" t="e">
        <f t="shared" si="260"/>
        <v>#N/A</v>
      </c>
      <c r="F1194">
        <f t="shared" si="261"/>
        <v>0</v>
      </c>
      <c r="G1194">
        <f t="shared" si="262"/>
        <v>0</v>
      </c>
      <c r="H1194">
        <f t="shared" si="263"/>
        <v>0</v>
      </c>
      <c r="I1194">
        <f t="shared" si="264"/>
        <v>0</v>
      </c>
      <c r="J1194">
        <f t="shared" si="265"/>
        <v>0</v>
      </c>
      <c r="K1194" s="4" t="e">
        <f t="shared" si="254"/>
        <v>#N/A</v>
      </c>
      <c r="L1194" t="e">
        <f t="shared" si="255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6"/>
        <v>0</v>
      </c>
      <c r="B1195">
        <f t="shared" si="257"/>
        <v>0</v>
      </c>
      <c r="C1195">
        <f t="shared" si="258"/>
        <v>0</v>
      </c>
      <c r="D1195">
        <f t="shared" si="259"/>
        <v>0</v>
      </c>
      <c r="E1195" t="e">
        <f t="shared" si="260"/>
        <v>#N/A</v>
      </c>
      <c r="F1195">
        <f t="shared" si="261"/>
        <v>0</v>
      </c>
      <c r="G1195">
        <f t="shared" si="262"/>
        <v>0</v>
      </c>
      <c r="H1195">
        <f t="shared" si="263"/>
        <v>0</v>
      </c>
      <c r="I1195">
        <f t="shared" si="264"/>
        <v>0</v>
      </c>
      <c r="J1195">
        <f t="shared" si="265"/>
        <v>0</v>
      </c>
      <c r="K1195" s="4" t="e">
        <f t="shared" si="254"/>
        <v>#N/A</v>
      </c>
      <c r="L1195" t="e">
        <f t="shared" si="255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6"/>
        <v>0</v>
      </c>
      <c r="B1196">
        <f t="shared" si="257"/>
        <v>0</v>
      </c>
      <c r="C1196">
        <f t="shared" si="258"/>
        <v>0</v>
      </c>
      <c r="D1196">
        <f t="shared" si="259"/>
        <v>0</v>
      </c>
      <c r="E1196" t="e">
        <f t="shared" si="260"/>
        <v>#N/A</v>
      </c>
      <c r="F1196">
        <f t="shared" si="261"/>
        <v>0</v>
      </c>
      <c r="G1196">
        <f t="shared" si="262"/>
        <v>0</v>
      </c>
      <c r="H1196">
        <f t="shared" si="263"/>
        <v>0</v>
      </c>
      <c r="I1196">
        <f t="shared" si="264"/>
        <v>0</v>
      </c>
      <c r="J1196">
        <f t="shared" si="265"/>
        <v>0</v>
      </c>
      <c r="K1196" s="4" t="e">
        <f t="shared" ref="K1196:K1259" si="268">IF(LEFT(B1196,3)="DBM",0,VLOOKUP(E1196,tabela,2,FALSE))</f>
        <v>#N/A</v>
      </c>
      <c r="L1196" t="e">
        <f t="shared" ref="L1196:L1259" si="269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6"/>
        <v>0</v>
      </c>
      <c r="B1197">
        <f t="shared" si="257"/>
        <v>0</v>
      </c>
      <c r="C1197">
        <f t="shared" si="258"/>
        <v>0</v>
      </c>
      <c r="D1197">
        <f t="shared" si="259"/>
        <v>0</v>
      </c>
      <c r="E1197" t="e">
        <f t="shared" si="260"/>
        <v>#N/A</v>
      </c>
      <c r="F1197">
        <f t="shared" si="261"/>
        <v>0</v>
      </c>
      <c r="G1197">
        <f t="shared" si="262"/>
        <v>0</v>
      </c>
      <c r="H1197">
        <f t="shared" si="263"/>
        <v>0</v>
      </c>
      <c r="I1197">
        <f t="shared" si="264"/>
        <v>0</v>
      </c>
      <c r="J1197">
        <f t="shared" si="265"/>
        <v>0</v>
      </c>
      <c r="K1197" s="4" t="e">
        <f t="shared" si="268"/>
        <v>#N/A</v>
      </c>
      <c r="L1197" t="e">
        <f t="shared" si="269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6"/>
        <v>0</v>
      </c>
      <c r="B1198">
        <f t="shared" si="257"/>
        <v>0</v>
      </c>
      <c r="C1198">
        <f t="shared" si="258"/>
        <v>0</v>
      </c>
      <c r="D1198">
        <f t="shared" si="259"/>
        <v>0</v>
      </c>
      <c r="E1198" t="e">
        <f t="shared" si="260"/>
        <v>#N/A</v>
      </c>
      <c r="F1198">
        <f t="shared" si="261"/>
        <v>0</v>
      </c>
      <c r="G1198">
        <f t="shared" si="262"/>
        <v>0</v>
      </c>
      <c r="H1198">
        <f t="shared" si="263"/>
        <v>0</v>
      </c>
      <c r="I1198">
        <f t="shared" si="264"/>
        <v>0</v>
      </c>
      <c r="J1198">
        <f t="shared" si="265"/>
        <v>0</v>
      </c>
      <c r="K1198" s="4" t="e">
        <f t="shared" si="268"/>
        <v>#N/A</v>
      </c>
      <c r="L1198" t="e">
        <f t="shared" si="269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6"/>
        <v>0</v>
      </c>
      <c r="B1199">
        <f t="shared" si="257"/>
        <v>0</v>
      </c>
      <c r="C1199">
        <f t="shared" si="258"/>
        <v>0</v>
      </c>
      <c r="D1199">
        <f t="shared" si="259"/>
        <v>0</v>
      </c>
      <c r="E1199" t="e">
        <f t="shared" si="260"/>
        <v>#N/A</v>
      </c>
      <c r="F1199">
        <f t="shared" si="261"/>
        <v>0</v>
      </c>
      <c r="G1199">
        <f t="shared" si="262"/>
        <v>0</v>
      </c>
      <c r="H1199">
        <f t="shared" si="263"/>
        <v>0</v>
      </c>
      <c r="I1199">
        <f t="shared" si="264"/>
        <v>0</v>
      </c>
      <c r="J1199">
        <f t="shared" si="265"/>
        <v>0</v>
      </c>
      <c r="K1199" s="4" t="e">
        <f t="shared" si="268"/>
        <v>#N/A</v>
      </c>
      <c r="L1199" t="e">
        <f t="shared" si="269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6"/>
        <v>0</v>
      </c>
      <c r="B1200">
        <f t="shared" si="257"/>
        <v>0</v>
      </c>
      <c r="C1200">
        <f t="shared" si="258"/>
        <v>0</v>
      </c>
      <c r="D1200">
        <f t="shared" si="259"/>
        <v>0</v>
      </c>
      <c r="E1200" t="e">
        <f t="shared" si="260"/>
        <v>#N/A</v>
      </c>
      <c r="F1200">
        <f t="shared" si="261"/>
        <v>0</v>
      </c>
      <c r="G1200">
        <f t="shared" si="262"/>
        <v>0</v>
      </c>
      <c r="H1200">
        <f t="shared" si="263"/>
        <v>0</v>
      </c>
      <c r="I1200">
        <f t="shared" si="264"/>
        <v>0</v>
      </c>
      <c r="J1200">
        <f t="shared" si="265"/>
        <v>0</v>
      </c>
      <c r="K1200" s="4" t="e">
        <f t="shared" si="268"/>
        <v>#N/A</v>
      </c>
      <c r="L1200" t="e">
        <f t="shared" si="269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6"/>
        <v>0</v>
      </c>
      <c r="B1201">
        <f t="shared" si="257"/>
        <v>0</v>
      </c>
      <c r="C1201">
        <f t="shared" si="258"/>
        <v>0</v>
      </c>
      <c r="D1201">
        <f t="shared" si="259"/>
        <v>0</v>
      </c>
      <c r="E1201" t="e">
        <f t="shared" si="260"/>
        <v>#N/A</v>
      </c>
      <c r="F1201">
        <f t="shared" si="261"/>
        <v>0</v>
      </c>
      <c r="G1201">
        <f t="shared" si="262"/>
        <v>0</v>
      </c>
      <c r="H1201">
        <f t="shared" si="263"/>
        <v>0</v>
      </c>
      <c r="I1201">
        <f t="shared" si="264"/>
        <v>0</v>
      </c>
      <c r="J1201">
        <f t="shared" si="265"/>
        <v>0</v>
      </c>
      <c r="K1201" s="4" t="e">
        <f t="shared" si="268"/>
        <v>#N/A</v>
      </c>
      <c r="L1201" t="e">
        <f t="shared" si="269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6"/>
        <v>0</v>
      </c>
      <c r="B1202">
        <f t="shared" si="257"/>
        <v>0</v>
      </c>
      <c r="C1202">
        <f t="shared" si="258"/>
        <v>0</v>
      </c>
      <c r="D1202">
        <f t="shared" si="259"/>
        <v>0</v>
      </c>
      <c r="E1202" t="e">
        <f t="shared" si="260"/>
        <v>#N/A</v>
      </c>
      <c r="F1202">
        <f t="shared" si="261"/>
        <v>0</v>
      </c>
      <c r="G1202">
        <f t="shared" si="262"/>
        <v>0</v>
      </c>
      <c r="H1202">
        <f t="shared" si="263"/>
        <v>0</v>
      </c>
      <c r="I1202">
        <f t="shared" si="264"/>
        <v>0</v>
      </c>
      <c r="J1202">
        <f t="shared" si="265"/>
        <v>0</v>
      </c>
      <c r="K1202" s="4" t="e">
        <f t="shared" si="268"/>
        <v>#N/A</v>
      </c>
      <c r="L1202" t="e">
        <f t="shared" si="269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6"/>
        <v>0</v>
      </c>
      <c r="B1203">
        <f t="shared" si="257"/>
        <v>0</v>
      </c>
      <c r="C1203">
        <f t="shared" si="258"/>
        <v>0</v>
      </c>
      <c r="D1203">
        <f t="shared" si="259"/>
        <v>0</v>
      </c>
      <c r="E1203" t="e">
        <f t="shared" si="260"/>
        <v>#N/A</v>
      </c>
      <c r="F1203">
        <f t="shared" si="261"/>
        <v>0</v>
      </c>
      <c r="G1203">
        <f t="shared" si="262"/>
        <v>0</v>
      </c>
      <c r="H1203">
        <f t="shared" si="263"/>
        <v>0</v>
      </c>
      <c r="I1203">
        <f t="shared" si="264"/>
        <v>0</v>
      </c>
      <c r="J1203">
        <f t="shared" si="265"/>
        <v>0</v>
      </c>
      <c r="K1203" s="4" t="e">
        <f t="shared" si="268"/>
        <v>#N/A</v>
      </c>
      <c r="L1203" t="e">
        <f t="shared" si="269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6"/>
        <v>0</v>
      </c>
      <c r="B1204">
        <f t="shared" si="257"/>
        <v>0</v>
      </c>
      <c r="C1204">
        <f t="shared" si="258"/>
        <v>0</v>
      </c>
      <c r="D1204">
        <f t="shared" si="259"/>
        <v>0</v>
      </c>
      <c r="E1204" t="e">
        <f t="shared" si="260"/>
        <v>#N/A</v>
      </c>
      <c r="F1204">
        <f t="shared" si="261"/>
        <v>0</v>
      </c>
      <c r="G1204">
        <f t="shared" si="262"/>
        <v>0</v>
      </c>
      <c r="H1204">
        <f t="shared" si="263"/>
        <v>0</v>
      </c>
      <c r="I1204">
        <f t="shared" si="264"/>
        <v>0</v>
      </c>
      <c r="J1204">
        <f t="shared" si="265"/>
        <v>0</v>
      </c>
      <c r="K1204" s="4" t="e">
        <f t="shared" si="268"/>
        <v>#N/A</v>
      </c>
      <c r="L1204" t="e">
        <f t="shared" si="269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6"/>
        <v>0</v>
      </c>
      <c r="B1205">
        <f t="shared" si="257"/>
        <v>0</v>
      </c>
      <c r="C1205">
        <f t="shared" si="258"/>
        <v>0</v>
      </c>
      <c r="D1205">
        <f t="shared" si="259"/>
        <v>0</v>
      </c>
      <c r="E1205" t="e">
        <f t="shared" si="260"/>
        <v>#N/A</v>
      </c>
      <c r="F1205">
        <f t="shared" si="261"/>
        <v>0</v>
      </c>
      <c r="G1205">
        <f t="shared" si="262"/>
        <v>0</v>
      </c>
      <c r="H1205">
        <f t="shared" si="263"/>
        <v>0</v>
      </c>
      <c r="I1205">
        <f t="shared" si="264"/>
        <v>0</v>
      </c>
      <c r="J1205">
        <f t="shared" si="265"/>
        <v>0</v>
      </c>
      <c r="K1205" s="4" t="e">
        <f t="shared" si="268"/>
        <v>#N/A</v>
      </c>
      <c r="L1205" t="e">
        <f t="shared" si="269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6"/>
        <v>0</v>
      </c>
      <c r="B1206">
        <f t="shared" si="257"/>
        <v>0</v>
      </c>
      <c r="C1206">
        <f t="shared" si="258"/>
        <v>0</v>
      </c>
      <c r="D1206">
        <f t="shared" si="259"/>
        <v>0</v>
      </c>
      <c r="E1206" t="e">
        <f t="shared" si="260"/>
        <v>#N/A</v>
      </c>
      <c r="F1206">
        <f t="shared" si="261"/>
        <v>0</v>
      </c>
      <c r="G1206">
        <f t="shared" si="262"/>
        <v>0</v>
      </c>
      <c r="H1206">
        <f t="shared" si="263"/>
        <v>0</v>
      </c>
      <c r="I1206">
        <f t="shared" si="264"/>
        <v>0</v>
      </c>
      <c r="J1206">
        <f t="shared" si="265"/>
        <v>0</v>
      </c>
      <c r="K1206" s="4" t="e">
        <f t="shared" si="268"/>
        <v>#N/A</v>
      </c>
      <c r="L1206" t="e">
        <f t="shared" si="269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6"/>
        <v>0</v>
      </c>
      <c r="B1207">
        <f t="shared" si="257"/>
        <v>0</v>
      </c>
      <c r="C1207">
        <f t="shared" si="258"/>
        <v>0</v>
      </c>
      <c r="D1207">
        <f t="shared" si="259"/>
        <v>0</v>
      </c>
      <c r="E1207" t="e">
        <f t="shared" si="260"/>
        <v>#N/A</v>
      </c>
      <c r="F1207">
        <f t="shared" si="261"/>
        <v>0</v>
      </c>
      <c r="G1207">
        <f t="shared" si="262"/>
        <v>0</v>
      </c>
      <c r="H1207">
        <f t="shared" si="263"/>
        <v>0</v>
      </c>
      <c r="I1207">
        <f t="shared" si="264"/>
        <v>0</v>
      </c>
      <c r="J1207">
        <f t="shared" si="265"/>
        <v>0</v>
      </c>
      <c r="K1207" s="4" t="e">
        <f t="shared" si="268"/>
        <v>#N/A</v>
      </c>
      <c r="L1207" t="e">
        <f t="shared" si="269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6"/>
        <v>0</v>
      </c>
      <c r="B1208">
        <f t="shared" si="257"/>
        <v>0</v>
      </c>
      <c r="C1208">
        <f t="shared" si="258"/>
        <v>0</v>
      </c>
      <c r="D1208">
        <f t="shared" si="259"/>
        <v>0</v>
      </c>
      <c r="E1208" t="e">
        <f t="shared" si="260"/>
        <v>#N/A</v>
      </c>
      <c r="F1208">
        <f t="shared" si="261"/>
        <v>0</v>
      </c>
      <c r="G1208">
        <f t="shared" si="262"/>
        <v>0</v>
      </c>
      <c r="H1208">
        <f t="shared" si="263"/>
        <v>0</v>
      </c>
      <c r="I1208">
        <f t="shared" si="264"/>
        <v>0</v>
      </c>
      <c r="J1208">
        <f t="shared" si="265"/>
        <v>0</v>
      </c>
      <c r="K1208" s="4" t="e">
        <f t="shared" si="268"/>
        <v>#N/A</v>
      </c>
      <c r="L1208" t="e">
        <f t="shared" si="269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6"/>
        <v>0</v>
      </c>
      <c r="B1209">
        <f t="shared" si="257"/>
        <v>0</v>
      </c>
      <c r="C1209">
        <f t="shared" si="258"/>
        <v>0</v>
      </c>
      <c r="D1209">
        <f t="shared" si="259"/>
        <v>0</v>
      </c>
      <c r="E1209" t="e">
        <f t="shared" si="260"/>
        <v>#N/A</v>
      </c>
      <c r="F1209">
        <f t="shared" si="261"/>
        <v>0</v>
      </c>
      <c r="G1209">
        <f t="shared" si="262"/>
        <v>0</v>
      </c>
      <c r="H1209">
        <f t="shared" si="263"/>
        <v>0</v>
      </c>
      <c r="I1209">
        <f t="shared" si="264"/>
        <v>0</v>
      </c>
      <c r="J1209">
        <f t="shared" si="265"/>
        <v>0</v>
      </c>
      <c r="K1209" s="4" t="e">
        <f t="shared" si="268"/>
        <v>#N/A</v>
      </c>
      <c r="L1209" t="e">
        <f t="shared" si="269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6"/>
        <v>0</v>
      </c>
      <c r="B1210">
        <f t="shared" si="257"/>
        <v>0</v>
      </c>
      <c r="C1210">
        <f t="shared" si="258"/>
        <v>0</v>
      </c>
      <c r="D1210">
        <f t="shared" si="259"/>
        <v>0</v>
      </c>
      <c r="E1210" t="e">
        <f t="shared" si="260"/>
        <v>#N/A</v>
      </c>
      <c r="F1210">
        <f t="shared" si="261"/>
        <v>0</v>
      </c>
      <c r="G1210">
        <f t="shared" si="262"/>
        <v>0</v>
      </c>
      <c r="H1210">
        <f t="shared" si="263"/>
        <v>0</v>
      </c>
      <c r="I1210">
        <f t="shared" si="264"/>
        <v>0</v>
      </c>
      <c r="J1210">
        <f t="shared" si="265"/>
        <v>0</v>
      </c>
      <c r="K1210" s="4" t="e">
        <f t="shared" si="268"/>
        <v>#N/A</v>
      </c>
      <c r="L1210" t="e">
        <f t="shared" si="269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6"/>
        <v>0</v>
      </c>
      <c r="B1211">
        <f t="shared" si="257"/>
        <v>0</v>
      </c>
      <c r="C1211">
        <f t="shared" si="258"/>
        <v>0</v>
      </c>
      <c r="D1211">
        <f t="shared" si="259"/>
        <v>0</v>
      </c>
      <c r="E1211" t="e">
        <f t="shared" si="260"/>
        <v>#N/A</v>
      </c>
      <c r="F1211">
        <f t="shared" si="261"/>
        <v>0</v>
      </c>
      <c r="G1211">
        <f t="shared" si="262"/>
        <v>0</v>
      </c>
      <c r="H1211">
        <f t="shared" si="263"/>
        <v>0</v>
      </c>
      <c r="I1211">
        <f t="shared" si="264"/>
        <v>0</v>
      </c>
      <c r="J1211">
        <f t="shared" si="265"/>
        <v>0</v>
      </c>
      <c r="K1211" s="4" t="e">
        <f t="shared" si="268"/>
        <v>#N/A</v>
      </c>
      <c r="L1211" t="e">
        <f t="shared" si="269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6"/>
        <v>0</v>
      </c>
      <c r="B1212">
        <f t="shared" si="257"/>
        <v>0</v>
      </c>
      <c r="C1212">
        <f t="shared" si="258"/>
        <v>0</v>
      </c>
      <c r="D1212">
        <f t="shared" si="259"/>
        <v>0</v>
      </c>
      <c r="E1212" t="e">
        <f t="shared" si="260"/>
        <v>#N/A</v>
      </c>
      <c r="F1212">
        <f t="shared" si="261"/>
        <v>0</v>
      </c>
      <c r="G1212">
        <f t="shared" si="262"/>
        <v>0</v>
      </c>
      <c r="H1212">
        <f t="shared" si="263"/>
        <v>0</v>
      </c>
      <c r="I1212">
        <f t="shared" si="264"/>
        <v>0</v>
      </c>
      <c r="J1212">
        <f t="shared" si="265"/>
        <v>0</v>
      </c>
      <c r="K1212" s="4" t="e">
        <f t="shared" si="268"/>
        <v>#N/A</v>
      </c>
      <c r="L1212" t="e">
        <f t="shared" si="269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6"/>
        <v>0</v>
      </c>
      <c r="B1213">
        <f t="shared" si="257"/>
        <v>0</v>
      </c>
      <c r="C1213">
        <f t="shared" si="258"/>
        <v>0</v>
      </c>
      <c r="D1213">
        <f t="shared" si="259"/>
        <v>0</v>
      </c>
      <c r="E1213" t="e">
        <f t="shared" si="260"/>
        <v>#N/A</v>
      </c>
      <c r="F1213">
        <f t="shared" si="261"/>
        <v>0</v>
      </c>
      <c r="G1213">
        <f t="shared" si="262"/>
        <v>0</v>
      </c>
      <c r="H1213">
        <f t="shared" si="263"/>
        <v>0</v>
      </c>
      <c r="I1213">
        <f t="shared" si="264"/>
        <v>0</v>
      </c>
      <c r="J1213">
        <f t="shared" si="265"/>
        <v>0</v>
      </c>
      <c r="K1213" s="4" t="e">
        <f t="shared" si="268"/>
        <v>#N/A</v>
      </c>
      <c r="L1213" t="e">
        <f t="shared" si="269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6"/>
        <v>0</v>
      </c>
      <c r="B1214">
        <f t="shared" si="257"/>
        <v>0</v>
      </c>
      <c r="C1214">
        <f t="shared" si="258"/>
        <v>0</v>
      </c>
      <c r="D1214">
        <f t="shared" si="259"/>
        <v>0</v>
      </c>
      <c r="E1214" t="e">
        <f t="shared" si="260"/>
        <v>#N/A</v>
      </c>
      <c r="F1214">
        <f t="shared" si="261"/>
        <v>0</v>
      </c>
      <c r="G1214">
        <f t="shared" si="262"/>
        <v>0</v>
      </c>
      <c r="H1214">
        <f t="shared" si="263"/>
        <v>0</v>
      </c>
      <c r="I1214">
        <f t="shared" si="264"/>
        <v>0</v>
      </c>
      <c r="J1214">
        <f t="shared" si="265"/>
        <v>0</v>
      </c>
      <c r="K1214" s="4" t="e">
        <f t="shared" si="268"/>
        <v>#N/A</v>
      </c>
      <c r="L1214" t="e">
        <f t="shared" si="269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6"/>
        <v>0</v>
      </c>
      <c r="B1215">
        <f t="shared" si="257"/>
        <v>0</v>
      </c>
      <c r="C1215">
        <f t="shared" si="258"/>
        <v>0</v>
      </c>
      <c r="D1215">
        <f t="shared" si="259"/>
        <v>0</v>
      </c>
      <c r="E1215" t="e">
        <f t="shared" si="260"/>
        <v>#N/A</v>
      </c>
      <c r="F1215">
        <f t="shared" si="261"/>
        <v>0</v>
      </c>
      <c r="G1215">
        <f t="shared" si="262"/>
        <v>0</v>
      </c>
      <c r="H1215">
        <f t="shared" si="263"/>
        <v>0</v>
      </c>
      <c r="I1215">
        <f t="shared" si="264"/>
        <v>0</v>
      </c>
      <c r="J1215">
        <f t="shared" si="265"/>
        <v>0</v>
      </c>
      <c r="K1215" s="4" t="e">
        <f t="shared" si="268"/>
        <v>#N/A</v>
      </c>
      <c r="L1215" t="e">
        <f t="shared" si="269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6"/>
        <v>0</v>
      </c>
      <c r="B1216">
        <f t="shared" si="257"/>
        <v>0</v>
      </c>
      <c r="C1216">
        <f t="shared" si="258"/>
        <v>0</v>
      </c>
      <c r="D1216">
        <f t="shared" si="259"/>
        <v>0</v>
      </c>
      <c r="E1216" t="e">
        <f t="shared" si="260"/>
        <v>#N/A</v>
      </c>
      <c r="F1216">
        <f t="shared" si="261"/>
        <v>0</v>
      </c>
      <c r="G1216">
        <f t="shared" si="262"/>
        <v>0</v>
      </c>
      <c r="H1216">
        <f t="shared" si="263"/>
        <v>0</v>
      </c>
      <c r="I1216">
        <f t="shared" si="264"/>
        <v>0</v>
      </c>
      <c r="J1216">
        <f t="shared" si="265"/>
        <v>0</v>
      </c>
      <c r="K1216" s="4" t="e">
        <f t="shared" si="268"/>
        <v>#N/A</v>
      </c>
      <c r="L1216" t="e">
        <f t="shared" si="269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6"/>
        <v>0</v>
      </c>
      <c r="B1217">
        <f t="shared" si="257"/>
        <v>0</v>
      </c>
      <c r="C1217">
        <f t="shared" si="258"/>
        <v>0</v>
      </c>
      <c r="D1217">
        <f t="shared" si="259"/>
        <v>0</v>
      </c>
      <c r="E1217" t="e">
        <f t="shared" si="260"/>
        <v>#N/A</v>
      </c>
      <c r="F1217">
        <f t="shared" si="261"/>
        <v>0</v>
      </c>
      <c r="G1217">
        <f t="shared" si="262"/>
        <v>0</v>
      </c>
      <c r="H1217">
        <f t="shared" si="263"/>
        <v>0</v>
      </c>
      <c r="I1217">
        <f t="shared" si="264"/>
        <v>0</v>
      </c>
      <c r="J1217">
        <f t="shared" si="265"/>
        <v>0</v>
      </c>
      <c r="K1217" s="4" t="e">
        <f t="shared" si="268"/>
        <v>#N/A</v>
      </c>
      <c r="L1217" t="e">
        <f t="shared" si="269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70">bd_campaign</f>
        <v>0</v>
      </c>
      <c r="B1218">
        <f t="shared" ref="B1218:B1281" si="271">bd_site</f>
        <v>0</v>
      </c>
      <c r="C1218">
        <f t="shared" ref="C1218:C1281" si="272">bd_placement</f>
        <v>0</v>
      </c>
      <c r="D1218">
        <f t="shared" ref="D1218:D1281" si="273">bd_placementID</f>
        <v>0</v>
      </c>
      <c r="E1218" t="e">
        <f t="shared" ref="E1218:E1281" si="274">VLOOKUP(CONCATENATE(bd_adtype,"_",bd_creativetype),tabela,2,FALSE)</f>
        <v>#N/A</v>
      </c>
      <c r="F1218">
        <f t="shared" ref="F1218:F1281" si="275">bd_ad</f>
        <v>0</v>
      </c>
      <c r="G1218">
        <f t="shared" ref="G1218:G1281" si="276">bd_adid</f>
        <v>0</v>
      </c>
      <c r="H1218">
        <f t="shared" ref="H1218:H1281" si="277">bd_creativetype</f>
        <v>0</v>
      </c>
      <c r="I1218">
        <f t="shared" ref="I1218:I1281" si="278">bd_impression</f>
        <v>0</v>
      </c>
      <c r="J1218">
        <f t="shared" ref="J1218:J1281" si="279">bd_clicks</f>
        <v>0</v>
      </c>
      <c r="K1218" s="4" t="e">
        <f t="shared" si="268"/>
        <v>#N/A</v>
      </c>
      <c r="L1218" t="e">
        <f t="shared" si="269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70"/>
        <v>0</v>
      </c>
      <c r="B1219">
        <f t="shared" si="271"/>
        <v>0</v>
      </c>
      <c r="C1219">
        <f t="shared" si="272"/>
        <v>0</v>
      </c>
      <c r="D1219">
        <f t="shared" si="273"/>
        <v>0</v>
      </c>
      <c r="E1219" t="e">
        <f t="shared" si="274"/>
        <v>#N/A</v>
      </c>
      <c r="F1219">
        <f t="shared" si="275"/>
        <v>0</v>
      </c>
      <c r="G1219">
        <f t="shared" si="276"/>
        <v>0</v>
      </c>
      <c r="H1219">
        <f t="shared" si="277"/>
        <v>0</v>
      </c>
      <c r="I1219">
        <f t="shared" si="278"/>
        <v>0</v>
      </c>
      <c r="J1219">
        <f t="shared" si="279"/>
        <v>0</v>
      </c>
      <c r="K1219" s="4" t="e">
        <f t="shared" si="268"/>
        <v>#N/A</v>
      </c>
      <c r="L1219" t="e">
        <f t="shared" si="269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70"/>
        <v>0</v>
      </c>
      <c r="B1220">
        <f t="shared" si="271"/>
        <v>0</v>
      </c>
      <c r="C1220">
        <f t="shared" si="272"/>
        <v>0</v>
      </c>
      <c r="D1220">
        <f t="shared" si="273"/>
        <v>0</v>
      </c>
      <c r="E1220" t="e">
        <f t="shared" si="274"/>
        <v>#N/A</v>
      </c>
      <c r="F1220">
        <f t="shared" si="275"/>
        <v>0</v>
      </c>
      <c r="G1220">
        <f t="shared" si="276"/>
        <v>0</v>
      </c>
      <c r="H1220">
        <f t="shared" si="277"/>
        <v>0</v>
      </c>
      <c r="I1220">
        <f t="shared" si="278"/>
        <v>0</v>
      </c>
      <c r="J1220">
        <f t="shared" si="279"/>
        <v>0</v>
      </c>
      <c r="K1220" s="4" t="e">
        <f t="shared" si="268"/>
        <v>#N/A</v>
      </c>
      <c r="L1220" t="e">
        <f t="shared" si="269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70"/>
        <v>0</v>
      </c>
      <c r="B1221">
        <f t="shared" si="271"/>
        <v>0</v>
      </c>
      <c r="C1221">
        <f t="shared" si="272"/>
        <v>0</v>
      </c>
      <c r="D1221">
        <f t="shared" si="273"/>
        <v>0</v>
      </c>
      <c r="E1221" t="e">
        <f t="shared" si="274"/>
        <v>#N/A</v>
      </c>
      <c r="F1221">
        <f t="shared" si="275"/>
        <v>0</v>
      </c>
      <c r="G1221">
        <f t="shared" si="276"/>
        <v>0</v>
      </c>
      <c r="H1221">
        <f t="shared" si="277"/>
        <v>0</v>
      </c>
      <c r="I1221">
        <f t="shared" si="278"/>
        <v>0</v>
      </c>
      <c r="J1221">
        <f t="shared" si="279"/>
        <v>0</v>
      </c>
      <c r="K1221" s="4" t="e">
        <f t="shared" si="268"/>
        <v>#N/A</v>
      </c>
      <c r="L1221" t="e">
        <f t="shared" si="269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70"/>
        <v>0</v>
      </c>
      <c r="B1222">
        <f t="shared" si="271"/>
        <v>0</v>
      </c>
      <c r="C1222">
        <f t="shared" si="272"/>
        <v>0</v>
      </c>
      <c r="D1222">
        <f t="shared" si="273"/>
        <v>0</v>
      </c>
      <c r="E1222" t="e">
        <f t="shared" si="274"/>
        <v>#N/A</v>
      </c>
      <c r="F1222">
        <f t="shared" si="275"/>
        <v>0</v>
      </c>
      <c r="G1222">
        <f t="shared" si="276"/>
        <v>0</v>
      </c>
      <c r="H1222">
        <f t="shared" si="277"/>
        <v>0</v>
      </c>
      <c r="I1222">
        <f t="shared" si="278"/>
        <v>0</v>
      </c>
      <c r="J1222">
        <f t="shared" si="279"/>
        <v>0</v>
      </c>
      <c r="K1222" s="4" t="e">
        <f t="shared" si="268"/>
        <v>#N/A</v>
      </c>
      <c r="L1222" t="e">
        <f t="shared" si="269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70"/>
        <v>0</v>
      </c>
      <c r="B1223">
        <f t="shared" si="271"/>
        <v>0</v>
      </c>
      <c r="C1223">
        <f t="shared" si="272"/>
        <v>0</v>
      </c>
      <c r="D1223">
        <f t="shared" si="273"/>
        <v>0</v>
      </c>
      <c r="E1223" t="e">
        <f t="shared" si="274"/>
        <v>#N/A</v>
      </c>
      <c r="F1223">
        <f t="shared" si="275"/>
        <v>0</v>
      </c>
      <c r="G1223">
        <f t="shared" si="276"/>
        <v>0</v>
      </c>
      <c r="H1223">
        <f t="shared" si="277"/>
        <v>0</v>
      </c>
      <c r="I1223">
        <f t="shared" si="278"/>
        <v>0</v>
      </c>
      <c r="J1223">
        <f t="shared" si="279"/>
        <v>0</v>
      </c>
      <c r="K1223" s="4" t="e">
        <f t="shared" si="268"/>
        <v>#N/A</v>
      </c>
      <c r="L1223" t="e">
        <f t="shared" si="269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70"/>
        <v>0</v>
      </c>
      <c r="B1224">
        <f t="shared" si="271"/>
        <v>0</v>
      </c>
      <c r="C1224">
        <f t="shared" si="272"/>
        <v>0</v>
      </c>
      <c r="D1224">
        <f t="shared" si="273"/>
        <v>0</v>
      </c>
      <c r="E1224" t="e">
        <f t="shared" si="274"/>
        <v>#N/A</v>
      </c>
      <c r="F1224">
        <f t="shared" si="275"/>
        <v>0</v>
      </c>
      <c r="G1224">
        <f t="shared" si="276"/>
        <v>0</v>
      </c>
      <c r="H1224">
        <f t="shared" si="277"/>
        <v>0</v>
      </c>
      <c r="I1224">
        <f t="shared" si="278"/>
        <v>0</v>
      </c>
      <c r="J1224">
        <f t="shared" si="279"/>
        <v>0</v>
      </c>
      <c r="K1224" s="4" t="e">
        <f t="shared" si="268"/>
        <v>#N/A</v>
      </c>
      <c r="L1224" t="e">
        <f t="shared" si="269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70"/>
        <v>0</v>
      </c>
      <c r="B1225">
        <f t="shared" si="271"/>
        <v>0</v>
      </c>
      <c r="C1225">
        <f t="shared" si="272"/>
        <v>0</v>
      </c>
      <c r="D1225">
        <f t="shared" si="273"/>
        <v>0</v>
      </c>
      <c r="E1225" t="e">
        <f t="shared" si="274"/>
        <v>#N/A</v>
      </c>
      <c r="F1225">
        <f t="shared" si="275"/>
        <v>0</v>
      </c>
      <c r="G1225">
        <f t="shared" si="276"/>
        <v>0</v>
      </c>
      <c r="H1225">
        <f t="shared" si="277"/>
        <v>0</v>
      </c>
      <c r="I1225">
        <f t="shared" si="278"/>
        <v>0</v>
      </c>
      <c r="J1225">
        <f t="shared" si="279"/>
        <v>0</v>
      </c>
      <c r="K1225" s="4" t="e">
        <f t="shared" si="268"/>
        <v>#N/A</v>
      </c>
      <c r="L1225" t="e">
        <f t="shared" si="269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70"/>
        <v>0</v>
      </c>
      <c r="B1226">
        <f t="shared" si="271"/>
        <v>0</v>
      </c>
      <c r="C1226">
        <f t="shared" si="272"/>
        <v>0</v>
      </c>
      <c r="D1226">
        <f t="shared" si="273"/>
        <v>0</v>
      </c>
      <c r="E1226" t="e">
        <f t="shared" si="274"/>
        <v>#N/A</v>
      </c>
      <c r="F1226">
        <f t="shared" si="275"/>
        <v>0</v>
      </c>
      <c r="G1226">
        <f t="shared" si="276"/>
        <v>0</v>
      </c>
      <c r="H1226">
        <f t="shared" si="277"/>
        <v>0</v>
      </c>
      <c r="I1226">
        <f t="shared" si="278"/>
        <v>0</v>
      </c>
      <c r="J1226">
        <f t="shared" si="279"/>
        <v>0</v>
      </c>
      <c r="K1226" s="4" t="e">
        <f t="shared" si="268"/>
        <v>#N/A</v>
      </c>
      <c r="L1226" t="e">
        <f t="shared" si="269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70"/>
        <v>0</v>
      </c>
      <c r="B1227">
        <f t="shared" si="271"/>
        <v>0</v>
      </c>
      <c r="C1227">
        <f t="shared" si="272"/>
        <v>0</v>
      </c>
      <c r="D1227">
        <f t="shared" si="273"/>
        <v>0</v>
      </c>
      <c r="E1227" t="e">
        <f t="shared" si="274"/>
        <v>#N/A</v>
      </c>
      <c r="F1227">
        <f t="shared" si="275"/>
        <v>0</v>
      </c>
      <c r="G1227">
        <f t="shared" si="276"/>
        <v>0</v>
      </c>
      <c r="H1227">
        <f t="shared" si="277"/>
        <v>0</v>
      </c>
      <c r="I1227">
        <f t="shared" si="278"/>
        <v>0</v>
      </c>
      <c r="J1227">
        <f t="shared" si="279"/>
        <v>0</v>
      </c>
      <c r="K1227" s="4" t="e">
        <f t="shared" si="268"/>
        <v>#N/A</v>
      </c>
      <c r="L1227" t="e">
        <f t="shared" si="269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70"/>
        <v>0</v>
      </c>
      <c r="B1228">
        <f t="shared" si="271"/>
        <v>0</v>
      </c>
      <c r="C1228">
        <f t="shared" si="272"/>
        <v>0</v>
      </c>
      <c r="D1228">
        <f t="shared" si="273"/>
        <v>0</v>
      </c>
      <c r="E1228" t="e">
        <f t="shared" si="274"/>
        <v>#N/A</v>
      </c>
      <c r="F1228">
        <f t="shared" si="275"/>
        <v>0</v>
      </c>
      <c r="G1228">
        <f t="shared" si="276"/>
        <v>0</v>
      </c>
      <c r="H1228">
        <f t="shared" si="277"/>
        <v>0</v>
      </c>
      <c r="I1228">
        <f t="shared" si="278"/>
        <v>0</v>
      </c>
      <c r="J1228">
        <f t="shared" si="279"/>
        <v>0</v>
      </c>
      <c r="K1228" s="4" t="e">
        <f t="shared" si="268"/>
        <v>#N/A</v>
      </c>
      <c r="L1228" t="e">
        <f t="shared" si="269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70"/>
        <v>0</v>
      </c>
      <c r="B1229">
        <f t="shared" si="271"/>
        <v>0</v>
      </c>
      <c r="C1229">
        <f t="shared" si="272"/>
        <v>0</v>
      </c>
      <c r="D1229">
        <f t="shared" si="273"/>
        <v>0</v>
      </c>
      <c r="E1229" t="e">
        <f t="shared" si="274"/>
        <v>#N/A</v>
      </c>
      <c r="F1229">
        <f t="shared" si="275"/>
        <v>0</v>
      </c>
      <c r="G1229">
        <f t="shared" si="276"/>
        <v>0</v>
      </c>
      <c r="H1229">
        <f t="shared" si="277"/>
        <v>0</v>
      </c>
      <c r="I1229">
        <f t="shared" si="278"/>
        <v>0</v>
      </c>
      <c r="J1229">
        <f t="shared" si="279"/>
        <v>0</v>
      </c>
      <c r="K1229" s="4" t="e">
        <f t="shared" si="268"/>
        <v>#N/A</v>
      </c>
      <c r="L1229" t="e">
        <f t="shared" si="269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70"/>
        <v>0</v>
      </c>
      <c r="B1230">
        <f t="shared" si="271"/>
        <v>0</v>
      </c>
      <c r="C1230">
        <f t="shared" si="272"/>
        <v>0</v>
      </c>
      <c r="D1230">
        <f t="shared" si="273"/>
        <v>0</v>
      </c>
      <c r="E1230" t="e">
        <f t="shared" si="274"/>
        <v>#N/A</v>
      </c>
      <c r="F1230">
        <f t="shared" si="275"/>
        <v>0</v>
      </c>
      <c r="G1230">
        <f t="shared" si="276"/>
        <v>0</v>
      </c>
      <c r="H1230">
        <f t="shared" si="277"/>
        <v>0</v>
      </c>
      <c r="I1230">
        <f t="shared" si="278"/>
        <v>0</v>
      </c>
      <c r="J1230">
        <f t="shared" si="279"/>
        <v>0</v>
      </c>
      <c r="K1230" s="4" t="e">
        <f t="shared" si="268"/>
        <v>#N/A</v>
      </c>
      <c r="L1230" t="e">
        <f t="shared" si="269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70"/>
        <v>0</v>
      </c>
      <c r="B1231">
        <f t="shared" si="271"/>
        <v>0</v>
      </c>
      <c r="C1231">
        <f t="shared" si="272"/>
        <v>0</v>
      </c>
      <c r="D1231">
        <f t="shared" si="273"/>
        <v>0</v>
      </c>
      <c r="E1231" t="e">
        <f t="shared" si="274"/>
        <v>#N/A</v>
      </c>
      <c r="F1231">
        <f t="shared" si="275"/>
        <v>0</v>
      </c>
      <c r="G1231">
        <f t="shared" si="276"/>
        <v>0</v>
      </c>
      <c r="H1231">
        <f t="shared" si="277"/>
        <v>0</v>
      </c>
      <c r="I1231">
        <f t="shared" si="278"/>
        <v>0</v>
      </c>
      <c r="J1231">
        <f t="shared" si="279"/>
        <v>0</v>
      </c>
      <c r="K1231" s="4" t="e">
        <f t="shared" si="268"/>
        <v>#N/A</v>
      </c>
      <c r="L1231" t="e">
        <f t="shared" si="269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70"/>
        <v>0</v>
      </c>
      <c r="B1232">
        <f t="shared" si="271"/>
        <v>0</v>
      </c>
      <c r="C1232">
        <f t="shared" si="272"/>
        <v>0</v>
      </c>
      <c r="D1232">
        <f t="shared" si="273"/>
        <v>0</v>
      </c>
      <c r="E1232" t="e">
        <f t="shared" si="274"/>
        <v>#N/A</v>
      </c>
      <c r="F1232">
        <f t="shared" si="275"/>
        <v>0</v>
      </c>
      <c r="G1232">
        <f t="shared" si="276"/>
        <v>0</v>
      </c>
      <c r="H1232">
        <f t="shared" si="277"/>
        <v>0</v>
      </c>
      <c r="I1232">
        <f t="shared" si="278"/>
        <v>0</v>
      </c>
      <c r="J1232">
        <f t="shared" si="279"/>
        <v>0</v>
      </c>
      <c r="K1232" s="4" t="e">
        <f t="shared" si="268"/>
        <v>#N/A</v>
      </c>
      <c r="L1232" t="e">
        <f t="shared" si="269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70"/>
        <v>0</v>
      </c>
      <c r="B1233">
        <f t="shared" si="271"/>
        <v>0</v>
      </c>
      <c r="C1233">
        <f t="shared" si="272"/>
        <v>0</v>
      </c>
      <c r="D1233">
        <f t="shared" si="273"/>
        <v>0</v>
      </c>
      <c r="E1233" t="e">
        <f t="shared" si="274"/>
        <v>#N/A</v>
      </c>
      <c r="F1233">
        <f t="shared" si="275"/>
        <v>0</v>
      </c>
      <c r="G1233">
        <f t="shared" si="276"/>
        <v>0</v>
      </c>
      <c r="H1233">
        <f t="shared" si="277"/>
        <v>0</v>
      </c>
      <c r="I1233">
        <f t="shared" si="278"/>
        <v>0</v>
      </c>
      <c r="J1233">
        <f t="shared" si="279"/>
        <v>0</v>
      </c>
      <c r="K1233" s="4" t="e">
        <f t="shared" si="268"/>
        <v>#N/A</v>
      </c>
      <c r="L1233" t="e">
        <f t="shared" si="269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70"/>
        <v>0</v>
      </c>
      <c r="B1234">
        <f t="shared" si="271"/>
        <v>0</v>
      </c>
      <c r="C1234">
        <f t="shared" si="272"/>
        <v>0</v>
      </c>
      <c r="D1234">
        <f t="shared" si="273"/>
        <v>0</v>
      </c>
      <c r="E1234" t="e">
        <f t="shared" si="274"/>
        <v>#N/A</v>
      </c>
      <c r="F1234">
        <f t="shared" si="275"/>
        <v>0</v>
      </c>
      <c r="G1234">
        <f t="shared" si="276"/>
        <v>0</v>
      </c>
      <c r="H1234">
        <f t="shared" si="277"/>
        <v>0</v>
      </c>
      <c r="I1234">
        <f t="shared" si="278"/>
        <v>0</v>
      </c>
      <c r="J1234">
        <f t="shared" si="279"/>
        <v>0</v>
      </c>
      <c r="K1234" s="4" t="e">
        <f t="shared" si="268"/>
        <v>#N/A</v>
      </c>
      <c r="L1234" t="e">
        <f t="shared" si="269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70"/>
        <v>0</v>
      </c>
      <c r="B1235">
        <f t="shared" si="271"/>
        <v>0</v>
      </c>
      <c r="C1235">
        <f t="shared" si="272"/>
        <v>0</v>
      </c>
      <c r="D1235">
        <f t="shared" si="273"/>
        <v>0</v>
      </c>
      <c r="E1235" t="e">
        <f t="shared" si="274"/>
        <v>#N/A</v>
      </c>
      <c r="F1235">
        <f t="shared" si="275"/>
        <v>0</v>
      </c>
      <c r="G1235">
        <f t="shared" si="276"/>
        <v>0</v>
      </c>
      <c r="H1235">
        <f t="shared" si="277"/>
        <v>0</v>
      </c>
      <c r="I1235">
        <f t="shared" si="278"/>
        <v>0</v>
      </c>
      <c r="J1235">
        <f t="shared" si="279"/>
        <v>0</v>
      </c>
      <c r="K1235" s="4" t="e">
        <f t="shared" si="268"/>
        <v>#N/A</v>
      </c>
      <c r="L1235" t="e">
        <f t="shared" si="269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70"/>
        <v>0</v>
      </c>
      <c r="B1236">
        <f t="shared" si="271"/>
        <v>0</v>
      </c>
      <c r="C1236">
        <f t="shared" si="272"/>
        <v>0</v>
      </c>
      <c r="D1236">
        <f t="shared" si="273"/>
        <v>0</v>
      </c>
      <c r="E1236" t="e">
        <f t="shared" si="274"/>
        <v>#N/A</v>
      </c>
      <c r="F1236">
        <f t="shared" si="275"/>
        <v>0</v>
      </c>
      <c r="G1236">
        <f t="shared" si="276"/>
        <v>0</v>
      </c>
      <c r="H1236">
        <f t="shared" si="277"/>
        <v>0</v>
      </c>
      <c r="I1236">
        <f t="shared" si="278"/>
        <v>0</v>
      </c>
      <c r="J1236">
        <f t="shared" si="279"/>
        <v>0</v>
      </c>
      <c r="K1236" s="4" t="e">
        <f t="shared" si="268"/>
        <v>#N/A</v>
      </c>
      <c r="L1236" t="e">
        <f t="shared" si="269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70"/>
        <v>0</v>
      </c>
      <c r="B1237">
        <f t="shared" si="271"/>
        <v>0</v>
      </c>
      <c r="C1237">
        <f t="shared" si="272"/>
        <v>0</v>
      </c>
      <c r="D1237">
        <f t="shared" si="273"/>
        <v>0</v>
      </c>
      <c r="E1237" t="e">
        <f t="shared" si="274"/>
        <v>#N/A</v>
      </c>
      <c r="F1237">
        <f t="shared" si="275"/>
        <v>0</v>
      </c>
      <c r="G1237">
        <f t="shared" si="276"/>
        <v>0</v>
      </c>
      <c r="H1237">
        <f t="shared" si="277"/>
        <v>0</v>
      </c>
      <c r="I1237">
        <f t="shared" si="278"/>
        <v>0</v>
      </c>
      <c r="J1237">
        <f t="shared" si="279"/>
        <v>0</v>
      </c>
      <c r="K1237" s="4" t="e">
        <f t="shared" si="268"/>
        <v>#N/A</v>
      </c>
      <c r="L1237" t="e">
        <f t="shared" si="269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70"/>
        <v>0</v>
      </c>
      <c r="B1238">
        <f t="shared" si="271"/>
        <v>0</v>
      </c>
      <c r="C1238">
        <f t="shared" si="272"/>
        <v>0</v>
      </c>
      <c r="D1238">
        <f t="shared" si="273"/>
        <v>0</v>
      </c>
      <c r="E1238" t="e">
        <f t="shared" si="274"/>
        <v>#N/A</v>
      </c>
      <c r="F1238">
        <f t="shared" si="275"/>
        <v>0</v>
      </c>
      <c r="G1238">
        <f t="shared" si="276"/>
        <v>0</v>
      </c>
      <c r="H1238">
        <f t="shared" si="277"/>
        <v>0</v>
      </c>
      <c r="I1238">
        <f t="shared" si="278"/>
        <v>0</v>
      </c>
      <c r="J1238">
        <f t="shared" si="279"/>
        <v>0</v>
      </c>
      <c r="K1238" s="4" t="e">
        <f t="shared" si="268"/>
        <v>#N/A</v>
      </c>
      <c r="L1238" t="e">
        <f t="shared" si="269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70"/>
        <v>0</v>
      </c>
      <c r="B1239">
        <f t="shared" si="271"/>
        <v>0</v>
      </c>
      <c r="C1239">
        <f t="shared" si="272"/>
        <v>0</v>
      </c>
      <c r="D1239">
        <f t="shared" si="273"/>
        <v>0</v>
      </c>
      <c r="E1239" t="e">
        <f t="shared" si="274"/>
        <v>#N/A</v>
      </c>
      <c r="F1239">
        <f t="shared" si="275"/>
        <v>0</v>
      </c>
      <c r="G1239">
        <f t="shared" si="276"/>
        <v>0</v>
      </c>
      <c r="H1239">
        <f t="shared" si="277"/>
        <v>0</v>
      </c>
      <c r="I1239">
        <f t="shared" si="278"/>
        <v>0</v>
      </c>
      <c r="J1239">
        <f t="shared" si="279"/>
        <v>0</v>
      </c>
      <c r="K1239" s="4" t="e">
        <f t="shared" si="268"/>
        <v>#N/A</v>
      </c>
      <c r="L1239" t="e">
        <f t="shared" si="269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70"/>
        <v>0</v>
      </c>
      <c r="B1240">
        <f t="shared" si="271"/>
        <v>0</v>
      </c>
      <c r="C1240">
        <f t="shared" si="272"/>
        <v>0</v>
      </c>
      <c r="D1240">
        <f t="shared" si="273"/>
        <v>0</v>
      </c>
      <c r="E1240" t="e">
        <f t="shared" si="274"/>
        <v>#N/A</v>
      </c>
      <c r="F1240">
        <f t="shared" si="275"/>
        <v>0</v>
      </c>
      <c r="G1240">
        <f t="shared" si="276"/>
        <v>0</v>
      </c>
      <c r="H1240">
        <f t="shared" si="277"/>
        <v>0</v>
      </c>
      <c r="I1240">
        <f t="shared" si="278"/>
        <v>0</v>
      </c>
      <c r="J1240">
        <f t="shared" si="279"/>
        <v>0</v>
      </c>
      <c r="K1240" s="4" t="e">
        <f t="shared" si="268"/>
        <v>#N/A</v>
      </c>
      <c r="L1240" t="e">
        <f t="shared" si="269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70"/>
        <v>0</v>
      </c>
      <c r="B1241">
        <f t="shared" si="271"/>
        <v>0</v>
      </c>
      <c r="C1241">
        <f t="shared" si="272"/>
        <v>0</v>
      </c>
      <c r="D1241">
        <f t="shared" si="273"/>
        <v>0</v>
      </c>
      <c r="E1241" t="e">
        <f t="shared" si="274"/>
        <v>#N/A</v>
      </c>
      <c r="F1241">
        <f t="shared" si="275"/>
        <v>0</v>
      </c>
      <c r="G1241">
        <f t="shared" si="276"/>
        <v>0</v>
      </c>
      <c r="H1241">
        <f t="shared" si="277"/>
        <v>0</v>
      </c>
      <c r="I1241">
        <f t="shared" si="278"/>
        <v>0</v>
      </c>
      <c r="J1241">
        <f t="shared" si="279"/>
        <v>0</v>
      </c>
      <c r="K1241" s="4" t="e">
        <f t="shared" si="268"/>
        <v>#N/A</v>
      </c>
      <c r="L1241" t="e">
        <f t="shared" si="269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70"/>
        <v>0</v>
      </c>
      <c r="B1242">
        <f t="shared" si="271"/>
        <v>0</v>
      </c>
      <c r="C1242">
        <f t="shared" si="272"/>
        <v>0</v>
      </c>
      <c r="D1242">
        <f t="shared" si="273"/>
        <v>0</v>
      </c>
      <c r="E1242" t="e">
        <f t="shared" si="274"/>
        <v>#N/A</v>
      </c>
      <c r="F1242">
        <f t="shared" si="275"/>
        <v>0</v>
      </c>
      <c r="G1242">
        <f t="shared" si="276"/>
        <v>0</v>
      </c>
      <c r="H1242">
        <f t="shared" si="277"/>
        <v>0</v>
      </c>
      <c r="I1242">
        <f t="shared" si="278"/>
        <v>0</v>
      </c>
      <c r="J1242">
        <f t="shared" si="279"/>
        <v>0</v>
      </c>
      <c r="K1242" s="4" t="e">
        <f t="shared" si="268"/>
        <v>#N/A</v>
      </c>
      <c r="L1242" t="e">
        <f t="shared" si="269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70"/>
        <v>0</v>
      </c>
      <c r="B1243">
        <f t="shared" si="271"/>
        <v>0</v>
      </c>
      <c r="C1243">
        <f t="shared" si="272"/>
        <v>0</v>
      </c>
      <c r="D1243">
        <f t="shared" si="273"/>
        <v>0</v>
      </c>
      <c r="E1243" t="e">
        <f t="shared" si="274"/>
        <v>#N/A</v>
      </c>
      <c r="F1243">
        <f t="shared" si="275"/>
        <v>0</v>
      </c>
      <c r="G1243">
        <f t="shared" si="276"/>
        <v>0</v>
      </c>
      <c r="H1243">
        <f t="shared" si="277"/>
        <v>0</v>
      </c>
      <c r="I1243">
        <f t="shared" si="278"/>
        <v>0</v>
      </c>
      <c r="J1243">
        <f t="shared" si="279"/>
        <v>0</v>
      </c>
      <c r="K1243" s="4" t="e">
        <f t="shared" si="268"/>
        <v>#N/A</v>
      </c>
      <c r="L1243" t="e">
        <f t="shared" si="269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70"/>
        <v>0</v>
      </c>
      <c r="B1244">
        <f t="shared" si="271"/>
        <v>0</v>
      </c>
      <c r="C1244">
        <f t="shared" si="272"/>
        <v>0</v>
      </c>
      <c r="D1244">
        <f t="shared" si="273"/>
        <v>0</v>
      </c>
      <c r="E1244" t="e">
        <f t="shared" si="274"/>
        <v>#N/A</v>
      </c>
      <c r="F1244">
        <f t="shared" si="275"/>
        <v>0</v>
      </c>
      <c r="G1244">
        <f t="shared" si="276"/>
        <v>0</v>
      </c>
      <c r="H1244">
        <f t="shared" si="277"/>
        <v>0</v>
      </c>
      <c r="I1244">
        <f t="shared" si="278"/>
        <v>0</v>
      </c>
      <c r="J1244">
        <f t="shared" si="279"/>
        <v>0</v>
      </c>
      <c r="K1244" s="4" t="e">
        <f t="shared" si="268"/>
        <v>#N/A</v>
      </c>
      <c r="L1244" t="e">
        <f t="shared" si="269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70"/>
        <v>0</v>
      </c>
      <c r="B1245">
        <f t="shared" si="271"/>
        <v>0</v>
      </c>
      <c r="C1245">
        <f t="shared" si="272"/>
        <v>0</v>
      </c>
      <c r="D1245">
        <f t="shared" si="273"/>
        <v>0</v>
      </c>
      <c r="E1245" t="e">
        <f t="shared" si="274"/>
        <v>#N/A</v>
      </c>
      <c r="F1245">
        <f t="shared" si="275"/>
        <v>0</v>
      </c>
      <c r="G1245">
        <f t="shared" si="276"/>
        <v>0</v>
      </c>
      <c r="H1245">
        <f t="shared" si="277"/>
        <v>0</v>
      </c>
      <c r="I1245">
        <f t="shared" si="278"/>
        <v>0</v>
      </c>
      <c r="J1245">
        <f t="shared" si="279"/>
        <v>0</v>
      </c>
      <c r="K1245" s="4" t="e">
        <f t="shared" si="268"/>
        <v>#N/A</v>
      </c>
      <c r="L1245" t="e">
        <f t="shared" si="269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70"/>
        <v>0</v>
      </c>
      <c r="B1246">
        <f t="shared" si="271"/>
        <v>0</v>
      </c>
      <c r="C1246">
        <f t="shared" si="272"/>
        <v>0</v>
      </c>
      <c r="D1246">
        <f t="shared" si="273"/>
        <v>0</v>
      </c>
      <c r="E1246" t="e">
        <f t="shared" si="274"/>
        <v>#N/A</v>
      </c>
      <c r="F1246">
        <f t="shared" si="275"/>
        <v>0</v>
      </c>
      <c r="G1246">
        <f t="shared" si="276"/>
        <v>0</v>
      </c>
      <c r="H1246">
        <f t="shared" si="277"/>
        <v>0</v>
      </c>
      <c r="I1246">
        <f t="shared" si="278"/>
        <v>0</v>
      </c>
      <c r="J1246">
        <f t="shared" si="279"/>
        <v>0</v>
      </c>
      <c r="K1246" s="4" t="e">
        <f t="shared" si="268"/>
        <v>#N/A</v>
      </c>
      <c r="L1246" t="e">
        <f t="shared" si="269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70"/>
        <v>0</v>
      </c>
      <c r="B1247">
        <f t="shared" si="271"/>
        <v>0</v>
      </c>
      <c r="C1247">
        <f t="shared" si="272"/>
        <v>0</v>
      </c>
      <c r="D1247">
        <f t="shared" si="273"/>
        <v>0</v>
      </c>
      <c r="E1247" t="e">
        <f t="shared" si="274"/>
        <v>#N/A</v>
      </c>
      <c r="F1247">
        <f t="shared" si="275"/>
        <v>0</v>
      </c>
      <c r="G1247">
        <f t="shared" si="276"/>
        <v>0</v>
      </c>
      <c r="H1247">
        <f t="shared" si="277"/>
        <v>0</v>
      </c>
      <c r="I1247">
        <f t="shared" si="278"/>
        <v>0</v>
      </c>
      <c r="J1247">
        <f t="shared" si="279"/>
        <v>0</v>
      </c>
      <c r="K1247" s="4" t="e">
        <f t="shared" si="268"/>
        <v>#N/A</v>
      </c>
      <c r="L1247" t="e">
        <f t="shared" si="269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70"/>
        <v>0</v>
      </c>
      <c r="B1248">
        <f t="shared" si="271"/>
        <v>0</v>
      </c>
      <c r="C1248">
        <f t="shared" si="272"/>
        <v>0</v>
      </c>
      <c r="D1248">
        <f t="shared" si="273"/>
        <v>0</v>
      </c>
      <c r="E1248" t="e">
        <f t="shared" si="274"/>
        <v>#N/A</v>
      </c>
      <c r="F1248">
        <f t="shared" si="275"/>
        <v>0</v>
      </c>
      <c r="G1248">
        <f t="shared" si="276"/>
        <v>0</v>
      </c>
      <c r="H1248">
        <f t="shared" si="277"/>
        <v>0</v>
      </c>
      <c r="I1248">
        <f t="shared" si="278"/>
        <v>0</v>
      </c>
      <c r="J1248">
        <f t="shared" si="279"/>
        <v>0</v>
      </c>
      <c r="K1248" s="4" t="e">
        <f t="shared" si="268"/>
        <v>#N/A</v>
      </c>
      <c r="L1248" t="e">
        <f t="shared" si="269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70"/>
        <v>0</v>
      </c>
      <c r="B1249">
        <f t="shared" si="271"/>
        <v>0</v>
      </c>
      <c r="C1249">
        <f t="shared" si="272"/>
        <v>0</v>
      </c>
      <c r="D1249">
        <f t="shared" si="273"/>
        <v>0</v>
      </c>
      <c r="E1249" t="e">
        <f t="shared" si="274"/>
        <v>#N/A</v>
      </c>
      <c r="F1249">
        <f t="shared" si="275"/>
        <v>0</v>
      </c>
      <c r="G1249">
        <f t="shared" si="276"/>
        <v>0</v>
      </c>
      <c r="H1249">
        <f t="shared" si="277"/>
        <v>0</v>
      </c>
      <c r="I1249">
        <f t="shared" si="278"/>
        <v>0</v>
      </c>
      <c r="J1249">
        <f t="shared" si="279"/>
        <v>0</v>
      </c>
      <c r="K1249" s="4" t="e">
        <f t="shared" si="268"/>
        <v>#N/A</v>
      </c>
      <c r="L1249" t="e">
        <f t="shared" si="269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70"/>
        <v>0</v>
      </c>
      <c r="B1250">
        <f t="shared" si="271"/>
        <v>0</v>
      </c>
      <c r="C1250">
        <f t="shared" si="272"/>
        <v>0</v>
      </c>
      <c r="D1250">
        <f t="shared" si="273"/>
        <v>0</v>
      </c>
      <c r="E1250" t="e">
        <f t="shared" si="274"/>
        <v>#N/A</v>
      </c>
      <c r="F1250">
        <f t="shared" si="275"/>
        <v>0</v>
      </c>
      <c r="G1250">
        <f t="shared" si="276"/>
        <v>0</v>
      </c>
      <c r="H1250">
        <f t="shared" si="277"/>
        <v>0</v>
      </c>
      <c r="I1250">
        <f t="shared" si="278"/>
        <v>0</v>
      </c>
      <c r="J1250">
        <f t="shared" si="279"/>
        <v>0</v>
      </c>
      <c r="K1250" s="4" t="e">
        <f t="shared" si="268"/>
        <v>#N/A</v>
      </c>
      <c r="L1250" t="e">
        <f t="shared" si="269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70"/>
        <v>0</v>
      </c>
      <c r="B1251">
        <f t="shared" si="271"/>
        <v>0</v>
      </c>
      <c r="C1251">
        <f t="shared" si="272"/>
        <v>0</v>
      </c>
      <c r="D1251">
        <f t="shared" si="273"/>
        <v>0</v>
      </c>
      <c r="E1251" t="e">
        <f t="shared" si="274"/>
        <v>#N/A</v>
      </c>
      <c r="F1251">
        <f t="shared" si="275"/>
        <v>0</v>
      </c>
      <c r="G1251">
        <f t="shared" si="276"/>
        <v>0</v>
      </c>
      <c r="H1251">
        <f t="shared" si="277"/>
        <v>0</v>
      </c>
      <c r="I1251">
        <f t="shared" si="278"/>
        <v>0</v>
      </c>
      <c r="J1251">
        <f t="shared" si="279"/>
        <v>0</v>
      </c>
      <c r="K1251" s="4" t="e">
        <f t="shared" si="268"/>
        <v>#N/A</v>
      </c>
      <c r="L1251" t="e">
        <f t="shared" si="269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70"/>
        <v>0</v>
      </c>
      <c r="B1252">
        <f t="shared" si="271"/>
        <v>0</v>
      </c>
      <c r="C1252">
        <f t="shared" si="272"/>
        <v>0</v>
      </c>
      <c r="D1252">
        <f t="shared" si="273"/>
        <v>0</v>
      </c>
      <c r="E1252" t="e">
        <f t="shared" si="274"/>
        <v>#N/A</v>
      </c>
      <c r="F1252">
        <f t="shared" si="275"/>
        <v>0</v>
      </c>
      <c r="G1252">
        <f t="shared" si="276"/>
        <v>0</v>
      </c>
      <c r="H1252">
        <f t="shared" si="277"/>
        <v>0</v>
      </c>
      <c r="I1252">
        <f t="shared" si="278"/>
        <v>0</v>
      </c>
      <c r="J1252">
        <f t="shared" si="279"/>
        <v>0</v>
      </c>
      <c r="K1252" s="4" t="e">
        <f t="shared" si="268"/>
        <v>#N/A</v>
      </c>
      <c r="L1252" t="e">
        <f t="shared" si="269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70"/>
        <v>0</v>
      </c>
      <c r="B1253">
        <f t="shared" si="271"/>
        <v>0</v>
      </c>
      <c r="C1253">
        <f t="shared" si="272"/>
        <v>0</v>
      </c>
      <c r="D1253">
        <f t="shared" si="273"/>
        <v>0</v>
      </c>
      <c r="E1253" t="e">
        <f t="shared" si="274"/>
        <v>#N/A</v>
      </c>
      <c r="F1253">
        <f t="shared" si="275"/>
        <v>0</v>
      </c>
      <c r="G1253">
        <f t="shared" si="276"/>
        <v>0</v>
      </c>
      <c r="H1253">
        <f t="shared" si="277"/>
        <v>0</v>
      </c>
      <c r="I1253">
        <f t="shared" si="278"/>
        <v>0</v>
      </c>
      <c r="J1253">
        <f t="shared" si="279"/>
        <v>0</v>
      </c>
      <c r="K1253" s="4" t="e">
        <f t="shared" si="268"/>
        <v>#N/A</v>
      </c>
      <c r="L1253" t="e">
        <f t="shared" si="269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70"/>
        <v>0</v>
      </c>
      <c r="B1254">
        <f t="shared" si="271"/>
        <v>0</v>
      </c>
      <c r="C1254">
        <f t="shared" si="272"/>
        <v>0</v>
      </c>
      <c r="D1254">
        <f t="shared" si="273"/>
        <v>0</v>
      </c>
      <c r="E1254" t="e">
        <f t="shared" si="274"/>
        <v>#N/A</v>
      </c>
      <c r="F1254">
        <f t="shared" si="275"/>
        <v>0</v>
      </c>
      <c r="G1254">
        <f t="shared" si="276"/>
        <v>0</v>
      </c>
      <c r="H1254">
        <f t="shared" si="277"/>
        <v>0</v>
      </c>
      <c r="I1254">
        <f t="shared" si="278"/>
        <v>0</v>
      </c>
      <c r="J1254">
        <f t="shared" si="279"/>
        <v>0</v>
      </c>
      <c r="K1254" s="4" t="e">
        <f t="shared" si="268"/>
        <v>#N/A</v>
      </c>
      <c r="L1254" t="e">
        <f t="shared" si="269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70"/>
        <v>0</v>
      </c>
      <c r="B1255">
        <f t="shared" si="271"/>
        <v>0</v>
      </c>
      <c r="C1255">
        <f t="shared" si="272"/>
        <v>0</v>
      </c>
      <c r="D1255">
        <f t="shared" si="273"/>
        <v>0</v>
      </c>
      <c r="E1255" t="e">
        <f t="shared" si="274"/>
        <v>#N/A</v>
      </c>
      <c r="F1255">
        <f t="shared" si="275"/>
        <v>0</v>
      </c>
      <c r="G1255">
        <f t="shared" si="276"/>
        <v>0</v>
      </c>
      <c r="H1255">
        <f t="shared" si="277"/>
        <v>0</v>
      </c>
      <c r="I1255">
        <f t="shared" si="278"/>
        <v>0</v>
      </c>
      <c r="J1255">
        <f t="shared" si="279"/>
        <v>0</v>
      </c>
      <c r="K1255" s="4" t="e">
        <f t="shared" si="268"/>
        <v>#N/A</v>
      </c>
      <c r="L1255" t="e">
        <f t="shared" si="269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70"/>
        <v>0</v>
      </c>
      <c r="B1256">
        <f t="shared" si="271"/>
        <v>0</v>
      </c>
      <c r="C1256">
        <f t="shared" si="272"/>
        <v>0</v>
      </c>
      <c r="D1256">
        <f t="shared" si="273"/>
        <v>0</v>
      </c>
      <c r="E1256" t="e">
        <f t="shared" si="274"/>
        <v>#N/A</v>
      </c>
      <c r="F1256">
        <f t="shared" si="275"/>
        <v>0</v>
      </c>
      <c r="G1256">
        <f t="shared" si="276"/>
        <v>0</v>
      </c>
      <c r="H1256">
        <f t="shared" si="277"/>
        <v>0</v>
      </c>
      <c r="I1256">
        <f t="shared" si="278"/>
        <v>0</v>
      </c>
      <c r="J1256">
        <f t="shared" si="279"/>
        <v>0</v>
      </c>
      <c r="K1256" s="4" t="e">
        <f t="shared" si="268"/>
        <v>#N/A</v>
      </c>
      <c r="L1256" t="e">
        <f t="shared" si="269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70"/>
        <v>0</v>
      </c>
      <c r="B1257">
        <f t="shared" si="271"/>
        <v>0</v>
      </c>
      <c r="C1257">
        <f t="shared" si="272"/>
        <v>0</v>
      </c>
      <c r="D1257">
        <f t="shared" si="273"/>
        <v>0</v>
      </c>
      <c r="E1257" t="e">
        <f t="shared" si="274"/>
        <v>#N/A</v>
      </c>
      <c r="F1257">
        <f t="shared" si="275"/>
        <v>0</v>
      </c>
      <c r="G1257">
        <f t="shared" si="276"/>
        <v>0</v>
      </c>
      <c r="H1257">
        <f t="shared" si="277"/>
        <v>0</v>
      </c>
      <c r="I1257">
        <f t="shared" si="278"/>
        <v>0</v>
      </c>
      <c r="J1257">
        <f t="shared" si="279"/>
        <v>0</v>
      </c>
      <c r="K1257" s="4" t="e">
        <f t="shared" si="268"/>
        <v>#N/A</v>
      </c>
      <c r="L1257" t="e">
        <f t="shared" si="269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70"/>
        <v>0</v>
      </c>
      <c r="B1258">
        <f t="shared" si="271"/>
        <v>0</v>
      </c>
      <c r="C1258">
        <f t="shared" si="272"/>
        <v>0</v>
      </c>
      <c r="D1258">
        <f t="shared" si="273"/>
        <v>0</v>
      </c>
      <c r="E1258" t="e">
        <f t="shared" si="274"/>
        <v>#N/A</v>
      </c>
      <c r="F1258">
        <f t="shared" si="275"/>
        <v>0</v>
      </c>
      <c r="G1258">
        <f t="shared" si="276"/>
        <v>0</v>
      </c>
      <c r="H1258">
        <f t="shared" si="277"/>
        <v>0</v>
      </c>
      <c r="I1258">
        <f t="shared" si="278"/>
        <v>0</v>
      </c>
      <c r="J1258">
        <f t="shared" si="279"/>
        <v>0</v>
      </c>
      <c r="K1258" s="4" t="e">
        <f t="shared" si="268"/>
        <v>#N/A</v>
      </c>
      <c r="L1258" t="e">
        <f t="shared" si="269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70"/>
        <v>0</v>
      </c>
      <c r="B1259">
        <f t="shared" si="271"/>
        <v>0</v>
      </c>
      <c r="C1259">
        <f t="shared" si="272"/>
        <v>0</v>
      </c>
      <c r="D1259">
        <f t="shared" si="273"/>
        <v>0</v>
      </c>
      <c r="E1259" t="e">
        <f t="shared" si="274"/>
        <v>#N/A</v>
      </c>
      <c r="F1259">
        <f t="shared" si="275"/>
        <v>0</v>
      </c>
      <c r="G1259">
        <f t="shared" si="276"/>
        <v>0</v>
      </c>
      <c r="H1259">
        <f t="shared" si="277"/>
        <v>0</v>
      </c>
      <c r="I1259">
        <f t="shared" si="278"/>
        <v>0</v>
      </c>
      <c r="J1259">
        <f t="shared" si="279"/>
        <v>0</v>
      </c>
      <c r="K1259" s="4" t="e">
        <f t="shared" si="268"/>
        <v>#N/A</v>
      </c>
      <c r="L1259" t="e">
        <f t="shared" si="269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70"/>
        <v>0</v>
      </c>
      <c r="B1260">
        <f t="shared" si="271"/>
        <v>0</v>
      </c>
      <c r="C1260">
        <f t="shared" si="272"/>
        <v>0</v>
      </c>
      <c r="D1260">
        <f t="shared" si="273"/>
        <v>0</v>
      </c>
      <c r="E1260" t="e">
        <f t="shared" si="274"/>
        <v>#N/A</v>
      </c>
      <c r="F1260">
        <f t="shared" si="275"/>
        <v>0</v>
      </c>
      <c r="G1260">
        <f t="shared" si="276"/>
        <v>0</v>
      </c>
      <c r="H1260">
        <f t="shared" si="277"/>
        <v>0</v>
      </c>
      <c r="I1260">
        <f t="shared" si="278"/>
        <v>0</v>
      </c>
      <c r="J1260">
        <f t="shared" si="279"/>
        <v>0</v>
      </c>
      <c r="K1260" s="4" t="e">
        <f t="shared" ref="K1260:K1323" si="282">IF(LEFT(B1260,3)="DBM",0,VLOOKUP(E1260,tabela,2,FALSE))</f>
        <v>#N/A</v>
      </c>
      <c r="L1260" t="e">
        <f t="shared" ref="L1260:L1323" si="283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70"/>
        <v>0</v>
      </c>
      <c r="B1261">
        <f t="shared" si="271"/>
        <v>0</v>
      </c>
      <c r="C1261">
        <f t="shared" si="272"/>
        <v>0</v>
      </c>
      <c r="D1261">
        <f t="shared" si="273"/>
        <v>0</v>
      </c>
      <c r="E1261" t="e">
        <f t="shared" si="274"/>
        <v>#N/A</v>
      </c>
      <c r="F1261">
        <f t="shared" si="275"/>
        <v>0</v>
      </c>
      <c r="G1261">
        <f t="shared" si="276"/>
        <v>0</v>
      </c>
      <c r="H1261">
        <f t="shared" si="277"/>
        <v>0</v>
      </c>
      <c r="I1261">
        <f t="shared" si="278"/>
        <v>0</v>
      </c>
      <c r="J1261">
        <f t="shared" si="279"/>
        <v>0</v>
      </c>
      <c r="K1261" s="4" t="e">
        <f t="shared" si="282"/>
        <v>#N/A</v>
      </c>
      <c r="L1261" t="e">
        <f t="shared" si="283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70"/>
        <v>0</v>
      </c>
      <c r="B1262">
        <f t="shared" si="271"/>
        <v>0</v>
      </c>
      <c r="C1262">
        <f t="shared" si="272"/>
        <v>0</v>
      </c>
      <c r="D1262">
        <f t="shared" si="273"/>
        <v>0</v>
      </c>
      <c r="E1262" t="e">
        <f t="shared" si="274"/>
        <v>#N/A</v>
      </c>
      <c r="F1262">
        <f t="shared" si="275"/>
        <v>0</v>
      </c>
      <c r="G1262">
        <f t="shared" si="276"/>
        <v>0</v>
      </c>
      <c r="H1262">
        <f t="shared" si="277"/>
        <v>0</v>
      </c>
      <c r="I1262">
        <f t="shared" si="278"/>
        <v>0</v>
      </c>
      <c r="J1262">
        <f t="shared" si="279"/>
        <v>0</v>
      </c>
      <c r="K1262" s="4" t="e">
        <f t="shared" si="282"/>
        <v>#N/A</v>
      </c>
      <c r="L1262" t="e">
        <f t="shared" si="283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70"/>
        <v>0</v>
      </c>
      <c r="B1263">
        <f t="shared" si="271"/>
        <v>0</v>
      </c>
      <c r="C1263">
        <f t="shared" si="272"/>
        <v>0</v>
      </c>
      <c r="D1263">
        <f t="shared" si="273"/>
        <v>0</v>
      </c>
      <c r="E1263" t="e">
        <f t="shared" si="274"/>
        <v>#N/A</v>
      </c>
      <c r="F1263">
        <f t="shared" si="275"/>
        <v>0</v>
      </c>
      <c r="G1263">
        <f t="shared" si="276"/>
        <v>0</v>
      </c>
      <c r="H1263">
        <f t="shared" si="277"/>
        <v>0</v>
      </c>
      <c r="I1263">
        <f t="shared" si="278"/>
        <v>0</v>
      </c>
      <c r="J1263">
        <f t="shared" si="279"/>
        <v>0</v>
      </c>
      <c r="K1263" s="4" t="e">
        <f t="shared" si="282"/>
        <v>#N/A</v>
      </c>
      <c r="L1263" t="e">
        <f t="shared" si="283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70"/>
        <v>0</v>
      </c>
      <c r="B1264">
        <f t="shared" si="271"/>
        <v>0</v>
      </c>
      <c r="C1264">
        <f t="shared" si="272"/>
        <v>0</v>
      </c>
      <c r="D1264">
        <f t="shared" si="273"/>
        <v>0</v>
      </c>
      <c r="E1264" t="e">
        <f t="shared" si="274"/>
        <v>#N/A</v>
      </c>
      <c r="F1264">
        <f t="shared" si="275"/>
        <v>0</v>
      </c>
      <c r="G1264">
        <f t="shared" si="276"/>
        <v>0</v>
      </c>
      <c r="H1264">
        <f t="shared" si="277"/>
        <v>0</v>
      </c>
      <c r="I1264">
        <f t="shared" si="278"/>
        <v>0</v>
      </c>
      <c r="J1264">
        <f t="shared" si="279"/>
        <v>0</v>
      </c>
      <c r="K1264" s="4" t="e">
        <f t="shared" si="282"/>
        <v>#N/A</v>
      </c>
      <c r="L1264" t="e">
        <f t="shared" si="283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70"/>
        <v>0</v>
      </c>
      <c r="B1265">
        <f t="shared" si="271"/>
        <v>0</v>
      </c>
      <c r="C1265">
        <f t="shared" si="272"/>
        <v>0</v>
      </c>
      <c r="D1265">
        <f t="shared" si="273"/>
        <v>0</v>
      </c>
      <c r="E1265" t="e">
        <f t="shared" si="274"/>
        <v>#N/A</v>
      </c>
      <c r="F1265">
        <f t="shared" si="275"/>
        <v>0</v>
      </c>
      <c r="G1265">
        <f t="shared" si="276"/>
        <v>0</v>
      </c>
      <c r="H1265">
        <f t="shared" si="277"/>
        <v>0</v>
      </c>
      <c r="I1265">
        <f t="shared" si="278"/>
        <v>0</v>
      </c>
      <c r="J1265">
        <f t="shared" si="279"/>
        <v>0</v>
      </c>
      <c r="K1265" s="4" t="e">
        <f t="shared" si="282"/>
        <v>#N/A</v>
      </c>
      <c r="L1265" t="e">
        <f t="shared" si="283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70"/>
        <v>0</v>
      </c>
      <c r="B1266">
        <f t="shared" si="271"/>
        <v>0</v>
      </c>
      <c r="C1266">
        <f t="shared" si="272"/>
        <v>0</v>
      </c>
      <c r="D1266">
        <f t="shared" si="273"/>
        <v>0</v>
      </c>
      <c r="E1266" t="e">
        <f t="shared" si="274"/>
        <v>#N/A</v>
      </c>
      <c r="F1266">
        <f t="shared" si="275"/>
        <v>0</v>
      </c>
      <c r="G1266">
        <f t="shared" si="276"/>
        <v>0</v>
      </c>
      <c r="H1266">
        <f t="shared" si="277"/>
        <v>0</v>
      </c>
      <c r="I1266">
        <f t="shared" si="278"/>
        <v>0</v>
      </c>
      <c r="J1266">
        <f t="shared" si="279"/>
        <v>0</v>
      </c>
      <c r="K1266" s="4" t="e">
        <f t="shared" si="282"/>
        <v>#N/A</v>
      </c>
      <c r="L1266" t="e">
        <f t="shared" si="283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70"/>
        <v>0</v>
      </c>
      <c r="B1267">
        <f t="shared" si="271"/>
        <v>0</v>
      </c>
      <c r="C1267">
        <f t="shared" si="272"/>
        <v>0</v>
      </c>
      <c r="D1267">
        <f t="shared" si="273"/>
        <v>0</v>
      </c>
      <c r="E1267" t="e">
        <f t="shared" si="274"/>
        <v>#N/A</v>
      </c>
      <c r="F1267">
        <f t="shared" si="275"/>
        <v>0</v>
      </c>
      <c r="G1267">
        <f t="shared" si="276"/>
        <v>0</v>
      </c>
      <c r="H1267">
        <f t="shared" si="277"/>
        <v>0</v>
      </c>
      <c r="I1267">
        <f t="shared" si="278"/>
        <v>0</v>
      </c>
      <c r="J1267">
        <f t="shared" si="279"/>
        <v>0</v>
      </c>
      <c r="K1267" s="4" t="e">
        <f t="shared" si="282"/>
        <v>#N/A</v>
      </c>
      <c r="L1267" t="e">
        <f t="shared" si="283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70"/>
        <v>0</v>
      </c>
      <c r="B1268">
        <f t="shared" si="271"/>
        <v>0</v>
      </c>
      <c r="C1268">
        <f t="shared" si="272"/>
        <v>0</v>
      </c>
      <c r="D1268">
        <f t="shared" si="273"/>
        <v>0</v>
      </c>
      <c r="E1268" t="e">
        <f t="shared" si="274"/>
        <v>#N/A</v>
      </c>
      <c r="F1268">
        <f t="shared" si="275"/>
        <v>0</v>
      </c>
      <c r="G1268">
        <f t="shared" si="276"/>
        <v>0</v>
      </c>
      <c r="H1268">
        <f t="shared" si="277"/>
        <v>0</v>
      </c>
      <c r="I1268">
        <f t="shared" si="278"/>
        <v>0</v>
      </c>
      <c r="J1268">
        <f t="shared" si="279"/>
        <v>0</v>
      </c>
      <c r="K1268" s="4" t="e">
        <f t="shared" si="282"/>
        <v>#N/A</v>
      </c>
      <c r="L1268" t="e">
        <f t="shared" si="283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70"/>
        <v>0</v>
      </c>
      <c r="B1269">
        <f t="shared" si="271"/>
        <v>0</v>
      </c>
      <c r="C1269">
        <f t="shared" si="272"/>
        <v>0</v>
      </c>
      <c r="D1269">
        <f t="shared" si="273"/>
        <v>0</v>
      </c>
      <c r="E1269" t="e">
        <f t="shared" si="274"/>
        <v>#N/A</v>
      </c>
      <c r="F1269">
        <f t="shared" si="275"/>
        <v>0</v>
      </c>
      <c r="G1269">
        <f t="shared" si="276"/>
        <v>0</v>
      </c>
      <c r="H1269">
        <f t="shared" si="277"/>
        <v>0</v>
      </c>
      <c r="I1269">
        <f t="shared" si="278"/>
        <v>0</v>
      </c>
      <c r="J1269">
        <f t="shared" si="279"/>
        <v>0</v>
      </c>
      <c r="K1269" s="4" t="e">
        <f t="shared" si="282"/>
        <v>#N/A</v>
      </c>
      <c r="L1269" t="e">
        <f t="shared" si="283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70"/>
        <v>0</v>
      </c>
      <c r="B1270">
        <f t="shared" si="271"/>
        <v>0</v>
      </c>
      <c r="C1270">
        <f t="shared" si="272"/>
        <v>0</v>
      </c>
      <c r="D1270">
        <f t="shared" si="273"/>
        <v>0</v>
      </c>
      <c r="E1270" t="e">
        <f t="shared" si="274"/>
        <v>#N/A</v>
      </c>
      <c r="F1270">
        <f t="shared" si="275"/>
        <v>0</v>
      </c>
      <c r="G1270">
        <f t="shared" si="276"/>
        <v>0</v>
      </c>
      <c r="H1270">
        <f t="shared" si="277"/>
        <v>0</v>
      </c>
      <c r="I1270">
        <f t="shared" si="278"/>
        <v>0</v>
      </c>
      <c r="J1270">
        <f t="shared" si="279"/>
        <v>0</v>
      </c>
      <c r="K1270" s="4" t="e">
        <f t="shared" si="282"/>
        <v>#N/A</v>
      </c>
      <c r="L1270" t="e">
        <f t="shared" si="283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70"/>
        <v>0</v>
      </c>
      <c r="B1271">
        <f t="shared" si="271"/>
        <v>0</v>
      </c>
      <c r="C1271">
        <f t="shared" si="272"/>
        <v>0</v>
      </c>
      <c r="D1271">
        <f t="shared" si="273"/>
        <v>0</v>
      </c>
      <c r="E1271" t="e">
        <f t="shared" si="274"/>
        <v>#N/A</v>
      </c>
      <c r="F1271">
        <f t="shared" si="275"/>
        <v>0</v>
      </c>
      <c r="G1271">
        <f t="shared" si="276"/>
        <v>0</v>
      </c>
      <c r="H1271">
        <f t="shared" si="277"/>
        <v>0</v>
      </c>
      <c r="I1271">
        <f t="shared" si="278"/>
        <v>0</v>
      </c>
      <c r="J1271">
        <f t="shared" si="279"/>
        <v>0</v>
      </c>
      <c r="K1271" s="4" t="e">
        <f t="shared" si="282"/>
        <v>#N/A</v>
      </c>
      <c r="L1271" t="e">
        <f t="shared" si="283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70"/>
        <v>0</v>
      </c>
      <c r="B1272">
        <f t="shared" si="271"/>
        <v>0</v>
      </c>
      <c r="C1272">
        <f t="shared" si="272"/>
        <v>0</v>
      </c>
      <c r="D1272">
        <f t="shared" si="273"/>
        <v>0</v>
      </c>
      <c r="E1272" t="e">
        <f t="shared" si="274"/>
        <v>#N/A</v>
      </c>
      <c r="F1272">
        <f t="shared" si="275"/>
        <v>0</v>
      </c>
      <c r="G1272">
        <f t="shared" si="276"/>
        <v>0</v>
      </c>
      <c r="H1272">
        <f t="shared" si="277"/>
        <v>0</v>
      </c>
      <c r="I1272">
        <f t="shared" si="278"/>
        <v>0</v>
      </c>
      <c r="J1272">
        <f t="shared" si="279"/>
        <v>0</v>
      </c>
      <c r="K1272" s="4" t="e">
        <f t="shared" si="282"/>
        <v>#N/A</v>
      </c>
      <c r="L1272" t="e">
        <f t="shared" si="283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70"/>
        <v>0</v>
      </c>
      <c r="B1273">
        <f t="shared" si="271"/>
        <v>0</v>
      </c>
      <c r="C1273">
        <f t="shared" si="272"/>
        <v>0</v>
      </c>
      <c r="D1273">
        <f t="shared" si="273"/>
        <v>0</v>
      </c>
      <c r="E1273" t="e">
        <f t="shared" si="274"/>
        <v>#N/A</v>
      </c>
      <c r="F1273">
        <f t="shared" si="275"/>
        <v>0</v>
      </c>
      <c r="G1273">
        <f t="shared" si="276"/>
        <v>0</v>
      </c>
      <c r="H1273">
        <f t="shared" si="277"/>
        <v>0</v>
      </c>
      <c r="I1273">
        <f t="shared" si="278"/>
        <v>0</v>
      </c>
      <c r="J1273">
        <f t="shared" si="279"/>
        <v>0</v>
      </c>
      <c r="K1273" s="4" t="e">
        <f t="shared" si="282"/>
        <v>#N/A</v>
      </c>
      <c r="L1273" t="e">
        <f t="shared" si="283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70"/>
        <v>0</v>
      </c>
      <c r="B1274">
        <f t="shared" si="271"/>
        <v>0</v>
      </c>
      <c r="C1274">
        <f t="shared" si="272"/>
        <v>0</v>
      </c>
      <c r="D1274">
        <f t="shared" si="273"/>
        <v>0</v>
      </c>
      <c r="E1274" t="e">
        <f t="shared" si="274"/>
        <v>#N/A</v>
      </c>
      <c r="F1274">
        <f t="shared" si="275"/>
        <v>0</v>
      </c>
      <c r="G1274">
        <f t="shared" si="276"/>
        <v>0</v>
      </c>
      <c r="H1274">
        <f t="shared" si="277"/>
        <v>0</v>
      </c>
      <c r="I1274">
        <f t="shared" si="278"/>
        <v>0</v>
      </c>
      <c r="J1274">
        <f t="shared" si="279"/>
        <v>0</v>
      </c>
      <c r="K1274" s="4" t="e">
        <f t="shared" si="282"/>
        <v>#N/A</v>
      </c>
      <c r="L1274" t="e">
        <f t="shared" si="283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70"/>
        <v>0</v>
      </c>
      <c r="B1275">
        <f t="shared" si="271"/>
        <v>0</v>
      </c>
      <c r="C1275">
        <f t="shared" si="272"/>
        <v>0</v>
      </c>
      <c r="D1275">
        <f t="shared" si="273"/>
        <v>0</v>
      </c>
      <c r="E1275" t="e">
        <f t="shared" si="274"/>
        <v>#N/A</v>
      </c>
      <c r="F1275">
        <f t="shared" si="275"/>
        <v>0</v>
      </c>
      <c r="G1275">
        <f t="shared" si="276"/>
        <v>0</v>
      </c>
      <c r="H1275">
        <f t="shared" si="277"/>
        <v>0</v>
      </c>
      <c r="I1275">
        <f t="shared" si="278"/>
        <v>0</v>
      </c>
      <c r="J1275">
        <f t="shared" si="279"/>
        <v>0</v>
      </c>
      <c r="K1275" s="4" t="e">
        <f t="shared" si="282"/>
        <v>#N/A</v>
      </c>
      <c r="L1275" t="e">
        <f t="shared" si="283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70"/>
        <v>0</v>
      </c>
      <c r="B1276">
        <f t="shared" si="271"/>
        <v>0</v>
      </c>
      <c r="C1276">
        <f t="shared" si="272"/>
        <v>0</v>
      </c>
      <c r="D1276">
        <f t="shared" si="273"/>
        <v>0</v>
      </c>
      <c r="E1276" t="e">
        <f t="shared" si="274"/>
        <v>#N/A</v>
      </c>
      <c r="F1276">
        <f t="shared" si="275"/>
        <v>0</v>
      </c>
      <c r="G1276">
        <f t="shared" si="276"/>
        <v>0</v>
      </c>
      <c r="H1276">
        <f t="shared" si="277"/>
        <v>0</v>
      </c>
      <c r="I1276">
        <f t="shared" si="278"/>
        <v>0</v>
      </c>
      <c r="J1276">
        <f t="shared" si="279"/>
        <v>0</v>
      </c>
      <c r="K1276" s="4" t="e">
        <f t="shared" si="282"/>
        <v>#N/A</v>
      </c>
      <c r="L1276" t="e">
        <f t="shared" si="283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70"/>
        <v>0</v>
      </c>
      <c r="B1277">
        <f t="shared" si="271"/>
        <v>0</v>
      </c>
      <c r="C1277">
        <f t="shared" si="272"/>
        <v>0</v>
      </c>
      <c r="D1277">
        <f t="shared" si="273"/>
        <v>0</v>
      </c>
      <c r="E1277" t="e">
        <f t="shared" si="274"/>
        <v>#N/A</v>
      </c>
      <c r="F1277">
        <f t="shared" si="275"/>
        <v>0</v>
      </c>
      <c r="G1277">
        <f t="shared" si="276"/>
        <v>0</v>
      </c>
      <c r="H1277">
        <f t="shared" si="277"/>
        <v>0</v>
      </c>
      <c r="I1277">
        <f t="shared" si="278"/>
        <v>0</v>
      </c>
      <c r="J1277">
        <f t="shared" si="279"/>
        <v>0</v>
      </c>
      <c r="K1277" s="4" t="e">
        <f t="shared" si="282"/>
        <v>#N/A</v>
      </c>
      <c r="L1277" t="e">
        <f t="shared" si="283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70"/>
        <v>0</v>
      </c>
      <c r="B1278">
        <f t="shared" si="271"/>
        <v>0</v>
      </c>
      <c r="C1278">
        <f t="shared" si="272"/>
        <v>0</v>
      </c>
      <c r="D1278">
        <f t="shared" si="273"/>
        <v>0</v>
      </c>
      <c r="E1278" t="e">
        <f t="shared" si="274"/>
        <v>#N/A</v>
      </c>
      <c r="F1278">
        <f t="shared" si="275"/>
        <v>0</v>
      </c>
      <c r="G1278">
        <f t="shared" si="276"/>
        <v>0</v>
      </c>
      <c r="H1278">
        <f t="shared" si="277"/>
        <v>0</v>
      </c>
      <c r="I1278">
        <f t="shared" si="278"/>
        <v>0</v>
      </c>
      <c r="J1278">
        <f t="shared" si="279"/>
        <v>0</v>
      </c>
      <c r="K1278" s="4" t="e">
        <f t="shared" si="282"/>
        <v>#N/A</v>
      </c>
      <c r="L1278" t="e">
        <f t="shared" si="283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70"/>
        <v>0</v>
      </c>
      <c r="B1279">
        <f t="shared" si="271"/>
        <v>0</v>
      </c>
      <c r="C1279">
        <f t="shared" si="272"/>
        <v>0</v>
      </c>
      <c r="D1279">
        <f t="shared" si="273"/>
        <v>0</v>
      </c>
      <c r="E1279" t="e">
        <f t="shared" si="274"/>
        <v>#N/A</v>
      </c>
      <c r="F1279">
        <f t="shared" si="275"/>
        <v>0</v>
      </c>
      <c r="G1279">
        <f t="shared" si="276"/>
        <v>0</v>
      </c>
      <c r="H1279">
        <f t="shared" si="277"/>
        <v>0</v>
      </c>
      <c r="I1279">
        <f t="shared" si="278"/>
        <v>0</v>
      </c>
      <c r="J1279">
        <f t="shared" si="279"/>
        <v>0</v>
      </c>
      <c r="K1279" s="4" t="e">
        <f t="shared" si="282"/>
        <v>#N/A</v>
      </c>
      <c r="L1279" t="e">
        <f t="shared" si="283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70"/>
        <v>0</v>
      </c>
      <c r="B1280">
        <f t="shared" si="271"/>
        <v>0</v>
      </c>
      <c r="C1280">
        <f t="shared" si="272"/>
        <v>0</v>
      </c>
      <c r="D1280">
        <f t="shared" si="273"/>
        <v>0</v>
      </c>
      <c r="E1280" t="e">
        <f t="shared" si="274"/>
        <v>#N/A</v>
      </c>
      <c r="F1280">
        <f t="shared" si="275"/>
        <v>0</v>
      </c>
      <c r="G1280">
        <f t="shared" si="276"/>
        <v>0</v>
      </c>
      <c r="H1280">
        <f t="shared" si="277"/>
        <v>0</v>
      </c>
      <c r="I1280">
        <f t="shared" si="278"/>
        <v>0</v>
      </c>
      <c r="J1280">
        <f t="shared" si="279"/>
        <v>0</v>
      </c>
      <c r="K1280" s="4" t="e">
        <f t="shared" si="282"/>
        <v>#N/A</v>
      </c>
      <c r="L1280" t="e">
        <f t="shared" si="283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70"/>
        <v>0</v>
      </c>
      <c r="B1281">
        <f t="shared" si="271"/>
        <v>0</v>
      </c>
      <c r="C1281">
        <f t="shared" si="272"/>
        <v>0</v>
      </c>
      <c r="D1281">
        <f t="shared" si="273"/>
        <v>0</v>
      </c>
      <c r="E1281" t="e">
        <f t="shared" si="274"/>
        <v>#N/A</v>
      </c>
      <c r="F1281">
        <f t="shared" si="275"/>
        <v>0</v>
      </c>
      <c r="G1281">
        <f t="shared" si="276"/>
        <v>0</v>
      </c>
      <c r="H1281">
        <f t="shared" si="277"/>
        <v>0</v>
      </c>
      <c r="I1281">
        <f t="shared" si="278"/>
        <v>0</v>
      </c>
      <c r="J1281">
        <f t="shared" si="279"/>
        <v>0</v>
      </c>
      <c r="K1281" s="4" t="e">
        <f t="shared" si="282"/>
        <v>#N/A</v>
      </c>
      <c r="L1281" t="e">
        <f t="shared" si="283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4">bd_campaign</f>
        <v>0</v>
      </c>
      <c r="B1282">
        <f t="shared" ref="B1282:B1345" si="285">bd_site</f>
        <v>0</v>
      </c>
      <c r="C1282">
        <f t="shared" ref="C1282:C1345" si="286">bd_placement</f>
        <v>0</v>
      </c>
      <c r="D1282">
        <f t="shared" ref="D1282:D1345" si="287">bd_placementID</f>
        <v>0</v>
      </c>
      <c r="E1282" t="e">
        <f t="shared" ref="E1282:E1345" si="288">VLOOKUP(CONCATENATE(bd_adtype,"_",bd_creativetype),tabela,2,FALSE)</f>
        <v>#N/A</v>
      </c>
      <c r="F1282">
        <f t="shared" ref="F1282:F1345" si="289">bd_ad</f>
        <v>0</v>
      </c>
      <c r="G1282">
        <f t="shared" ref="G1282:G1345" si="290">bd_adid</f>
        <v>0</v>
      </c>
      <c r="H1282">
        <f t="shared" ref="H1282:H1345" si="291">bd_creativetype</f>
        <v>0</v>
      </c>
      <c r="I1282">
        <f t="shared" ref="I1282:I1345" si="292">bd_impression</f>
        <v>0</v>
      </c>
      <c r="J1282">
        <f t="shared" ref="J1282:J1345" si="293">bd_clicks</f>
        <v>0</v>
      </c>
      <c r="K1282" s="4" t="e">
        <f t="shared" si="282"/>
        <v>#N/A</v>
      </c>
      <c r="L1282" t="e">
        <f t="shared" si="283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4"/>
        <v>0</v>
      </c>
      <c r="B1283">
        <f t="shared" si="285"/>
        <v>0</v>
      </c>
      <c r="C1283">
        <f t="shared" si="286"/>
        <v>0</v>
      </c>
      <c r="D1283">
        <f t="shared" si="287"/>
        <v>0</v>
      </c>
      <c r="E1283" t="e">
        <f t="shared" si="288"/>
        <v>#N/A</v>
      </c>
      <c r="F1283">
        <f t="shared" si="289"/>
        <v>0</v>
      </c>
      <c r="G1283">
        <f t="shared" si="290"/>
        <v>0</v>
      </c>
      <c r="H1283">
        <f t="shared" si="291"/>
        <v>0</v>
      </c>
      <c r="I1283">
        <f t="shared" si="292"/>
        <v>0</v>
      </c>
      <c r="J1283">
        <f t="shared" si="293"/>
        <v>0</v>
      </c>
      <c r="K1283" s="4" t="e">
        <f t="shared" si="282"/>
        <v>#N/A</v>
      </c>
      <c r="L1283" t="e">
        <f t="shared" si="283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4"/>
        <v>0</v>
      </c>
      <c r="B1284">
        <f t="shared" si="285"/>
        <v>0</v>
      </c>
      <c r="C1284">
        <f t="shared" si="286"/>
        <v>0</v>
      </c>
      <c r="D1284">
        <f t="shared" si="287"/>
        <v>0</v>
      </c>
      <c r="E1284" t="e">
        <f t="shared" si="288"/>
        <v>#N/A</v>
      </c>
      <c r="F1284">
        <f t="shared" si="289"/>
        <v>0</v>
      </c>
      <c r="G1284">
        <f t="shared" si="290"/>
        <v>0</v>
      </c>
      <c r="H1284">
        <f t="shared" si="291"/>
        <v>0</v>
      </c>
      <c r="I1284">
        <f t="shared" si="292"/>
        <v>0</v>
      </c>
      <c r="J1284">
        <f t="shared" si="293"/>
        <v>0</v>
      </c>
      <c r="K1284" s="4" t="e">
        <f t="shared" si="282"/>
        <v>#N/A</v>
      </c>
      <c r="L1284" t="e">
        <f t="shared" si="283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4"/>
        <v>0</v>
      </c>
      <c r="B1285">
        <f t="shared" si="285"/>
        <v>0</v>
      </c>
      <c r="C1285">
        <f t="shared" si="286"/>
        <v>0</v>
      </c>
      <c r="D1285">
        <f t="shared" si="287"/>
        <v>0</v>
      </c>
      <c r="E1285" t="e">
        <f t="shared" si="288"/>
        <v>#N/A</v>
      </c>
      <c r="F1285">
        <f t="shared" si="289"/>
        <v>0</v>
      </c>
      <c r="G1285">
        <f t="shared" si="290"/>
        <v>0</v>
      </c>
      <c r="H1285">
        <f t="shared" si="291"/>
        <v>0</v>
      </c>
      <c r="I1285">
        <f t="shared" si="292"/>
        <v>0</v>
      </c>
      <c r="J1285">
        <f t="shared" si="293"/>
        <v>0</v>
      </c>
      <c r="K1285" s="4" t="e">
        <f t="shared" si="282"/>
        <v>#N/A</v>
      </c>
      <c r="L1285" t="e">
        <f t="shared" si="283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4"/>
        <v>0</v>
      </c>
      <c r="B1286">
        <f t="shared" si="285"/>
        <v>0</v>
      </c>
      <c r="C1286">
        <f t="shared" si="286"/>
        <v>0</v>
      </c>
      <c r="D1286">
        <f t="shared" si="287"/>
        <v>0</v>
      </c>
      <c r="E1286" t="e">
        <f t="shared" si="288"/>
        <v>#N/A</v>
      </c>
      <c r="F1286">
        <f t="shared" si="289"/>
        <v>0</v>
      </c>
      <c r="G1286">
        <f t="shared" si="290"/>
        <v>0</v>
      </c>
      <c r="H1286">
        <f t="shared" si="291"/>
        <v>0</v>
      </c>
      <c r="I1286">
        <f t="shared" si="292"/>
        <v>0</v>
      </c>
      <c r="J1286">
        <f t="shared" si="293"/>
        <v>0</v>
      </c>
      <c r="K1286" s="4" t="e">
        <f t="shared" si="282"/>
        <v>#N/A</v>
      </c>
      <c r="L1286" t="e">
        <f t="shared" si="283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4"/>
        <v>0</v>
      </c>
      <c r="B1287">
        <f t="shared" si="285"/>
        <v>0</v>
      </c>
      <c r="C1287">
        <f t="shared" si="286"/>
        <v>0</v>
      </c>
      <c r="D1287">
        <f t="shared" si="287"/>
        <v>0</v>
      </c>
      <c r="E1287" t="e">
        <f t="shared" si="288"/>
        <v>#N/A</v>
      </c>
      <c r="F1287">
        <f t="shared" si="289"/>
        <v>0</v>
      </c>
      <c r="G1287">
        <f t="shared" si="290"/>
        <v>0</v>
      </c>
      <c r="H1287">
        <f t="shared" si="291"/>
        <v>0</v>
      </c>
      <c r="I1287">
        <f t="shared" si="292"/>
        <v>0</v>
      </c>
      <c r="J1287">
        <f t="shared" si="293"/>
        <v>0</v>
      </c>
      <c r="K1287" s="4" t="e">
        <f t="shared" si="282"/>
        <v>#N/A</v>
      </c>
      <c r="L1287" t="e">
        <f t="shared" si="283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4"/>
        <v>0</v>
      </c>
      <c r="B1288">
        <f t="shared" si="285"/>
        <v>0</v>
      </c>
      <c r="C1288">
        <f t="shared" si="286"/>
        <v>0</v>
      </c>
      <c r="D1288">
        <f t="shared" si="287"/>
        <v>0</v>
      </c>
      <c r="E1288" t="e">
        <f t="shared" si="288"/>
        <v>#N/A</v>
      </c>
      <c r="F1288">
        <f t="shared" si="289"/>
        <v>0</v>
      </c>
      <c r="G1288">
        <f t="shared" si="290"/>
        <v>0</v>
      </c>
      <c r="H1288">
        <f t="shared" si="291"/>
        <v>0</v>
      </c>
      <c r="I1288">
        <f t="shared" si="292"/>
        <v>0</v>
      </c>
      <c r="J1288">
        <f t="shared" si="293"/>
        <v>0</v>
      </c>
      <c r="K1288" s="4" t="e">
        <f t="shared" si="282"/>
        <v>#N/A</v>
      </c>
      <c r="L1288" t="e">
        <f t="shared" si="283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4"/>
        <v>0</v>
      </c>
      <c r="B1289">
        <f t="shared" si="285"/>
        <v>0</v>
      </c>
      <c r="C1289">
        <f t="shared" si="286"/>
        <v>0</v>
      </c>
      <c r="D1289">
        <f t="shared" si="287"/>
        <v>0</v>
      </c>
      <c r="E1289" t="e">
        <f t="shared" si="288"/>
        <v>#N/A</v>
      </c>
      <c r="F1289">
        <f t="shared" si="289"/>
        <v>0</v>
      </c>
      <c r="G1289">
        <f t="shared" si="290"/>
        <v>0</v>
      </c>
      <c r="H1289">
        <f t="shared" si="291"/>
        <v>0</v>
      </c>
      <c r="I1289">
        <f t="shared" si="292"/>
        <v>0</v>
      </c>
      <c r="J1289">
        <f t="shared" si="293"/>
        <v>0</v>
      </c>
      <c r="K1289" s="4" t="e">
        <f t="shared" si="282"/>
        <v>#N/A</v>
      </c>
      <c r="L1289" t="e">
        <f t="shared" si="283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4"/>
        <v>0</v>
      </c>
      <c r="B1290">
        <f t="shared" si="285"/>
        <v>0</v>
      </c>
      <c r="C1290">
        <f t="shared" si="286"/>
        <v>0</v>
      </c>
      <c r="D1290">
        <f t="shared" si="287"/>
        <v>0</v>
      </c>
      <c r="E1290" t="e">
        <f t="shared" si="288"/>
        <v>#N/A</v>
      </c>
      <c r="F1290">
        <f t="shared" si="289"/>
        <v>0</v>
      </c>
      <c r="G1290">
        <f t="shared" si="290"/>
        <v>0</v>
      </c>
      <c r="H1290">
        <f t="shared" si="291"/>
        <v>0</v>
      </c>
      <c r="I1290">
        <f t="shared" si="292"/>
        <v>0</v>
      </c>
      <c r="J1290">
        <f t="shared" si="293"/>
        <v>0</v>
      </c>
      <c r="K1290" s="4" t="e">
        <f t="shared" si="282"/>
        <v>#N/A</v>
      </c>
      <c r="L1290" t="e">
        <f t="shared" si="283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4"/>
        <v>0</v>
      </c>
      <c r="B1291">
        <f t="shared" si="285"/>
        <v>0</v>
      </c>
      <c r="C1291">
        <f t="shared" si="286"/>
        <v>0</v>
      </c>
      <c r="D1291">
        <f t="shared" si="287"/>
        <v>0</v>
      </c>
      <c r="E1291" t="e">
        <f t="shared" si="288"/>
        <v>#N/A</v>
      </c>
      <c r="F1291">
        <f t="shared" si="289"/>
        <v>0</v>
      </c>
      <c r="G1291">
        <f t="shared" si="290"/>
        <v>0</v>
      </c>
      <c r="H1291">
        <f t="shared" si="291"/>
        <v>0</v>
      </c>
      <c r="I1291">
        <f t="shared" si="292"/>
        <v>0</v>
      </c>
      <c r="J1291">
        <f t="shared" si="293"/>
        <v>0</v>
      </c>
      <c r="K1291" s="4" t="e">
        <f t="shared" si="282"/>
        <v>#N/A</v>
      </c>
      <c r="L1291" t="e">
        <f t="shared" si="283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4"/>
        <v>0</v>
      </c>
      <c r="B1292">
        <f t="shared" si="285"/>
        <v>0</v>
      </c>
      <c r="C1292">
        <f t="shared" si="286"/>
        <v>0</v>
      </c>
      <c r="D1292">
        <f t="shared" si="287"/>
        <v>0</v>
      </c>
      <c r="E1292" t="e">
        <f t="shared" si="288"/>
        <v>#N/A</v>
      </c>
      <c r="F1292">
        <f t="shared" si="289"/>
        <v>0</v>
      </c>
      <c r="G1292">
        <f t="shared" si="290"/>
        <v>0</v>
      </c>
      <c r="H1292">
        <f t="shared" si="291"/>
        <v>0</v>
      </c>
      <c r="I1292">
        <f t="shared" si="292"/>
        <v>0</v>
      </c>
      <c r="J1292">
        <f t="shared" si="293"/>
        <v>0</v>
      </c>
      <c r="K1292" s="4" t="e">
        <f t="shared" si="282"/>
        <v>#N/A</v>
      </c>
      <c r="L1292" t="e">
        <f t="shared" si="283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4"/>
        <v>0</v>
      </c>
      <c r="B1293">
        <f t="shared" si="285"/>
        <v>0</v>
      </c>
      <c r="C1293">
        <f t="shared" si="286"/>
        <v>0</v>
      </c>
      <c r="D1293">
        <f t="shared" si="287"/>
        <v>0</v>
      </c>
      <c r="E1293" t="e">
        <f t="shared" si="288"/>
        <v>#N/A</v>
      </c>
      <c r="F1293">
        <f t="shared" si="289"/>
        <v>0</v>
      </c>
      <c r="G1293">
        <f t="shared" si="290"/>
        <v>0</v>
      </c>
      <c r="H1293">
        <f t="shared" si="291"/>
        <v>0</v>
      </c>
      <c r="I1293">
        <f t="shared" si="292"/>
        <v>0</v>
      </c>
      <c r="J1293">
        <f t="shared" si="293"/>
        <v>0</v>
      </c>
      <c r="K1293" s="4" t="e">
        <f t="shared" si="282"/>
        <v>#N/A</v>
      </c>
      <c r="L1293" t="e">
        <f t="shared" si="283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4"/>
        <v>0</v>
      </c>
      <c r="B1294">
        <f t="shared" si="285"/>
        <v>0</v>
      </c>
      <c r="C1294">
        <f t="shared" si="286"/>
        <v>0</v>
      </c>
      <c r="D1294">
        <f t="shared" si="287"/>
        <v>0</v>
      </c>
      <c r="E1294" t="e">
        <f t="shared" si="288"/>
        <v>#N/A</v>
      </c>
      <c r="F1294">
        <f t="shared" si="289"/>
        <v>0</v>
      </c>
      <c r="G1294">
        <f t="shared" si="290"/>
        <v>0</v>
      </c>
      <c r="H1294">
        <f t="shared" si="291"/>
        <v>0</v>
      </c>
      <c r="I1294">
        <f t="shared" si="292"/>
        <v>0</v>
      </c>
      <c r="J1294">
        <f t="shared" si="293"/>
        <v>0</v>
      </c>
      <c r="K1294" s="4" t="e">
        <f t="shared" si="282"/>
        <v>#N/A</v>
      </c>
      <c r="L1294" t="e">
        <f t="shared" si="283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4"/>
        <v>0</v>
      </c>
      <c r="B1295">
        <f t="shared" si="285"/>
        <v>0</v>
      </c>
      <c r="C1295">
        <f t="shared" si="286"/>
        <v>0</v>
      </c>
      <c r="D1295">
        <f t="shared" si="287"/>
        <v>0</v>
      </c>
      <c r="E1295" t="e">
        <f t="shared" si="288"/>
        <v>#N/A</v>
      </c>
      <c r="F1295">
        <f t="shared" si="289"/>
        <v>0</v>
      </c>
      <c r="G1295">
        <f t="shared" si="290"/>
        <v>0</v>
      </c>
      <c r="H1295">
        <f t="shared" si="291"/>
        <v>0</v>
      </c>
      <c r="I1295">
        <f t="shared" si="292"/>
        <v>0</v>
      </c>
      <c r="J1295">
        <f t="shared" si="293"/>
        <v>0</v>
      </c>
      <c r="K1295" s="4" t="e">
        <f t="shared" si="282"/>
        <v>#N/A</v>
      </c>
      <c r="L1295" t="e">
        <f t="shared" si="283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4"/>
        <v>0</v>
      </c>
      <c r="B1296">
        <f t="shared" si="285"/>
        <v>0</v>
      </c>
      <c r="C1296">
        <f t="shared" si="286"/>
        <v>0</v>
      </c>
      <c r="D1296">
        <f t="shared" si="287"/>
        <v>0</v>
      </c>
      <c r="E1296" t="e">
        <f t="shared" si="288"/>
        <v>#N/A</v>
      </c>
      <c r="F1296">
        <f t="shared" si="289"/>
        <v>0</v>
      </c>
      <c r="G1296">
        <f t="shared" si="290"/>
        <v>0</v>
      </c>
      <c r="H1296">
        <f t="shared" si="291"/>
        <v>0</v>
      </c>
      <c r="I1296">
        <f t="shared" si="292"/>
        <v>0</v>
      </c>
      <c r="J1296">
        <f t="shared" si="293"/>
        <v>0</v>
      </c>
      <c r="K1296" s="4" t="e">
        <f t="shared" si="282"/>
        <v>#N/A</v>
      </c>
      <c r="L1296" t="e">
        <f t="shared" si="283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4"/>
        <v>0</v>
      </c>
      <c r="B1297">
        <f t="shared" si="285"/>
        <v>0</v>
      </c>
      <c r="C1297">
        <f t="shared" si="286"/>
        <v>0</v>
      </c>
      <c r="D1297">
        <f t="shared" si="287"/>
        <v>0</v>
      </c>
      <c r="E1297" t="e">
        <f t="shared" si="288"/>
        <v>#N/A</v>
      </c>
      <c r="F1297">
        <f t="shared" si="289"/>
        <v>0</v>
      </c>
      <c r="G1297">
        <f t="shared" si="290"/>
        <v>0</v>
      </c>
      <c r="H1297">
        <f t="shared" si="291"/>
        <v>0</v>
      </c>
      <c r="I1297">
        <f t="shared" si="292"/>
        <v>0</v>
      </c>
      <c r="J1297">
        <f t="shared" si="293"/>
        <v>0</v>
      </c>
      <c r="K1297" s="4" t="e">
        <f t="shared" si="282"/>
        <v>#N/A</v>
      </c>
      <c r="L1297" t="e">
        <f t="shared" si="283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4"/>
        <v>0</v>
      </c>
      <c r="B1298">
        <f t="shared" si="285"/>
        <v>0</v>
      </c>
      <c r="C1298">
        <f t="shared" si="286"/>
        <v>0</v>
      </c>
      <c r="D1298">
        <f t="shared" si="287"/>
        <v>0</v>
      </c>
      <c r="E1298" t="e">
        <f t="shared" si="288"/>
        <v>#N/A</v>
      </c>
      <c r="F1298">
        <f t="shared" si="289"/>
        <v>0</v>
      </c>
      <c r="G1298">
        <f t="shared" si="290"/>
        <v>0</v>
      </c>
      <c r="H1298">
        <f t="shared" si="291"/>
        <v>0</v>
      </c>
      <c r="I1298">
        <f t="shared" si="292"/>
        <v>0</v>
      </c>
      <c r="J1298">
        <f t="shared" si="293"/>
        <v>0</v>
      </c>
      <c r="K1298" s="4" t="e">
        <f t="shared" si="282"/>
        <v>#N/A</v>
      </c>
      <c r="L1298" t="e">
        <f t="shared" si="283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4"/>
        <v>0</v>
      </c>
      <c r="B1299">
        <f t="shared" si="285"/>
        <v>0</v>
      </c>
      <c r="C1299">
        <f t="shared" si="286"/>
        <v>0</v>
      </c>
      <c r="D1299">
        <f t="shared" si="287"/>
        <v>0</v>
      </c>
      <c r="E1299" t="e">
        <f t="shared" si="288"/>
        <v>#N/A</v>
      </c>
      <c r="F1299">
        <f t="shared" si="289"/>
        <v>0</v>
      </c>
      <c r="G1299">
        <f t="shared" si="290"/>
        <v>0</v>
      </c>
      <c r="H1299">
        <f t="shared" si="291"/>
        <v>0</v>
      </c>
      <c r="I1299">
        <f t="shared" si="292"/>
        <v>0</v>
      </c>
      <c r="J1299">
        <f t="shared" si="293"/>
        <v>0</v>
      </c>
      <c r="K1299" s="4" t="e">
        <f t="shared" si="282"/>
        <v>#N/A</v>
      </c>
      <c r="L1299" t="e">
        <f t="shared" si="283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4"/>
        <v>0</v>
      </c>
      <c r="B1300">
        <f t="shared" si="285"/>
        <v>0</v>
      </c>
      <c r="C1300">
        <f t="shared" si="286"/>
        <v>0</v>
      </c>
      <c r="D1300">
        <f t="shared" si="287"/>
        <v>0</v>
      </c>
      <c r="E1300" t="e">
        <f t="shared" si="288"/>
        <v>#N/A</v>
      </c>
      <c r="F1300">
        <f t="shared" si="289"/>
        <v>0</v>
      </c>
      <c r="G1300">
        <f t="shared" si="290"/>
        <v>0</v>
      </c>
      <c r="H1300">
        <f t="shared" si="291"/>
        <v>0</v>
      </c>
      <c r="I1300">
        <f t="shared" si="292"/>
        <v>0</v>
      </c>
      <c r="J1300">
        <f t="shared" si="293"/>
        <v>0</v>
      </c>
      <c r="K1300" s="4" t="e">
        <f t="shared" si="282"/>
        <v>#N/A</v>
      </c>
      <c r="L1300" t="e">
        <f t="shared" si="283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4"/>
        <v>0</v>
      </c>
      <c r="B1301">
        <f t="shared" si="285"/>
        <v>0</v>
      </c>
      <c r="C1301">
        <f t="shared" si="286"/>
        <v>0</v>
      </c>
      <c r="D1301">
        <f t="shared" si="287"/>
        <v>0</v>
      </c>
      <c r="E1301" t="e">
        <f t="shared" si="288"/>
        <v>#N/A</v>
      </c>
      <c r="F1301">
        <f t="shared" si="289"/>
        <v>0</v>
      </c>
      <c r="G1301">
        <f t="shared" si="290"/>
        <v>0</v>
      </c>
      <c r="H1301">
        <f t="shared" si="291"/>
        <v>0</v>
      </c>
      <c r="I1301">
        <f t="shared" si="292"/>
        <v>0</v>
      </c>
      <c r="J1301">
        <f t="shared" si="293"/>
        <v>0</v>
      </c>
      <c r="K1301" s="4" t="e">
        <f t="shared" si="282"/>
        <v>#N/A</v>
      </c>
      <c r="L1301" t="e">
        <f t="shared" si="283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4"/>
        <v>0</v>
      </c>
      <c r="B1302">
        <f t="shared" si="285"/>
        <v>0</v>
      </c>
      <c r="C1302">
        <f t="shared" si="286"/>
        <v>0</v>
      </c>
      <c r="D1302">
        <f t="shared" si="287"/>
        <v>0</v>
      </c>
      <c r="E1302" t="e">
        <f t="shared" si="288"/>
        <v>#N/A</v>
      </c>
      <c r="F1302">
        <f t="shared" si="289"/>
        <v>0</v>
      </c>
      <c r="G1302">
        <f t="shared" si="290"/>
        <v>0</v>
      </c>
      <c r="H1302">
        <f t="shared" si="291"/>
        <v>0</v>
      </c>
      <c r="I1302">
        <f t="shared" si="292"/>
        <v>0</v>
      </c>
      <c r="J1302">
        <f t="shared" si="293"/>
        <v>0</v>
      </c>
      <c r="K1302" s="4" t="e">
        <f t="shared" si="282"/>
        <v>#N/A</v>
      </c>
      <c r="L1302" t="e">
        <f t="shared" si="283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4"/>
        <v>0</v>
      </c>
      <c r="B1303">
        <f t="shared" si="285"/>
        <v>0</v>
      </c>
      <c r="C1303">
        <f t="shared" si="286"/>
        <v>0</v>
      </c>
      <c r="D1303">
        <f t="shared" si="287"/>
        <v>0</v>
      </c>
      <c r="E1303" t="e">
        <f t="shared" si="288"/>
        <v>#N/A</v>
      </c>
      <c r="F1303">
        <f t="shared" si="289"/>
        <v>0</v>
      </c>
      <c r="G1303">
        <f t="shared" si="290"/>
        <v>0</v>
      </c>
      <c r="H1303">
        <f t="shared" si="291"/>
        <v>0</v>
      </c>
      <c r="I1303">
        <f t="shared" si="292"/>
        <v>0</v>
      </c>
      <c r="J1303">
        <f t="shared" si="293"/>
        <v>0</v>
      </c>
      <c r="K1303" s="4" t="e">
        <f t="shared" si="282"/>
        <v>#N/A</v>
      </c>
      <c r="L1303" t="e">
        <f t="shared" si="283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4"/>
        <v>0</v>
      </c>
      <c r="B1304">
        <f t="shared" si="285"/>
        <v>0</v>
      </c>
      <c r="C1304">
        <f t="shared" si="286"/>
        <v>0</v>
      </c>
      <c r="D1304">
        <f t="shared" si="287"/>
        <v>0</v>
      </c>
      <c r="E1304" t="e">
        <f t="shared" si="288"/>
        <v>#N/A</v>
      </c>
      <c r="F1304">
        <f t="shared" si="289"/>
        <v>0</v>
      </c>
      <c r="G1304">
        <f t="shared" si="290"/>
        <v>0</v>
      </c>
      <c r="H1304">
        <f t="shared" si="291"/>
        <v>0</v>
      </c>
      <c r="I1304">
        <f t="shared" si="292"/>
        <v>0</v>
      </c>
      <c r="J1304">
        <f t="shared" si="293"/>
        <v>0</v>
      </c>
      <c r="K1304" s="4" t="e">
        <f t="shared" si="282"/>
        <v>#N/A</v>
      </c>
      <c r="L1304" t="e">
        <f t="shared" si="283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4"/>
        <v>0</v>
      </c>
      <c r="B1305">
        <f t="shared" si="285"/>
        <v>0</v>
      </c>
      <c r="C1305">
        <f t="shared" si="286"/>
        <v>0</v>
      </c>
      <c r="D1305">
        <f t="shared" si="287"/>
        <v>0</v>
      </c>
      <c r="E1305" t="e">
        <f t="shared" si="288"/>
        <v>#N/A</v>
      </c>
      <c r="F1305">
        <f t="shared" si="289"/>
        <v>0</v>
      </c>
      <c r="G1305">
        <f t="shared" si="290"/>
        <v>0</v>
      </c>
      <c r="H1305">
        <f t="shared" si="291"/>
        <v>0</v>
      </c>
      <c r="I1305">
        <f t="shared" si="292"/>
        <v>0</v>
      </c>
      <c r="J1305">
        <f t="shared" si="293"/>
        <v>0</v>
      </c>
      <c r="K1305" s="4" t="e">
        <f t="shared" si="282"/>
        <v>#N/A</v>
      </c>
      <c r="L1305" t="e">
        <f t="shared" si="283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4"/>
        <v>0</v>
      </c>
      <c r="B1306">
        <f t="shared" si="285"/>
        <v>0</v>
      </c>
      <c r="C1306">
        <f t="shared" si="286"/>
        <v>0</v>
      </c>
      <c r="D1306">
        <f t="shared" si="287"/>
        <v>0</v>
      </c>
      <c r="E1306" t="e">
        <f t="shared" si="288"/>
        <v>#N/A</v>
      </c>
      <c r="F1306">
        <f t="shared" si="289"/>
        <v>0</v>
      </c>
      <c r="G1306">
        <f t="shared" si="290"/>
        <v>0</v>
      </c>
      <c r="H1306">
        <f t="shared" si="291"/>
        <v>0</v>
      </c>
      <c r="I1306">
        <f t="shared" si="292"/>
        <v>0</v>
      </c>
      <c r="J1306">
        <f t="shared" si="293"/>
        <v>0</v>
      </c>
      <c r="K1306" s="4" t="e">
        <f t="shared" si="282"/>
        <v>#N/A</v>
      </c>
      <c r="L1306" t="e">
        <f t="shared" si="283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4"/>
        <v>0</v>
      </c>
      <c r="B1307">
        <f t="shared" si="285"/>
        <v>0</v>
      </c>
      <c r="C1307">
        <f t="shared" si="286"/>
        <v>0</v>
      </c>
      <c r="D1307">
        <f t="shared" si="287"/>
        <v>0</v>
      </c>
      <c r="E1307" t="e">
        <f t="shared" si="288"/>
        <v>#N/A</v>
      </c>
      <c r="F1307">
        <f t="shared" si="289"/>
        <v>0</v>
      </c>
      <c r="G1307">
        <f t="shared" si="290"/>
        <v>0</v>
      </c>
      <c r="H1307">
        <f t="shared" si="291"/>
        <v>0</v>
      </c>
      <c r="I1307">
        <f t="shared" si="292"/>
        <v>0</v>
      </c>
      <c r="J1307">
        <f t="shared" si="293"/>
        <v>0</v>
      </c>
      <c r="K1307" s="4" t="e">
        <f t="shared" si="282"/>
        <v>#N/A</v>
      </c>
      <c r="L1307" t="e">
        <f t="shared" si="283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4"/>
        <v>0</v>
      </c>
      <c r="B1308">
        <f t="shared" si="285"/>
        <v>0</v>
      </c>
      <c r="C1308">
        <f t="shared" si="286"/>
        <v>0</v>
      </c>
      <c r="D1308">
        <f t="shared" si="287"/>
        <v>0</v>
      </c>
      <c r="E1308" t="e">
        <f t="shared" si="288"/>
        <v>#N/A</v>
      </c>
      <c r="F1308">
        <f t="shared" si="289"/>
        <v>0</v>
      </c>
      <c r="G1308">
        <f t="shared" si="290"/>
        <v>0</v>
      </c>
      <c r="H1308">
        <f t="shared" si="291"/>
        <v>0</v>
      </c>
      <c r="I1308">
        <f t="shared" si="292"/>
        <v>0</v>
      </c>
      <c r="J1308">
        <f t="shared" si="293"/>
        <v>0</v>
      </c>
      <c r="K1308" s="4" t="e">
        <f t="shared" si="282"/>
        <v>#N/A</v>
      </c>
      <c r="L1308" t="e">
        <f t="shared" si="283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4"/>
        <v>0</v>
      </c>
      <c r="B1309">
        <f t="shared" si="285"/>
        <v>0</v>
      </c>
      <c r="C1309">
        <f t="shared" si="286"/>
        <v>0</v>
      </c>
      <c r="D1309">
        <f t="shared" si="287"/>
        <v>0</v>
      </c>
      <c r="E1309" t="e">
        <f t="shared" si="288"/>
        <v>#N/A</v>
      </c>
      <c r="F1309">
        <f t="shared" si="289"/>
        <v>0</v>
      </c>
      <c r="G1309">
        <f t="shared" si="290"/>
        <v>0</v>
      </c>
      <c r="H1309">
        <f t="shared" si="291"/>
        <v>0</v>
      </c>
      <c r="I1309">
        <f t="shared" si="292"/>
        <v>0</v>
      </c>
      <c r="J1309">
        <f t="shared" si="293"/>
        <v>0</v>
      </c>
      <c r="K1309" s="4" t="e">
        <f t="shared" si="282"/>
        <v>#N/A</v>
      </c>
      <c r="L1309" t="e">
        <f t="shared" si="283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4"/>
        <v>0</v>
      </c>
      <c r="B1310">
        <f t="shared" si="285"/>
        <v>0</v>
      </c>
      <c r="C1310">
        <f t="shared" si="286"/>
        <v>0</v>
      </c>
      <c r="D1310">
        <f t="shared" si="287"/>
        <v>0</v>
      </c>
      <c r="E1310" t="e">
        <f t="shared" si="288"/>
        <v>#N/A</v>
      </c>
      <c r="F1310">
        <f t="shared" si="289"/>
        <v>0</v>
      </c>
      <c r="G1310">
        <f t="shared" si="290"/>
        <v>0</v>
      </c>
      <c r="H1310">
        <f t="shared" si="291"/>
        <v>0</v>
      </c>
      <c r="I1310">
        <f t="shared" si="292"/>
        <v>0</v>
      </c>
      <c r="J1310">
        <f t="shared" si="293"/>
        <v>0</v>
      </c>
      <c r="K1310" s="4" t="e">
        <f t="shared" si="282"/>
        <v>#N/A</v>
      </c>
      <c r="L1310" t="e">
        <f t="shared" si="283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4"/>
        <v>0</v>
      </c>
      <c r="B1311">
        <f t="shared" si="285"/>
        <v>0</v>
      </c>
      <c r="C1311">
        <f t="shared" si="286"/>
        <v>0</v>
      </c>
      <c r="D1311">
        <f t="shared" si="287"/>
        <v>0</v>
      </c>
      <c r="E1311" t="e">
        <f t="shared" si="288"/>
        <v>#N/A</v>
      </c>
      <c r="F1311">
        <f t="shared" si="289"/>
        <v>0</v>
      </c>
      <c r="G1311">
        <f t="shared" si="290"/>
        <v>0</v>
      </c>
      <c r="H1311">
        <f t="shared" si="291"/>
        <v>0</v>
      </c>
      <c r="I1311">
        <f t="shared" si="292"/>
        <v>0</v>
      </c>
      <c r="J1311">
        <f t="shared" si="293"/>
        <v>0</v>
      </c>
      <c r="K1311" s="4" t="e">
        <f t="shared" si="282"/>
        <v>#N/A</v>
      </c>
      <c r="L1311" t="e">
        <f t="shared" si="283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4"/>
        <v>0</v>
      </c>
      <c r="B1312">
        <f t="shared" si="285"/>
        <v>0</v>
      </c>
      <c r="C1312">
        <f t="shared" si="286"/>
        <v>0</v>
      </c>
      <c r="D1312">
        <f t="shared" si="287"/>
        <v>0</v>
      </c>
      <c r="E1312" t="e">
        <f t="shared" si="288"/>
        <v>#N/A</v>
      </c>
      <c r="F1312">
        <f t="shared" si="289"/>
        <v>0</v>
      </c>
      <c r="G1312">
        <f t="shared" si="290"/>
        <v>0</v>
      </c>
      <c r="H1312">
        <f t="shared" si="291"/>
        <v>0</v>
      </c>
      <c r="I1312">
        <f t="shared" si="292"/>
        <v>0</v>
      </c>
      <c r="J1312">
        <f t="shared" si="293"/>
        <v>0</v>
      </c>
      <c r="K1312" s="4" t="e">
        <f t="shared" si="282"/>
        <v>#N/A</v>
      </c>
      <c r="L1312" t="e">
        <f t="shared" si="283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4"/>
        <v>0</v>
      </c>
      <c r="B1313">
        <f t="shared" si="285"/>
        <v>0</v>
      </c>
      <c r="C1313">
        <f t="shared" si="286"/>
        <v>0</v>
      </c>
      <c r="D1313">
        <f t="shared" si="287"/>
        <v>0</v>
      </c>
      <c r="E1313" t="e">
        <f t="shared" si="288"/>
        <v>#N/A</v>
      </c>
      <c r="F1313">
        <f t="shared" si="289"/>
        <v>0</v>
      </c>
      <c r="G1313">
        <f t="shared" si="290"/>
        <v>0</v>
      </c>
      <c r="H1313">
        <f t="shared" si="291"/>
        <v>0</v>
      </c>
      <c r="I1313">
        <f t="shared" si="292"/>
        <v>0</v>
      </c>
      <c r="J1313">
        <f t="shared" si="293"/>
        <v>0</v>
      </c>
      <c r="K1313" s="4" t="e">
        <f t="shared" si="282"/>
        <v>#N/A</v>
      </c>
      <c r="L1313" t="e">
        <f t="shared" si="283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4"/>
        <v>0</v>
      </c>
      <c r="B1314">
        <f t="shared" si="285"/>
        <v>0</v>
      </c>
      <c r="C1314">
        <f t="shared" si="286"/>
        <v>0</v>
      </c>
      <c r="D1314">
        <f t="shared" si="287"/>
        <v>0</v>
      </c>
      <c r="E1314" t="e">
        <f t="shared" si="288"/>
        <v>#N/A</v>
      </c>
      <c r="F1314">
        <f t="shared" si="289"/>
        <v>0</v>
      </c>
      <c r="G1314">
        <f t="shared" si="290"/>
        <v>0</v>
      </c>
      <c r="H1314">
        <f t="shared" si="291"/>
        <v>0</v>
      </c>
      <c r="I1314">
        <f t="shared" si="292"/>
        <v>0</v>
      </c>
      <c r="J1314">
        <f t="shared" si="293"/>
        <v>0</v>
      </c>
      <c r="K1314" s="4" t="e">
        <f t="shared" si="282"/>
        <v>#N/A</v>
      </c>
      <c r="L1314" t="e">
        <f t="shared" si="283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4"/>
        <v>0</v>
      </c>
      <c r="B1315">
        <f t="shared" si="285"/>
        <v>0</v>
      </c>
      <c r="C1315">
        <f t="shared" si="286"/>
        <v>0</v>
      </c>
      <c r="D1315">
        <f t="shared" si="287"/>
        <v>0</v>
      </c>
      <c r="E1315" t="e">
        <f t="shared" si="288"/>
        <v>#N/A</v>
      </c>
      <c r="F1315">
        <f t="shared" si="289"/>
        <v>0</v>
      </c>
      <c r="G1315">
        <f t="shared" si="290"/>
        <v>0</v>
      </c>
      <c r="H1315">
        <f t="shared" si="291"/>
        <v>0</v>
      </c>
      <c r="I1315">
        <f t="shared" si="292"/>
        <v>0</v>
      </c>
      <c r="J1315">
        <f t="shared" si="293"/>
        <v>0</v>
      </c>
      <c r="K1315" s="4" t="e">
        <f t="shared" si="282"/>
        <v>#N/A</v>
      </c>
      <c r="L1315" t="e">
        <f t="shared" si="283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4"/>
        <v>0</v>
      </c>
      <c r="B1316">
        <f t="shared" si="285"/>
        <v>0</v>
      </c>
      <c r="C1316">
        <f t="shared" si="286"/>
        <v>0</v>
      </c>
      <c r="D1316">
        <f t="shared" si="287"/>
        <v>0</v>
      </c>
      <c r="E1316" t="e">
        <f t="shared" si="288"/>
        <v>#N/A</v>
      </c>
      <c r="F1316">
        <f t="shared" si="289"/>
        <v>0</v>
      </c>
      <c r="G1316">
        <f t="shared" si="290"/>
        <v>0</v>
      </c>
      <c r="H1316">
        <f t="shared" si="291"/>
        <v>0</v>
      </c>
      <c r="I1316">
        <f t="shared" si="292"/>
        <v>0</v>
      </c>
      <c r="J1316">
        <f t="shared" si="293"/>
        <v>0</v>
      </c>
      <c r="K1316" s="4" t="e">
        <f t="shared" si="282"/>
        <v>#N/A</v>
      </c>
      <c r="L1316" t="e">
        <f t="shared" si="283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4"/>
        <v>0</v>
      </c>
      <c r="B1317">
        <f t="shared" si="285"/>
        <v>0</v>
      </c>
      <c r="C1317">
        <f t="shared" si="286"/>
        <v>0</v>
      </c>
      <c r="D1317">
        <f t="shared" si="287"/>
        <v>0</v>
      </c>
      <c r="E1317" t="e">
        <f t="shared" si="288"/>
        <v>#N/A</v>
      </c>
      <c r="F1317">
        <f t="shared" si="289"/>
        <v>0</v>
      </c>
      <c r="G1317">
        <f t="shared" si="290"/>
        <v>0</v>
      </c>
      <c r="H1317">
        <f t="shared" si="291"/>
        <v>0</v>
      </c>
      <c r="I1317">
        <f t="shared" si="292"/>
        <v>0</v>
      </c>
      <c r="J1317">
        <f t="shared" si="293"/>
        <v>0</v>
      </c>
      <c r="K1317" s="4" t="e">
        <f t="shared" si="282"/>
        <v>#N/A</v>
      </c>
      <c r="L1317" t="e">
        <f t="shared" si="283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4"/>
        <v>0</v>
      </c>
      <c r="B1318">
        <f t="shared" si="285"/>
        <v>0</v>
      </c>
      <c r="C1318">
        <f t="shared" si="286"/>
        <v>0</v>
      </c>
      <c r="D1318">
        <f t="shared" si="287"/>
        <v>0</v>
      </c>
      <c r="E1318" t="e">
        <f t="shared" si="288"/>
        <v>#N/A</v>
      </c>
      <c r="F1318">
        <f t="shared" si="289"/>
        <v>0</v>
      </c>
      <c r="G1318">
        <f t="shared" si="290"/>
        <v>0</v>
      </c>
      <c r="H1318">
        <f t="shared" si="291"/>
        <v>0</v>
      </c>
      <c r="I1318">
        <f t="shared" si="292"/>
        <v>0</v>
      </c>
      <c r="J1318">
        <f t="shared" si="293"/>
        <v>0</v>
      </c>
      <c r="K1318" s="4" t="e">
        <f t="shared" si="282"/>
        <v>#N/A</v>
      </c>
      <c r="L1318" t="e">
        <f t="shared" si="283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4"/>
        <v>0</v>
      </c>
      <c r="B1319">
        <f t="shared" si="285"/>
        <v>0</v>
      </c>
      <c r="C1319">
        <f t="shared" si="286"/>
        <v>0</v>
      </c>
      <c r="D1319">
        <f t="shared" si="287"/>
        <v>0</v>
      </c>
      <c r="E1319" t="e">
        <f t="shared" si="288"/>
        <v>#N/A</v>
      </c>
      <c r="F1319">
        <f t="shared" si="289"/>
        <v>0</v>
      </c>
      <c r="G1319">
        <f t="shared" si="290"/>
        <v>0</v>
      </c>
      <c r="H1319">
        <f t="shared" si="291"/>
        <v>0</v>
      </c>
      <c r="I1319">
        <f t="shared" si="292"/>
        <v>0</v>
      </c>
      <c r="J1319">
        <f t="shared" si="293"/>
        <v>0</v>
      </c>
      <c r="K1319" s="4" t="e">
        <f t="shared" si="282"/>
        <v>#N/A</v>
      </c>
      <c r="L1319" t="e">
        <f t="shared" si="283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4"/>
        <v>0</v>
      </c>
      <c r="B1320">
        <f t="shared" si="285"/>
        <v>0</v>
      </c>
      <c r="C1320">
        <f t="shared" si="286"/>
        <v>0</v>
      </c>
      <c r="D1320">
        <f t="shared" si="287"/>
        <v>0</v>
      </c>
      <c r="E1320" t="e">
        <f t="shared" si="288"/>
        <v>#N/A</v>
      </c>
      <c r="F1320">
        <f t="shared" si="289"/>
        <v>0</v>
      </c>
      <c r="G1320">
        <f t="shared" si="290"/>
        <v>0</v>
      </c>
      <c r="H1320">
        <f t="shared" si="291"/>
        <v>0</v>
      </c>
      <c r="I1320">
        <f t="shared" si="292"/>
        <v>0</v>
      </c>
      <c r="J1320">
        <f t="shared" si="293"/>
        <v>0</v>
      </c>
      <c r="K1320" s="4" t="e">
        <f t="shared" si="282"/>
        <v>#N/A</v>
      </c>
      <c r="L1320" t="e">
        <f t="shared" si="283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4"/>
        <v>0</v>
      </c>
      <c r="B1321">
        <f t="shared" si="285"/>
        <v>0</v>
      </c>
      <c r="C1321">
        <f t="shared" si="286"/>
        <v>0</v>
      </c>
      <c r="D1321">
        <f t="shared" si="287"/>
        <v>0</v>
      </c>
      <c r="E1321" t="e">
        <f t="shared" si="288"/>
        <v>#N/A</v>
      </c>
      <c r="F1321">
        <f t="shared" si="289"/>
        <v>0</v>
      </c>
      <c r="G1321">
        <f t="shared" si="290"/>
        <v>0</v>
      </c>
      <c r="H1321">
        <f t="shared" si="291"/>
        <v>0</v>
      </c>
      <c r="I1321">
        <f t="shared" si="292"/>
        <v>0</v>
      </c>
      <c r="J1321">
        <f t="shared" si="293"/>
        <v>0</v>
      </c>
      <c r="K1321" s="4" t="e">
        <f t="shared" si="282"/>
        <v>#N/A</v>
      </c>
      <c r="L1321" t="e">
        <f t="shared" si="283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4"/>
        <v>0</v>
      </c>
      <c r="B1322">
        <f t="shared" si="285"/>
        <v>0</v>
      </c>
      <c r="C1322">
        <f t="shared" si="286"/>
        <v>0</v>
      </c>
      <c r="D1322">
        <f t="shared" si="287"/>
        <v>0</v>
      </c>
      <c r="E1322" t="e">
        <f t="shared" si="288"/>
        <v>#N/A</v>
      </c>
      <c r="F1322">
        <f t="shared" si="289"/>
        <v>0</v>
      </c>
      <c r="G1322">
        <f t="shared" si="290"/>
        <v>0</v>
      </c>
      <c r="H1322">
        <f t="shared" si="291"/>
        <v>0</v>
      </c>
      <c r="I1322">
        <f t="shared" si="292"/>
        <v>0</v>
      </c>
      <c r="J1322">
        <f t="shared" si="293"/>
        <v>0</v>
      </c>
      <c r="K1322" s="4" t="e">
        <f t="shared" si="282"/>
        <v>#N/A</v>
      </c>
      <c r="L1322" t="e">
        <f t="shared" si="283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4"/>
        <v>0</v>
      </c>
      <c r="B1323">
        <f t="shared" si="285"/>
        <v>0</v>
      </c>
      <c r="C1323">
        <f t="shared" si="286"/>
        <v>0</v>
      </c>
      <c r="D1323">
        <f t="shared" si="287"/>
        <v>0</v>
      </c>
      <c r="E1323" t="e">
        <f t="shared" si="288"/>
        <v>#N/A</v>
      </c>
      <c r="F1323">
        <f t="shared" si="289"/>
        <v>0</v>
      </c>
      <c r="G1323">
        <f t="shared" si="290"/>
        <v>0</v>
      </c>
      <c r="H1323">
        <f t="shared" si="291"/>
        <v>0</v>
      </c>
      <c r="I1323">
        <f t="shared" si="292"/>
        <v>0</v>
      </c>
      <c r="J1323">
        <f t="shared" si="293"/>
        <v>0</v>
      </c>
      <c r="K1323" s="4" t="e">
        <f t="shared" si="282"/>
        <v>#N/A</v>
      </c>
      <c r="L1323" t="e">
        <f t="shared" si="283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4"/>
        <v>0</v>
      </c>
      <c r="B1324">
        <f t="shared" si="285"/>
        <v>0</v>
      </c>
      <c r="C1324">
        <f t="shared" si="286"/>
        <v>0</v>
      </c>
      <c r="D1324">
        <f t="shared" si="287"/>
        <v>0</v>
      </c>
      <c r="E1324" t="e">
        <f t="shared" si="288"/>
        <v>#N/A</v>
      </c>
      <c r="F1324">
        <f t="shared" si="289"/>
        <v>0</v>
      </c>
      <c r="G1324">
        <f t="shared" si="290"/>
        <v>0</v>
      </c>
      <c r="H1324">
        <f t="shared" si="291"/>
        <v>0</v>
      </c>
      <c r="I1324">
        <f t="shared" si="292"/>
        <v>0</v>
      </c>
      <c r="J1324">
        <f t="shared" si="293"/>
        <v>0</v>
      </c>
      <c r="K1324" s="4" t="e">
        <f t="shared" ref="K1324:K1387" si="296">IF(LEFT(B1324,3)="DBM",0,VLOOKUP(E1324,tabela,2,FALSE))</f>
        <v>#N/A</v>
      </c>
      <c r="L1324" t="e">
        <f t="shared" ref="L1324:L1387" si="297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4"/>
        <v>0</v>
      </c>
      <c r="B1325">
        <f t="shared" si="285"/>
        <v>0</v>
      </c>
      <c r="C1325">
        <f t="shared" si="286"/>
        <v>0</v>
      </c>
      <c r="D1325">
        <f t="shared" si="287"/>
        <v>0</v>
      </c>
      <c r="E1325" t="e">
        <f t="shared" si="288"/>
        <v>#N/A</v>
      </c>
      <c r="F1325">
        <f t="shared" si="289"/>
        <v>0</v>
      </c>
      <c r="G1325">
        <f t="shared" si="290"/>
        <v>0</v>
      </c>
      <c r="H1325">
        <f t="shared" si="291"/>
        <v>0</v>
      </c>
      <c r="I1325">
        <f t="shared" si="292"/>
        <v>0</v>
      </c>
      <c r="J1325">
        <f t="shared" si="293"/>
        <v>0</v>
      </c>
      <c r="K1325" s="4" t="e">
        <f t="shared" si="296"/>
        <v>#N/A</v>
      </c>
      <c r="L1325" t="e">
        <f t="shared" si="297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4"/>
        <v>0</v>
      </c>
      <c r="B1326">
        <f t="shared" si="285"/>
        <v>0</v>
      </c>
      <c r="C1326">
        <f t="shared" si="286"/>
        <v>0</v>
      </c>
      <c r="D1326">
        <f t="shared" si="287"/>
        <v>0</v>
      </c>
      <c r="E1326" t="e">
        <f t="shared" si="288"/>
        <v>#N/A</v>
      </c>
      <c r="F1326">
        <f t="shared" si="289"/>
        <v>0</v>
      </c>
      <c r="G1326">
        <f t="shared" si="290"/>
        <v>0</v>
      </c>
      <c r="H1326">
        <f t="shared" si="291"/>
        <v>0</v>
      </c>
      <c r="I1326">
        <f t="shared" si="292"/>
        <v>0</v>
      </c>
      <c r="J1326">
        <f t="shared" si="293"/>
        <v>0</v>
      </c>
      <c r="K1326" s="4" t="e">
        <f t="shared" si="296"/>
        <v>#N/A</v>
      </c>
      <c r="L1326" t="e">
        <f t="shared" si="297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4"/>
        <v>0</v>
      </c>
      <c r="B1327">
        <f t="shared" si="285"/>
        <v>0</v>
      </c>
      <c r="C1327">
        <f t="shared" si="286"/>
        <v>0</v>
      </c>
      <c r="D1327">
        <f t="shared" si="287"/>
        <v>0</v>
      </c>
      <c r="E1327" t="e">
        <f t="shared" si="288"/>
        <v>#N/A</v>
      </c>
      <c r="F1327">
        <f t="shared" si="289"/>
        <v>0</v>
      </c>
      <c r="G1327">
        <f t="shared" si="290"/>
        <v>0</v>
      </c>
      <c r="H1327">
        <f t="shared" si="291"/>
        <v>0</v>
      </c>
      <c r="I1327">
        <f t="shared" si="292"/>
        <v>0</v>
      </c>
      <c r="J1327">
        <f t="shared" si="293"/>
        <v>0</v>
      </c>
      <c r="K1327" s="4" t="e">
        <f t="shared" si="296"/>
        <v>#N/A</v>
      </c>
      <c r="L1327" t="e">
        <f t="shared" si="297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4"/>
        <v>0</v>
      </c>
      <c r="B1328">
        <f t="shared" si="285"/>
        <v>0</v>
      </c>
      <c r="C1328">
        <f t="shared" si="286"/>
        <v>0</v>
      </c>
      <c r="D1328">
        <f t="shared" si="287"/>
        <v>0</v>
      </c>
      <c r="E1328" t="e">
        <f t="shared" si="288"/>
        <v>#N/A</v>
      </c>
      <c r="F1328">
        <f t="shared" si="289"/>
        <v>0</v>
      </c>
      <c r="G1328">
        <f t="shared" si="290"/>
        <v>0</v>
      </c>
      <c r="H1328">
        <f t="shared" si="291"/>
        <v>0</v>
      </c>
      <c r="I1328">
        <f t="shared" si="292"/>
        <v>0</v>
      </c>
      <c r="J1328">
        <f t="shared" si="293"/>
        <v>0</v>
      </c>
      <c r="K1328" s="4" t="e">
        <f t="shared" si="296"/>
        <v>#N/A</v>
      </c>
      <c r="L1328" t="e">
        <f t="shared" si="297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4"/>
        <v>0</v>
      </c>
      <c r="B1329">
        <f t="shared" si="285"/>
        <v>0</v>
      </c>
      <c r="C1329">
        <f t="shared" si="286"/>
        <v>0</v>
      </c>
      <c r="D1329">
        <f t="shared" si="287"/>
        <v>0</v>
      </c>
      <c r="E1329" t="e">
        <f t="shared" si="288"/>
        <v>#N/A</v>
      </c>
      <c r="F1329">
        <f t="shared" si="289"/>
        <v>0</v>
      </c>
      <c r="G1329">
        <f t="shared" si="290"/>
        <v>0</v>
      </c>
      <c r="H1329">
        <f t="shared" si="291"/>
        <v>0</v>
      </c>
      <c r="I1329">
        <f t="shared" si="292"/>
        <v>0</v>
      </c>
      <c r="J1329">
        <f t="shared" si="293"/>
        <v>0</v>
      </c>
      <c r="K1329" s="4" t="e">
        <f t="shared" si="296"/>
        <v>#N/A</v>
      </c>
      <c r="L1329" t="e">
        <f t="shared" si="297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4"/>
        <v>0</v>
      </c>
      <c r="B1330">
        <f t="shared" si="285"/>
        <v>0</v>
      </c>
      <c r="C1330">
        <f t="shared" si="286"/>
        <v>0</v>
      </c>
      <c r="D1330">
        <f t="shared" si="287"/>
        <v>0</v>
      </c>
      <c r="E1330" t="e">
        <f t="shared" si="288"/>
        <v>#N/A</v>
      </c>
      <c r="F1330">
        <f t="shared" si="289"/>
        <v>0</v>
      </c>
      <c r="G1330">
        <f t="shared" si="290"/>
        <v>0</v>
      </c>
      <c r="H1330">
        <f t="shared" si="291"/>
        <v>0</v>
      </c>
      <c r="I1330">
        <f t="shared" si="292"/>
        <v>0</v>
      </c>
      <c r="J1330">
        <f t="shared" si="293"/>
        <v>0</v>
      </c>
      <c r="K1330" s="4" t="e">
        <f t="shared" si="296"/>
        <v>#N/A</v>
      </c>
      <c r="L1330" t="e">
        <f t="shared" si="297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4"/>
        <v>0</v>
      </c>
      <c r="B1331">
        <f t="shared" si="285"/>
        <v>0</v>
      </c>
      <c r="C1331">
        <f t="shared" si="286"/>
        <v>0</v>
      </c>
      <c r="D1331">
        <f t="shared" si="287"/>
        <v>0</v>
      </c>
      <c r="E1331" t="e">
        <f t="shared" si="288"/>
        <v>#N/A</v>
      </c>
      <c r="F1331">
        <f t="shared" si="289"/>
        <v>0</v>
      </c>
      <c r="G1331">
        <f t="shared" si="290"/>
        <v>0</v>
      </c>
      <c r="H1331">
        <f t="shared" si="291"/>
        <v>0</v>
      </c>
      <c r="I1331">
        <f t="shared" si="292"/>
        <v>0</v>
      </c>
      <c r="J1331">
        <f t="shared" si="293"/>
        <v>0</v>
      </c>
      <c r="K1331" s="4" t="e">
        <f t="shared" si="296"/>
        <v>#N/A</v>
      </c>
      <c r="L1331" t="e">
        <f t="shared" si="297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4"/>
        <v>0</v>
      </c>
      <c r="B1332">
        <f t="shared" si="285"/>
        <v>0</v>
      </c>
      <c r="C1332">
        <f t="shared" si="286"/>
        <v>0</v>
      </c>
      <c r="D1332">
        <f t="shared" si="287"/>
        <v>0</v>
      </c>
      <c r="E1332" t="e">
        <f t="shared" si="288"/>
        <v>#N/A</v>
      </c>
      <c r="F1332">
        <f t="shared" si="289"/>
        <v>0</v>
      </c>
      <c r="G1332">
        <f t="shared" si="290"/>
        <v>0</v>
      </c>
      <c r="H1332">
        <f t="shared" si="291"/>
        <v>0</v>
      </c>
      <c r="I1332">
        <f t="shared" si="292"/>
        <v>0</v>
      </c>
      <c r="J1332">
        <f t="shared" si="293"/>
        <v>0</v>
      </c>
      <c r="K1332" s="4" t="e">
        <f t="shared" si="296"/>
        <v>#N/A</v>
      </c>
      <c r="L1332" t="e">
        <f t="shared" si="297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4"/>
        <v>0</v>
      </c>
      <c r="B1333">
        <f t="shared" si="285"/>
        <v>0</v>
      </c>
      <c r="C1333">
        <f t="shared" si="286"/>
        <v>0</v>
      </c>
      <c r="D1333">
        <f t="shared" si="287"/>
        <v>0</v>
      </c>
      <c r="E1333" t="e">
        <f t="shared" si="288"/>
        <v>#N/A</v>
      </c>
      <c r="F1333">
        <f t="shared" si="289"/>
        <v>0</v>
      </c>
      <c r="G1333">
        <f t="shared" si="290"/>
        <v>0</v>
      </c>
      <c r="H1333">
        <f t="shared" si="291"/>
        <v>0</v>
      </c>
      <c r="I1333">
        <f t="shared" si="292"/>
        <v>0</v>
      </c>
      <c r="J1333">
        <f t="shared" si="293"/>
        <v>0</v>
      </c>
      <c r="K1333" s="4" t="e">
        <f t="shared" si="296"/>
        <v>#N/A</v>
      </c>
      <c r="L1333" t="e">
        <f t="shared" si="297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4"/>
        <v>0</v>
      </c>
      <c r="B1334">
        <f t="shared" si="285"/>
        <v>0</v>
      </c>
      <c r="C1334">
        <f t="shared" si="286"/>
        <v>0</v>
      </c>
      <c r="D1334">
        <f t="shared" si="287"/>
        <v>0</v>
      </c>
      <c r="E1334" t="e">
        <f t="shared" si="288"/>
        <v>#N/A</v>
      </c>
      <c r="F1334">
        <f t="shared" si="289"/>
        <v>0</v>
      </c>
      <c r="G1334">
        <f t="shared" si="290"/>
        <v>0</v>
      </c>
      <c r="H1334">
        <f t="shared" si="291"/>
        <v>0</v>
      </c>
      <c r="I1334">
        <f t="shared" si="292"/>
        <v>0</v>
      </c>
      <c r="J1334">
        <f t="shared" si="293"/>
        <v>0</v>
      </c>
      <c r="K1334" s="4" t="e">
        <f t="shared" si="296"/>
        <v>#N/A</v>
      </c>
      <c r="L1334" t="e">
        <f t="shared" si="297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4"/>
        <v>0</v>
      </c>
      <c r="B1335">
        <f t="shared" si="285"/>
        <v>0</v>
      </c>
      <c r="C1335">
        <f t="shared" si="286"/>
        <v>0</v>
      </c>
      <c r="D1335">
        <f t="shared" si="287"/>
        <v>0</v>
      </c>
      <c r="E1335" t="e">
        <f t="shared" si="288"/>
        <v>#N/A</v>
      </c>
      <c r="F1335">
        <f t="shared" si="289"/>
        <v>0</v>
      </c>
      <c r="G1335">
        <f t="shared" si="290"/>
        <v>0</v>
      </c>
      <c r="H1335">
        <f t="shared" si="291"/>
        <v>0</v>
      </c>
      <c r="I1335">
        <f t="shared" si="292"/>
        <v>0</v>
      </c>
      <c r="J1335">
        <f t="shared" si="293"/>
        <v>0</v>
      </c>
      <c r="K1335" s="4" t="e">
        <f t="shared" si="296"/>
        <v>#N/A</v>
      </c>
      <c r="L1335" t="e">
        <f t="shared" si="297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4"/>
        <v>0</v>
      </c>
      <c r="B1336">
        <f t="shared" si="285"/>
        <v>0</v>
      </c>
      <c r="C1336">
        <f t="shared" si="286"/>
        <v>0</v>
      </c>
      <c r="D1336">
        <f t="shared" si="287"/>
        <v>0</v>
      </c>
      <c r="E1336" t="e">
        <f t="shared" si="288"/>
        <v>#N/A</v>
      </c>
      <c r="F1336">
        <f t="shared" si="289"/>
        <v>0</v>
      </c>
      <c r="G1336">
        <f t="shared" si="290"/>
        <v>0</v>
      </c>
      <c r="H1336">
        <f t="shared" si="291"/>
        <v>0</v>
      </c>
      <c r="I1336">
        <f t="shared" si="292"/>
        <v>0</v>
      </c>
      <c r="J1336">
        <f t="shared" si="293"/>
        <v>0</v>
      </c>
      <c r="K1336" s="4" t="e">
        <f t="shared" si="296"/>
        <v>#N/A</v>
      </c>
      <c r="L1336" t="e">
        <f t="shared" si="297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4"/>
        <v>0</v>
      </c>
      <c r="B1337">
        <f t="shared" si="285"/>
        <v>0</v>
      </c>
      <c r="C1337">
        <f t="shared" si="286"/>
        <v>0</v>
      </c>
      <c r="D1337">
        <f t="shared" si="287"/>
        <v>0</v>
      </c>
      <c r="E1337" t="e">
        <f t="shared" si="288"/>
        <v>#N/A</v>
      </c>
      <c r="F1337">
        <f t="shared" si="289"/>
        <v>0</v>
      </c>
      <c r="G1337">
        <f t="shared" si="290"/>
        <v>0</v>
      </c>
      <c r="H1337">
        <f t="shared" si="291"/>
        <v>0</v>
      </c>
      <c r="I1337">
        <f t="shared" si="292"/>
        <v>0</v>
      </c>
      <c r="J1337">
        <f t="shared" si="293"/>
        <v>0</v>
      </c>
      <c r="K1337" s="4" t="e">
        <f t="shared" si="296"/>
        <v>#N/A</v>
      </c>
      <c r="L1337" t="e">
        <f t="shared" si="297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4"/>
        <v>0</v>
      </c>
      <c r="B1338">
        <f t="shared" si="285"/>
        <v>0</v>
      </c>
      <c r="C1338">
        <f t="shared" si="286"/>
        <v>0</v>
      </c>
      <c r="D1338">
        <f t="shared" si="287"/>
        <v>0</v>
      </c>
      <c r="E1338" t="e">
        <f t="shared" si="288"/>
        <v>#N/A</v>
      </c>
      <c r="F1338">
        <f t="shared" si="289"/>
        <v>0</v>
      </c>
      <c r="G1338">
        <f t="shared" si="290"/>
        <v>0</v>
      </c>
      <c r="H1338">
        <f t="shared" si="291"/>
        <v>0</v>
      </c>
      <c r="I1338">
        <f t="shared" si="292"/>
        <v>0</v>
      </c>
      <c r="J1338">
        <f t="shared" si="293"/>
        <v>0</v>
      </c>
      <c r="K1338" s="4" t="e">
        <f t="shared" si="296"/>
        <v>#N/A</v>
      </c>
      <c r="L1338" t="e">
        <f t="shared" si="297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4"/>
        <v>0</v>
      </c>
      <c r="B1339">
        <f t="shared" si="285"/>
        <v>0</v>
      </c>
      <c r="C1339">
        <f t="shared" si="286"/>
        <v>0</v>
      </c>
      <c r="D1339">
        <f t="shared" si="287"/>
        <v>0</v>
      </c>
      <c r="E1339" t="e">
        <f t="shared" si="288"/>
        <v>#N/A</v>
      </c>
      <c r="F1339">
        <f t="shared" si="289"/>
        <v>0</v>
      </c>
      <c r="G1339">
        <f t="shared" si="290"/>
        <v>0</v>
      </c>
      <c r="H1339">
        <f t="shared" si="291"/>
        <v>0</v>
      </c>
      <c r="I1339">
        <f t="shared" si="292"/>
        <v>0</v>
      </c>
      <c r="J1339">
        <f t="shared" si="293"/>
        <v>0</v>
      </c>
      <c r="K1339" s="4" t="e">
        <f t="shared" si="296"/>
        <v>#N/A</v>
      </c>
      <c r="L1339" t="e">
        <f t="shared" si="297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4"/>
        <v>0</v>
      </c>
      <c r="B1340">
        <f t="shared" si="285"/>
        <v>0</v>
      </c>
      <c r="C1340">
        <f t="shared" si="286"/>
        <v>0</v>
      </c>
      <c r="D1340">
        <f t="shared" si="287"/>
        <v>0</v>
      </c>
      <c r="E1340" t="e">
        <f t="shared" si="288"/>
        <v>#N/A</v>
      </c>
      <c r="F1340">
        <f t="shared" si="289"/>
        <v>0</v>
      </c>
      <c r="G1340">
        <f t="shared" si="290"/>
        <v>0</v>
      </c>
      <c r="H1340">
        <f t="shared" si="291"/>
        <v>0</v>
      </c>
      <c r="I1340">
        <f t="shared" si="292"/>
        <v>0</v>
      </c>
      <c r="J1340">
        <f t="shared" si="293"/>
        <v>0</v>
      </c>
      <c r="K1340" s="4" t="e">
        <f t="shared" si="296"/>
        <v>#N/A</v>
      </c>
      <c r="L1340" t="e">
        <f t="shared" si="297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4"/>
        <v>0</v>
      </c>
      <c r="B1341">
        <f t="shared" si="285"/>
        <v>0</v>
      </c>
      <c r="C1341">
        <f t="shared" si="286"/>
        <v>0</v>
      </c>
      <c r="D1341">
        <f t="shared" si="287"/>
        <v>0</v>
      </c>
      <c r="E1341" t="e">
        <f t="shared" si="288"/>
        <v>#N/A</v>
      </c>
      <c r="F1341">
        <f t="shared" si="289"/>
        <v>0</v>
      </c>
      <c r="G1341">
        <f t="shared" si="290"/>
        <v>0</v>
      </c>
      <c r="H1341">
        <f t="shared" si="291"/>
        <v>0</v>
      </c>
      <c r="I1341">
        <f t="shared" si="292"/>
        <v>0</v>
      </c>
      <c r="J1341">
        <f t="shared" si="293"/>
        <v>0</v>
      </c>
      <c r="K1341" s="4" t="e">
        <f t="shared" si="296"/>
        <v>#N/A</v>
      </c>
      <c r="L1341" t="e">
        <f t="shared" si="297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4"/>
        <v>0</v>
      </c>
      <c r="B1342">
        <f t="shared" si="285"/>
        <v>0</v>
      </c>
      <c r="C1342">
        <f t="shared" si="286"/>
        <v>0</v>
      </c>
      <c r="D1342">
        <f t="shared" si="287"/>
        <v>0</v>
      </c>
      <c r="E1342" t="e">
        <f t="shared" si="288"/>
        <v>#N/A</v>
      </c>
      <c r="F1342">
        <f t="shared" si="289"/>
        <v>0</v>
      </c>
      <c r="G1342">
        <f t="shared" si="290"/>
        <v>0</v>
      </c>
      <c r="H1342">
        <f t="shared" si="291"/>
        <v>0</v>
      </c>
      <c r="I1342">
        <f t="shared" si="292"/>
        <v>0</v>
      </c>
      <c r="J1342">
        <f t="shared" si="293"/>
        <v>0</v>
      </c>
      <c r="K1342" s="4" t="e">
        <f t="shared" si="296"/>
        <v>#N/A</v>
      </c>
      <c r="L1342" t="e">
        <f t="shared" si="297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4"/>
        <v>0</v>
      </c>
      <c r="B1343">
        <f t="shared" si="285"/>
        <v>0</v>
      </c>
      <c r="C1343">
        <f t="shared" si="286"/>
        <v>0</v>
      </c>
      <c r="D1343">
        <f t="shared" si="287"/>
        <v>0</v>
      </c>
      <c r="E1343" t="e">
        <f t="shared" si="288"/>
        <v>#N/A</v>
      </c>
      <c r="F1343">
        <f t="shared" si="289"/>
        <v>0</v>
      </c>
      <c r="G1343">
        <f t="shared" si="290"/>
        <v>0</v>
      </c>
      <c r="H1343">
        <f t="shared" si="291"/>
        <v>0</v>
      </c>
      <c r="I1343">
        <f t="shared" si="292"/>
        <v>0</v>
      </c>
      <c r="J1343">
        <f t="shared" si="293"/>
        <v>0</v>
      </c>
      <c r="K1343" s="4" t="e">
        <f t="shared" si="296"/>
        <v>#N/A</v>
      </c>
      <c r="L1343" t="e">
        <f t="shared" si="297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4"/>
        <v>0</v>
      </c>
      <c r="B1344">
        <f t="shared" si="285"/>
        <v>0</v>
      </c>
      <c r="C1344">
        <f t="shared" si="286"/>
        <v>0</v>
      </c>
      <c r="D1344">
        <f t="shared" si="287"/>
        <v>0</v>
      </c>
      <c r="E1344" t="e">
        <f t="shared" si="288"/>
        <v>#N/A</v>
      </c>
      <c r="F1344">
        <f t="shared" si="289"/>
        <v>0</v>
      </c>
      <c r="G1344">
        <f t="shared" si="290"/>
        <v>0</v>
      </c>
      <c r="H1344">
        <f t="shared" si="291"/>
        <v>0</v>
      </c>
      <c r="I1344">
        <f t="shared" si="292"/>
        <v>0</v>
      </c>
      <c r="J1344">
        <f t="shared" si="293"/>
        <v>0</v>
      </c>
      <c r="K1344" s="4" t="e">
        <f t="shared" si="296"/>
        <v>#N/A</v>
      </c>
      <c r="L1344" t="e">
        <f t="shared" si="297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4"/>
        <v>0</v>
      </c>
      <c r="B1345">
        <f t="shared" si="285"/>
        <v>0</v>
      </c>
      <c r="C1345">
        <f t="shared" si="286"/>
        <v>0</v>
      </c>
      <c r="D1345">
        <f t="shared" si="287"/>
        <v>0</v>
      </c>
      <c r="E1345" t="e">
        <f t="shared" si="288"/>
        <v>#N/A</v>
      </c>
      <c r="F1345">
        <f t="shared" si="289"/>
        <v>0</v>
      </c>
      <c r="G1345">
        <f t="shared" si="290"/>
        <v>0</v>
      </c>
      <c r="H1345">
        <f t="shared" si="291"/>
        <v>0</v>
      </c>
      <c r="I1345">
        <f t="shared" si="292"/>
        <v>0</v>
      </c>
      <c r="J1345">
        <f t="shared" si="293"/>
        <v>0</v>
      </c>
      <c r="K1345" s="4" t="e">
        <f t="shared" si="296"/>
        <v>#N/A</v>
      </c>
      <c r="L1345" t="e">
        <f t="shared" si="297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8">bd_campaign</f>
        <v>0</v>
      </c>
      <c r="B1346">
        <f t="shared" ref="B1346:B1409" si="299">bd_site</f>
        <v>0</v>
      </c>
      <c r="C1346">
        <f t="shared" ref="C1346:C1409" si="300">bd_placement</f>
        <v>0</v>
      </c>
      <c r="D1346">
        <f t="shared" ref="D1346:D1409" si="301">bd_placementID</f>
        <v>0</v>
      </c>
      <c r="E1346" t="e">
        <f t="shared" ref="E1346:E1409" si="302">VLOOKUP(CONCATENATE(bd_adtype,"_",bd_creativetype),tabela,2,FALSE)</f>
        <v>#N/A</v>
      </c>
      <c r="F1346">
        <f t="shared" ref="F1346:F1409" si="303">bd_ad</f>
        <v>0</v>
      </c>
      <c r="G1346">
        <f t="shared" ref="G1346:G1409" si="304">bd_adid</f>
        <v>0</v>
      </c>
      <c r="H1346">
        <f t="shared" ref="H1346:H1409" si="305">bd_creativetype</f>
        <v>0</v>
      </c>
      <c r="I1346">
        <f t="shared" ref="I1346:I1409" si="306">bd_impression</f>
        <v>0</v>
      </c>
      <c r="J1346">
        <f t="shared" ref="J1346:J1409" si="307">bd_clicks</f>
        <v>0</v>
      </c>
      <c r="K1346" s="4" t="e">
        <f t="shared" si="296"/>
        <v>#N/A</v>
      </c>
      <c r="L1346" t="e">
        <f t="shared" si="297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8"/>
        <v>0</v>
      </c>
      <c r="B1347">
        <f t="shared" si="299"/>
        <v>0</v>
      </c>
      <c r="C1347">
        <f t="shared" si="300"/>
        <v>0</v>
      </c>
      <c r="D1347">
        <f t="shared" si="301"/>
        <v>0</v>
      </c>
      <c r="E1347" t="e">
        <f t="shared" si="302"/>
        <v>#N/A</v>
      </c>
      <c r="F1347">
        <f t="shared" si="303"/>
        <v>0</v>
      </c>
      <c r="G1347">
        <f t="shared" si="304"/>
        <v>0</v>
      </c>
      <c r="H1347">
        <f t="shared" si="305"/>
        <v>0</v>
      </c>
      <c r="I1347">
        <f t="shared" si="306"/>
        <v>0</v>
      </c>
      <c r="J1347">
        <f t="shared" si="307"/>
        <v>0</v>
      </c>
      <c r="K1347" s="4" t="e">
        <f t="shared" si="296"/>
        <v>#N/A</v>
      </c>
      <c r="L1347" t="e">
        <f t="shared" si="297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8"/>
        <v>0</v>
      </c>
      <c r="B1348">
        <f t="shared" si="299"/>
        <v>0</v>
      </c>
      <c r="C1348">
        <f t="shared" si="300"/>
        <v>0</v>
      </c>
      <c r="D1348">
        <f t="shared" si="301"/>
        <v>0</v>
      </c>
      <c r="E1348" t="e">
        <f t="shared" si="302"/>
        <v>#N/A</v>
      </c>
      <c r="F1348">
        <f t="shared" si="303"/>
        <v>0</v>
      </c>
      <c r="G1348">
        <f t="shared" si="304"/>
        <v>0</v>
      </c>
      <c r="H1348">
        <f t="shared" si="305"/>
        <v>0</v>
      </c>
      <c r="I1348">
        <f t="shared" si="306"/>
        <v>0</v>
      </c>
      <c r="J1348">
        <f t="shared" si="307"/>
        <v>0</v>
      </c>
      <c r="K1348" s="4" t="e">
        <f t="shared" si="296"/>
        <v>#N/A</v>
      </c>
      <c r="L1348" t="e">
        <f t="shared" si="297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8"/>
        <v>0</v>
      </c>
      <c r="B1349">
        <f t="shared" si="299"/>
        <v>0</v>
      </c>
      <c r="C1349">
        <f t="shared" si="300"/>
        <v>0</v>
      </c>
      <c r="D1349">
        <f t="shared" si="301"/>
        <v>0</v>
      </c>
      <c r="E1349" t="e">
        <f t="shared" si="302"/>
        <v>#N/A</v>
      </c>
      <c r="F1349">
        <f t="shared" si="303"/>
        <v>0</v>
      </c>
      <c r="G1349">
        <f t="shared" si="304"/>
        <v>0</v>
      </c>
      <c r="H1349">
        <f t="shared" si="305"/>
        <v>0</v>
      </c>
      <c r="I1349">
        <f t="shared" si="306"/>
        <v>0</v>
      </c>
      <c r="J1349">
        <f t="shared" si="307"/>
        <v>0</v>
      </c>
      <c r="K1349" s="4" t="e">
        <f t="shared" si="296"/>
        <v>#N/A</v>
      </c>
      <c r="L1349" t="e">
        <f t="shared" si="297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8"/>
        <v>0</v>
      </c>
      <c r="B1350">
        <f t="shared" si="299"/>
        <v>0</v>
      </c>
      <c r="C1350">
        <f t="shared" si="300"/>
        <v>0</v>
      </c>
      <c r="D1350">
        <f t="shared" si="301"/>
        <v>0</v>
      </c>
      <c r="E1350" t="e">
        <f t="shared" si="302"/>
        <v>#N/A</v>
      </c>
      <c r="F1350">
        <f t="shared" si="303"/>
        <v>0</v>
      </c>
      <c r="G1350">
        <f t="shared" si="304"/>
        <v>0</v>
      </c>
      <c r="H1350">
        <f t="shared" si="305"/>
        <v>0</v>
      </c>
      <c r="I1350">
        <f t="shared" si="306"/>
        <v>0</v>
      </c>
      <c r="J1350">
        <f t="shared" si="307"/>
        <v>0</v>
      </c>
      <c r="K1350" s="4" t="e">
        <f t="shared" si="296"/>
        <v>#N/A</v>
      </c>
      <c r="L1350" t="e">
        <f t="shared" si="297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8"/>
        <v>0</v>
      </c>
      <c r="B1351">
        <f t="shared" si="299"/>
        <v>0</v>
      </c>
      <c r="C1351">
        <f t="shared" si="300"/>
        <v>0</v>
      </c>
      <c r="D1351">
        <f t="shared" si="301"/>
        <v>0</v>
      </c>
      <c r="E1351" t="e">
        <f t="shared" si="302"/>
        <v>#N/A</v>
      </c>
      <c r="F1351">
        <f t="shared" si="303"/>
        <v>0</v>
      </c>
      <c r="G1351">
        <f t="shared" si="304"/>
        <v>0</v>
      </c>
      <c r="H1351">
        <f t="shared" si="305"/>
        <v>0</v>
      </c>
      <c r="I1351">
        <f t="shared" si="306"/>
        <v>0</v>
      </c>
      <c r="J1351">
        <f t="shared" si="307"/>
        <v>0</v>
      </c>
      <c r="K1351" s="4" t="e">
        <f t="shared" si="296"/>
        <v>#N/A</v>
      </c>
      <c r="L1351" t="e">
        <f t="shared" si="297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8"/>
        <v>0</v>
      </c>
      <c r="B1352">
        <f t="shared" si="299"/>
        <v>0</v>
      </c>
      <c r="C1352">
        <f t="shared" si="300"/>
        <v>0</v>
      </c>
      <c r="D1352">
        <f t="shared" si="301"/>
        <v>0</v>
      </c>
      <c r="E1352" t="e">
        <f t="shared" si="302"/>
        <v>#N/A</v>
      </c>
      <c r="F1352">
        <f t="shared" si="303"/>
        <v>0</v>
      </c>
      <c r="G1352">
        <f t="shared" si="304"/>
        <v>0</v>
      </c>
      <c r="H1352">
        <f t="shared" si="305"/>
        <v>0</v>
      </c>
      <c r="I1352">
        <f t="shared" si="306"/>
        <v>0</v>
      </c>
      <c r="J1352">
        <f t="shared" si="307"/>
        <v>0</v>
      </c>
      <c r="K1352" s="4" t="e">
        <f t="shared" si="296"/>
        <v>#N/A</v>
      </c>
      <c r="L1352" t="e">
        <f t="shared" si="297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8"/>
        <v>0</v>
      </c>
      <c r="B1353">
        <f t="shared" si="299"/>
        <v>0</v>
      </c>
      <c r="C1353">
        <f t="shared" si="300"/>
        <v>0</v>
      </c>
      <c r="D1353">
        <f t="shared" si="301"/>
        <v>0</v>
      </c>
      <c r="E1353" t="e">
        <f t="shared" si="302"/>
        <v>#N/A</v>
      </c>
      <c r="F1353">
        <f t="shared" si="303"/>
        <v>0</v>
      </c>
      <c r="G1353">
        <f t="shared" si="304"/>
        <v>0</v>
      </c>
      <c r="H1353">
        <f t="shared" si="305"/>
        <v>0</v>
      </c>
      <c r="I1353">
        <f t="shared" si="306"/>
        <v>0</v>
      </c>
      <c r="J1353">
        <f t="shared" si="307"/>
        <v>0</v>
      </c>
      <c r="K1353" s="4" t="e">
        <f t="shared" si="296"/>
        <v>#N/A</v>
      </c>
      <c r="L1353" t="e">
        <f t="shared" si="297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8"/>
        <v>0</v>
      </c>
      <c r="B1354">
        <f t="shared" si="299"/>
        <v>0</v>
      </c>
      <c r="C1354">
        <f t="shared" si="300"/>
        <v>0</v>
      </c>
      <c r="D1354">
        <f t="shared" si="301"/>
        <v>0</v>
      </c>
      <c r="E1354" t="e">
        <f t="shared" si="302"/>
        <v>#N/A</v>
      </c>
      <c r="F1354">
        <f t="shared" si="303"/>
        <v>0</v>
      </c>
      <c r="G1354">
        <f t="shared" si="304"/>
        <v>0</v>
      </c>
      <c r="H1354">
        <f t="shared" si="305"/>
        <v>0</v>
      </c>
      <c r="I1354">
        <f t="shared" si="306"/>
        <v>0</v>
      </c>
      <c r="J1354">
        <f t="shared" si="307"/>
        <v>0</v>
      </c>
      <c r="K1354" s="4" t="e">
        <f t="shared" si="296"/>
        <v>#N/A</v>
      </c>
      <c r="L1354" t="e">
        <f t="shared" si="297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8"/>
        <v>0</v>
      </c>
      <c r="B1355">
        <f t="shared" si="299"/>
        <v>0</v>
      </c>
      <c r="C1355">
        <f t="shared" si="300"/>
        <v>0</v>
      </c>
      <c r="D1355">
        <f t="shared" si="301"/>
        <v>0</v>
      </c>
      <c r="E1355" t="e">
        <f t="shared" si="302"/>
        <v>#N/A</v>
      </c>
      <c r="F1355">
        <f t="shared" si="303"/>
        <v>0</v>
      </c>
      <c r="G1355">
        <f t="shared" si="304"/>
        <v>0</v>
      </c>
      <c r="H1355">
        <f t="shared" si="305"/>
        <v>0</v>
      </c>
      <c r="I1355">
        <f t="shared" si="306"/>
        <v>0</v>
      </c>
      <c r="J1355">
        <f t="shared" si="307"/>
        <v>0</v>
      </c>
      <c r="K1355" s="4" t="e">
        <f t="shared" si="296"/>
        <v>#N/A</v>
      </c>
      <c r="L1355" t="e">
        <f t="shared" si="297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8"/>
        <v>0</v>
      </c>
      <c r="B1356">
        <f t="shared" si="299"/>
        <v>0</v>
      </c>
      <c r="C1356">
        <f t="shared" si="300"/>
        <v>0</v>
      </c>
      <c r="D1356">
        <f t="shared" si="301"/>
        <v>0</v>
      </c>
      <c r="E1356" t="e">
        <f t="shared" si="302"/>
        <v>#N/A</v>
      </c>
      <c r="F1356">
        <f t="shared" si="303"/>
        <v>0</v>
      </c>
      <c r="G1356">
        <f t="shared" si="304"/>
        <v>0</v>
      </c>
      <c r="H1356">
        <f t="shared" si="305"/>
        <v>0</v>
      </c>
      <c r="I1356">
        <f t="shared" si="306"/>
        <v>0</v>
      </c>
      <c r="J1356">
        <f t="shared" si="307"/>
        <v>0</v>
      </c>
      <c r="K1356" s="4" t="e">
        <f t="shared" si="296"/>
        <v>#N/A</v>
      </c>
      <c r="L1356" t="e">
        <f t="shared" si="297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8"/>
        <v>0</v>
      </c>
      <c r="B1357">
        <f t="shared" si="299"/>
        <v>0</v>
      </c>
      <c r="C1357">
        <f t="shared" si="300"/>
        <v>0</v>
      </c>
      <c r="D1357">
        <f t="shared" si="301"/>
        <v>0</v>
      </c>
      <c r="E1357" t="e">
        <f t="shared" si="302"/>
        <v>#N/A</v>
      </c>
      <c r="F1357">
        <f t="shared" si="303"/>
        <v>0</v>
      </c>
      <c r="G1357">
        <f t="shared" si="304"/>
        <v>0</v>
      </c>
      <c r="H1357">
        <f t="shared" si="305"/>
        <v>0</v>
      </c>
      <c r="I1357">
        <f t="shared" si="306"/>
        <v>0</v>
      </c>
      <c r="J1357">
        <f t="shared" si="307"/>
        <v>0</v>
      </c>
      <c r="K1357" s="4" t="e">
        <f t="shared" si="296"/>
        <v>#N/A</v>
      </c>
      <c r="L1357" t="e">
        <f t="shared" si="297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8"/>
        <v>0</v>
      </c>
      <c r="B1358">
        <f t="shared" si="299"/>
        <v>0</v>
      </c>
      <c r="C1358">
        <f t="shared" si="300"/>
        <v>0</v>
      </c>
      <c r="D1358">
        <f t="shared" si="301"/>
        <v>0</v>
      </c>
      <c r="E1358" t="e">
        <f t="shared" si="302"/>
        <v>#N/A</v>
      </c>
      <c r="F1358">
        <f t="shared" si="303"/>
        <v>0</v>
      </c>
      <c r="G1358">
        <f t="shared" si="304"/>
        <v>0</v>
      </c>
      <c r="H1358">
        <f t="shared" si="305"/>
        <v>0</v>
      </c>
      <c r="I1358">
        <f t="shared" si="306"/>
        <v>0</v>
      </c>
      <c r="J1358">
        <f t="shared" si="307"/>
        <v>0</v>
      </c>
      <c r="K1358" s="4" t="e">
        <f t="shared" si="296"/>
        <v>#N/A</v>
      </c>
      <c r="L1358" t="e">
        <f t="shared" si="297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8"/>
        <v>0</v>
      </c>
      <c r="B1359">
        <f t="shared" si="299"/>
        <v>0</v>
      </c>
      <c r="C1359">
        <f t="shared" si="300"/>
        <v>0</v>
      </c>
      <c r="D1359">
        <f t="shared" si="301"/>
        <v>0</v>
      </c>
      <c r="E1359" t="e">
        <f t="shared" si="302"/>
        <v>#N/A</v>
      </c>
      <c r="F1359">
        <f t="shared" si="303"/>
        <v>0</v>
      </c>
      <c r="G1359">
        <f t="shared" si="304"/>
        <v>0</v>
      </c>
      <c r="H1359">
        <f t="shared" si="305"/>
        <v>0</v>
      </c>
      <c r="I1359">
        <f t="shared" si="306"/>
        <v>0</v>
      </c>
      <c r="J1359">
        <f t="shared" si="307"/>
        <v>0</v>
      </c>
      <c r="K1359" s="4" t="e">
        <f t="shared" si="296"/>
        <v>#N/A</v>
      </c>
      <c r="L1359" t="e">
        <f t="shared" si="297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8"/>
        <v>0</v>
      </c>
      <c r="B1360">
        <f t="shared" si="299"/>
        <v>0</v>
      </c>
      <c r="C1360">
        <f t="shared" si="300"/>
        <v>0</v>
      </c>
      <c r="D1360">
        <f t="shared" si="301"/>
        <v>0</v>
      </c>
      <c r="E1360" t="e">
        <f t="shared" si="302"/>
        <v>#N/A</v>
      </c>
      <c r="F1360">
        <f t="shared" si="303"/>
        <v>0</v>
      </c>
      <c r="G1360">
        <f t="shared" si="304"/>
        <v>0</v>
      </c>
      <c r="H1360">
        <f t="shared" si="305"/>
        <v>0</v>
      </c>
      <c r="I1360">
        <f t="shared" si="306"/>
        <v>0</v>
      </c>
      <c r="J1360">
        <f t="shared" si="307"/>
        <v>0</v>
      </c>
      <c r="K1360" s="4" t="e">
        <f t="shared" si="296"/>
        <v>#N/A</v>
      </c>
      <c r="L1360" t="e">
        <f t="shared" si="297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8"/>
        <v>0</v>
      </c>
      <c r="B1361">
        <f t="shared" si="299"/>
        <v>0</v>
      </c>
      <c r="C1361">
        <f t="shared" si="300"/>
        <v>0</v>
      </c>
      <c r="D1361">
        <f t="shared" si="301"/>
        <v>0</v>
      </c>
      <c r="E1361" t="e">
        <f t="shared" si="302"/>
        <v>#N/A</v>
      </c>
      <c r="F1361">
        <f t="shared" si="303"/>
        <v>0</v>
      </c>
      <c r="G1361">
        <f t="shared" si="304"/>
        <v>0</v>
      </c>
      <c r="H1361">
        <f t="shared" si="305"/>
        <v>0</v>
      </c>
      <c r="I1361">
        <f t="shared" si="306"/>
        <v>0</v>
      </c>
      <c r="J1361">
        <f t="shared" si="307"/>
        <v>0</v>
      </c>
      <c r="K1361" s="4" t="e">
        <f t="shared" si="296"/>
        <v>#N/A</v>
      </c>
      <c r="L1361" t="e">
        <f t="shared" si="297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8"/>
        <v>0</v>
      </c>
      <c r="B1362">
        <f t="shared" si="299"/>
        <v>0</v>
      </c>
      <c r="C1362">
        <f t="shared" si="300"/>
        <v>0</v>
      </c>
      <c r="D1362">
        <f t="shared" si="301"/>
        <v>0</v>
      </c>
      <c r="E1362" t="e">
        <f t="shared" si="302"/>
        <v>#N/A</v>
      </c>
      <c r="F1362">
        <f t="shared" si="303"/>
        <v>0</v>
      </c>
      <c r="G1362">
        <f t="shared" si="304"/>
        <v>0</v>
      </c>
      <c r="H1362">
        <f t="shared" si="305"/>
        <v>0</v>
      </c>
      <c r="I1362">
        <f t="shared" si="306"/>
        <v>0</v>
      </c>
      <c r="J1362">
        <f t="shared" si="307"/>
        <v>0</v>
      </c>
      <c r="K1362" s="4" t="e">
        <f t="shared" si="296"/>
        <v>#N/A</v>
      </c>
      <c r="L1362" t="e">
        <f t="shared" si="297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8"/>
        <v>0</v>
      </c>
      <c r="B1363">
        <f t="shared" si="299"/>
        <v>0</v>
      </c>
      <c r="C1363">
        <f t="shared" si="300"/>
        <v>0</v>
      </c>
      <c r="D1363">
        <f t="shared" si="301"/>
        <v>0</v>
      </c>
      <c r="E1363" t="e">
        <f t="shared" si="302"/>
        <v>#N/A</v>
      </c>
      <c r="F1363">
        <f t="shared" si="303"/>
        <v>0</v>
      </c>
      <c r="G1363">
        <f t="shared" si="304"/>
        <v>0</v>
      </c>
      <c r="H1363">
        <f t="shared" si="305"/>
        <v>0</v>
      </c>
      <c r="I1363">
        <f t="shared" si="306"/>
        <v>0</v>
      </c>
      <c r="J1363">
        <f t="shared" si="307"/>
        <v>0</v>
      </c>
      <c r="K1363" s="4" t="e">
        <f t="shared" si="296"/>
        <v>#N/A</v>
      </c>
      <c r="L1363" t="e">
        <f t="shared" si="297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8"/>
        <v>0</v>
      </c>
      <c r="B1364">
        <f t="shared" si="299"/>
        <v>0</v>
      </c>
      <c r="C1364">
        <f t="shared" si="300"/>
        <v>0</v>
      </c>
      <c r="D1364">
        <f t="shared" si="301"/>
        <v>0</v>
      </c>
      <c r="E1364" t="e">
        <f t="shared" si="302"/>
        <v>#N/A</v>
      </c>
      <c r="F1364">
        <f t="shared" si="303"/>
        <v>0</v>
      </c>
      <c r="G1364">
        <f t="shared" si="304"/>
        <v>0</v>
      </c>
      <c r="H1364">
        <f t="shared" si="305"/>
        <v>0</v>
      </c>
      <c r="I1364">
        <f t="shared" si="306"/>
        <v>0</v>
      </c>
      <c r="J1364">
        <f t="shared" si="307"/>
        <v>0</v>
      </c>
      <c r="K1364" s="4" t="e">
        <f t="shared" si="296"/>
        <v>#N/A</v>
      </c>
      <c r="L1364" t="e">
        <f t="shared" si="297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8"/>
        <v>0</v>
      </c>
      <c r="B1365">
        <f t="shared" si="299"/>
        <v>0</v>
      </c>
      <c r="C1365">
        <f t="shared" si="300"/>
        <v>0</v>
      </c>
      <c r="D1365">
        <f t="shared" si="301"/>
        <v>0</v>
      </c>
      <c r="E1365" t="e">
        <f t="shared" si="302"/>
        <v>#N/A</v>
      </c>
      <c r="F1365">
        <f t="shared" si="303"/>
        <v>0</v>
      </c>
      <c r="G1365">
        <f t="shared" si="304"/>
        <v>0</v>
      </c>
      <c r="H1365">
        <f t="shared" si="305"/>
        <v>0</v>
      </c>
      <c r="I1365">
        <f t="shared" si="306"/>
        <v>0</v>
      </c>
      <c r="J1365">
        <f t="shared" si="307"/>
        <v>0</v>
      </c>
      <c r="K1365" s="4" t="e">
        <f t="shared" si="296"/>
        <v>#N/A</v>
      </c>
      <c r="L1365" t="e">
        <f t="shared" si="297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8"/>
        <v>0</v>
      </c>
      <c r="B1366">
        <f t="shared" si="299"/>
        <v>0</v>
      </c>
      <c r="C1366">
        <f t="shared" si="300"/>
        <v>0</v>
      </c>
      <c r="D1366">
        <f t="shared" si="301"/>
        <v>0</v>
      </c>
      <c r="E1366" t="e">
        <f t="shared" si="302"/>
        <v>#N/A</v>
      </c>
      <c r="F1366">
        <f t="shared" si="303"/>
        <v>0</v>
      </c>
      <c r="G1366">
        <f t="shared" si="304"/>
        <v>0</v>
      </c>
      <c r="H1366">
        <f t="shared" si="305"/>
        <v>0</v>
      </c>
      <c r="I1366">
        <f t="shared" si="306"/>
        <v>0</v>
      </c>
      <c r="J1366">
        <f t="shared" si="307"/>
        <v>0</v>
      </c>
      <c r="K1366" s="4" t="e">
        <f t="shared" si="296"/>
        <v>#N/A</v>
      </c>
      <c r="L1366" t="e">
        <f t="shared" si="297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8"/>
        <v>0</v>
      </c>
      <c r="B1367">
        <f t="shared" si="299"/>
        <v>0</v>
      </c>
      <c r="C1367">
        <f t="shared" si="300"/>
        <v>0</v>
      </c>
      <c r="D1367">
        <f t="shared" si="301"/>
        <v>0</v>
      </c>
      <c r="E1367" t="e">
        <f t="shared" si="302"/>
        <v>#N/A</v>
      </c>
      <c r="F1367">
        <f t="shared" si="303"/>
        <v>0</v>
      </c>
      <c r="G1367">
        <f t="shared" si="304"/>
        <v>0</v>
      </c>
      <c r="H1367">
        <f t="shared" si="305"/>
        <v>0</v>
      </c>
      <c r="I1367">
        <f t="shared" si="306"/>
        <v>0</v>
      </c>
      <c r="J1367">
        <f t="shared" si="307"/>
        <v>0</v>
      </c>
      <c r="K1367" s="4" t="e">
        <f t="shared" si="296"/>
        <v>#N/A</v>
      </c>
      <c r="L1367" t="e">
        <f t="shared" si="297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8"/>
        <v>0</v>
      </c>
      <c r="B1368">
        <f t="shared" si="299"/>
        <v>0</v>
      </c>
      <c r="C1368">
        <f t="shared" si="300"/>
        <v>0</v>
      </c>
      <c r="D1368">
        <f t="shared" si="301"/>
        <v>0</v>
      </c>
      <c r="E1368" t="e">
        <f t="shared" si="302"/>
        <v>#N/A</v>
      </c>
      <c r="F1368">
        <f t="shared" si="303"/>
        <v>0</v>
      </c>
      <c r="G1368">
        <f t="shared" si="304"/>
        <v>0</v>
      </c>
      <c r="H1368">
        <f t="shared" si="305"/>
        <v>0</v>
      </c>
      <c r="I1368">
        <f t="shared" si="306"/>
        <v>0</v>
      </c>
      <c r="J1368">
        <f t="shared" si="307"/>
        <v>0</v>
      </c>
      <c r="K1368" s="4" t="e">
        <f t="shared" si="296"/>
        <v>#N/A</v>
      </c>
      <c r="L1368" t="e">
        <f t="shared" si="297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8"/>
        <v>0</v>
      </c>
      <c r="B1369">
        <f t="shared" si="299"/>
        <v>0</v>
      </c>
      <c r="C1369">
        <f t="shared" si="300"/>
        <v>0</v>
      </c>
      <c r="D1369">
        <f t="shared" si="301"/>
        <v>0</v>
      </c>
      <c r="E1369" t="e">
        <f t="shared" si="302"/>
        <v>#N/A</v>
      </c>
      <c r="F1369">
        <f t="shared" si="303"/>
        <v>0</v>
      </c>
      <c r="G1369">
        <f t="shared" si="304"/>
        <v>0</v>
      </c>
      <c r="H1369">
        <f t="shared" si="305"/>
        <v>0</v>
      </c>
      <c r="I1369">
        <f t="shared" si="306"/>
        <v>0</v>
      </c>
      <c r="J1369">
        <f t="shared" si="307"/>
        <v>0</v>
      </c>
      <c r="K1369" s="4" t="e">
        <f t="shared" si="296"/>
        <v>#N/A</v>
      </c>
      <c r="L1369" t="e">
        <f t="shared" si="297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8"/>
        <v>0</v>
      </c>
      <c r="B1370">
        <f t="shared" si="299"/>
        <v>0</v>
      </c>
      <c r="C1370">
        <f t="shared" si="300"/>
        <v>0</v>
      </c>
      <c r="D1370">
        <f t="shared" si="301"/>
        <v>0</v>
      </c>
      <c r="E1370" t="e">
        <f t="shared" si="302"/>
        <v>#N/A</v>
      </c>
      <c r="F1370">
        <f t="shared" si="303"/>
        <v>0</v>
      </c>
      <c r="G1370">
        <f t="shared" si="304"/>
        <v>0</v>
      </c>
      <c r="H1370">
        <f t="shared" si="305"/>
        <v>0</v>
      </c>
      <c r="I1370">
        <f t="shared" si="306"/>
        <v>0</v>
      </c>
      <c r="J1370">
        <f t="shared" si="307"/>
        <v>0</v>
      </c>
      <c r="K1370" s="4" t="e">
        <f t="shared" si="296"/>
        <v>#N/A</v>
      </c>
      <c r="L1370" t="e">
        <f t="shared" si="297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8"/>
        <v>0</v>
      </c>
      <c r="B1371">
        <f t="shared" si="299"/>
        <v>0</v>
      </c>
      <c r="C1371">
        <f t="shared" si="300"/>
        <v>0</v>
      </c>
      <c r="D1371">
        <f t="shared" si="301"/>
        <v>0</v>
      </c>
      <c r="E1371" t="e">
        <f t="shared" si="302"/>
        <v>#N/A</v>
      </c>
      <c r="F1371">
        <f t="shared" si="303"/>
        <v>0</v>
      </c>
      <c r="G1371">
        <f t="shared" si="304"/>
        <v>0</v>
      </c>
      <c r="H1371">
        <f t="shared" si="305"/>
        <v>0</v>
      </c>
      <c r="I1371">
        <f t="shared" si="306"/>
        <v>0</v>
      </c>
      <c r="J1371">
        <f t="shared" si="307"/>
        <v>0</v>
      </c>
      <c r="K1371" s="4" t="e">
        <f t="shared" si="296"/>
        <v>#N/A</v>
      </c>
      <c r="L1371" t="e">
        <f t="shared" si="297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8"/>
        <v>0</v>
      </c>
      <c r="B1372">
        <f t="shared" si="299"/>
        <v>0</v>
      </c>
      <c r="C1372">
        <f t="shared" si="300"/>
        <v>0</v>
      </c>
      <c r="D1372">
        <f t="shared" si="301"/>
        <v>0</v>
      </c>
      <c r="E1372" t="e">
        <f t="shared" si="302"/>
        <v>#N/A</v>
      </c>
      <c r="F1372">
        <f t="shared" si="303"/>
        <v>0</v>
      </c>
      <c r="G1372">
        <f t="shared" si="304"/>
        <v>0</v>
      </c>
      <c r="H1372">
        <f t="shared" si="305"/>
        <v>0</v>
      </c>
      <c r="I1372">
        <f t="shared" si="306"/>
        <v>0</v>
      </c>
      <c r="J1372">
        <f t="shared" si="307"/>
        <v>0</v>
      </c>
      <c r="K1372" s="4" t="e">
        <f t="shared" si="296"/>
        <v>#N/A</v>
      </c>
      <c r="L1372" t="e">
        <f t="shared" si="297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8"/>
        <v>0</v>
      </c>
      <c r="B1373">
        <f t="shared" si="299"/>
        <v>0</v>
      </c>
      <c r="C1373">
        <f t="shared" si="300"/>
        <v>0</v>
      </c>
      <c r="D1373">
        <f t="shared" si="301"/>
        <v>0</v>
      </c>
      <c r="E1373" t="e">
        <f t="shared" si="302"/>
        <v>#N/A</v>
      </c>
      <c r="F1373">
        <f t="shared" si="303"/>
        <v>0</v>
      </c>
      <c r="G1373">
        <f t="shared" si="304"/>
        <v>0</v>
      </c>
      <c r="H1373">
        <f t="shared" si="305"/>
        <v>0</v>
      </c>
      <c r="I1373">
        <f t="shared" si="306"/>
        <v>0</v>
      </c>
      <c r="J1373">
        <f t="shared" si="307"/>
        <v>0</v>
      </c>
      <c r="K1373" s="4" t="e">
        <f t="shared" si="296"/>
        <v>#N/A</v>
      </c>
      <c r="L1373" t="e">
        <f t="shared" si="297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8"/>
        <v>0</v>
      </c>
      <c r="B1374">
        <f t="shared" si="299"/>
        <v>0</v>
      </c>
      <c r="C1374">
        <f t="shared" si="300"/>
        <v>0</v>
      </c>
      <c r="D1374">
        <f t="shared" si="301"/>
        <v>0</v>
      </c>
      <c r="E1374" t="e">
        <f t="shared" si="302"/>
        <v>#N/A</v>
      </c>
      <c r="F1374">
        <f t="shared" si="303"/>
        <v>0</v>
      </c>
      <c r="G1374">
        <f t="shared" si="304"/>
        <v>0</v>
      </c>
      <c r="H1374">
        <f t="shared" si="305"/>
        <v>0</v>
      </c>
      <c r="I1374">
        <f t="shared" si="306"/>
        <v>0</v>
      </c>
      <c r="J1374">
        <f t="shared" si="307"/>
        <v>0</v>
      </c>
      <c r="K1374" s="4" t="e">
        <f t="shared" si="296"/>
        <v>#N/A</v>
      </c>
      <c r="L1374" t="e">
        <f t="shared" si="297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8"/>
        <v>0</v>
      </c>
      <c r="B1375">
        <f t="shared" si="299"/>
        <v>0</v>
      </c>
      <c r="C1375">
        <f t="shared" si="300"/>
        <v>0</v>
      </c>
      <c r="D1375">
        <f t="shared" si="301"/>
        <v>0</v>
      </c>
      <c r="E1375" t="e">
        <f t="shared" si="302"/>
        <v>#N/A</v>
      </c>
      <c r="F1375">
        <f t="shared" si="303"/>
        <v>0</v>
      </c>
      <c r="G1375">
        <f t="shared" si="304"/>
        <v>0</v>
      </c>
      <c r="H1375">
        <f t="shared" si="305"/>
        <v>0</v>
      </c>
      <c r="I1375">
        <f t="shared" si="306"/>
        <v>0</v>
      </c>
      <c r="J1375">
        <f t="shared" si="307"/>
        <v>0</v>
      </c>
      <c r="K1375" s="4" t="e">
        <f t="shared" si="296"/>
        <v>#N/A</v>
      </c>
      <c r="L1375" t="e">
        <f t="shared" si="297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8"/>
        <v>0</v>
      </c>
      <c r="B1376">
        <f t="shared" si="299"/>
        <v>0</v>
      </c>
      <c r="C1376">
        <f t="shared" si="300"/>
        <v>0</v>
      </c>
      <c r="D1376">
        <f t="shared" si="301"/>
        <v>0</v>
      </c>
      <c r="E1376" t="e">
        <f t="shared" si="302"/>
        <v>#N/A</v>
      </c>
      <c r="F1376">
        <f t="shared" si="303"/>
        <v>0</v>
      </c>
      <c r="G1376">
        <f t="shared" si="304"/>
        <v>0</v>
      </c>
      <c r="H1376">
        <f t="shared" si="305"/>
        <v>0</v>
      </c>
      <c r="I1376">
        <f t="shared" si="306"/>
        <v>0</v>
      </c>
      <c r="J1376">
        <f t="shared" si="307"/>
        <v>0</v>
      </c>
      <c r="K1376" s="4" t="e">
        <f t="shared" si="296"/>
        <v>#N/A</v>
      </c>
      <c r="L1376" t="e">
        <f t="shared" si="297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8"/>
        <v>0</v>
      </c>
      <c r="B1377">
        <f t="shared" si="299"/>
        <v>0</v>
      </c>
      <c r="C1377">
        <f t="shared" si="300"/>
        <v>0</v>
      </c>
      <c r="D1377">
        <f t="shared" si="301"/>
        <v>0</v>
      </c>
      <c r="E1377" t="e">
        <f t="shared" si="302"/>
        <v>#N/A</v>
      </c>
      <c r="F1377">
        <f t="shared" si="303"/>
        <v>0</v>
      </c>
      <c r="G1377">
        <f t="shared" si="304"/>
        <v>0</v>
      </c>
      <c r="H1377">
        <f t="shared" si="305"/>
        <v>0</v>
      </c>
      <c r="I1377">
        <f t="shared" si="306"/>
        <v>0</v>
      </c>
      <c r="J1377">
        <f t="shared" si="307"/>
        <v>0</v>
      </c>
      <c r="K1377" s="4" t="e">
        <f t="shared" si="296"/>
        <v>#N/A</v>
      </c>
      <c r="L1377" t="e">
        <f t="shared" si="297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8"/>
        <v>0</v>
      </c>
      <c r="B1378">
        <f t="shared" si="299"/>
        <v>0</v>
      </c>
      <c r="C1378">
        <f t="shared" si="300"/>
        <v>0</v>
      </c>
      <c r="D1378">
        <f t="shared" si="301"/>
        <v>0</v>
      </c>
      <c r="E1378" t="e">
        <f t="shared" si="302"/>
        <v>#N/A</v>
      </c>
      <c r="F1378">
        <f t="shared" si="303"/>
        <v>0</v>
      </c>
      <c r="G1378">
        <f t="shared" si="304"/>
        <v>0</v>
      </c>
      <c r="H1378">
        <f t="shared" si="305"/>
        <v>0</v>
      </c>
      <c r="I1378">
        <f t="shared" si="306"/>
        <v>0</v>
      </c>
      <c r="J1378">
        <f t="shared" si="307"/>
        <v>0</v>
      </c>
      <c r="K1378" s="4" t="e">
        <f t="shared" si="296"/>
        <v>#N/A</v>
      </c>
      <c r="L1378" t="e">
        <f t="shared" si="297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8"/>
        <v>0</v>
      </c>
      <c r="B1379">
        <f t="shared" si="299"/>
        <v>0</v>
      </c>
      <c r="C1379">
        <f t="shared" si="300"/>
        <v>0</v>
      </c>
      <c r="D1379">
        <f t="shared" si="301"/>
        <v>0</v>
      </c>
      <c r="E1379" t="e">
        <f t="shared" si="302"/>
        <v>#N/A</v>
      </c>
      <c r="F1379">
        <f t="shared" si="303"/>
        <v>0</v>
      </c>
      <c r="G1379">
        <f t="shared" si="304"/>
        <v>0</v>
      </c>
      <c r="H1379">
        <f t="shared" si="305"/>
        <v>0</v>
      </c>
      <c r="I1379">
        <f t="shared" si="306"/>
        <v>0</v>
      </c>
      <c r="J1379">
        <f t="shared" si="307"/>
        <v>0</v>
      </c>
      <c r="K1379" s="4" t="e">
        <f t="shared" si="296"/>
        <v>#N/A</v>
      </c>
      <c r="L1379" t="e">
        <f t="shared" si="297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8"/>
        <v>0</v>
      </c>
      <c r="B1380">
        <f t="shared" si="299"/>
        <v>0</v>
      </c>
      <c r="C1380">
        <f t="shared" si="300"/>
        <v>0</v>
      </c>
      <c r="D1380">
        <f t="shared" si="301"/>
        <v>0</v>
      </c>
      <c r="E1380" t="e">
        <f t="shared" si="302"/>
        <v>#N/A</v>
      </c>
      <c r="F1380">
        <f t="shared" si="303"/>
        <v>0</v>
      </c>
      <c r="G1380">
        <f t="shared" si="304"/>
        <v>0</v>
      </c>
      <c r="H1380">
        <f t="shared" si="305"/>
        <v>0</v>
      </c>
      <c r="I1380">
        <f t="shared" si="306"/>
        <v>0</v>
      </c>
      <c r="J1380">
        <f t="shared" si="307"/>
        <v>0</v>
      </c>
      <c r="K1380" s="4" t="e">
        <f t="shared" si="296"/>
        <v>#N/A</v>
      </c>
      <c r="L1380" t="e">
        <f t="shared" si="297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8"/>
        <v>0</v>
      </c>
      <c r="B1381">
        <f t="shared" si="299"/>
        <v>0</v>
      </c>
      <c r="C1381">
        <f t="shared" si="300"/>
        <v>0</v>
      </c>
      <c r="D1381">
        <f t="shared" si="301"/>
        <v>0</v>
      </c>
      <c r="E1381" t="e">
        <f t="shared" si="302"/>
        <v>#N/A</v>
      </c>
      <c r="F1381">
        <f t="shared" si="303"/>
        <v>0</v>
      </c>
      <c r="G1381">
        <f t="shared" si="304"/>
        <v>0</v>
      </c>
      <c r="H1381">
        <f t="shared" si="305"/>
        <v>0</v>
      </c>
      <c r="I1381">
        <f t="shared" si="306"/>
        <v>0</v>
      </c>
      <c r="J1381">
        <f t="shared" si="307"/>
        <v>0</v>
      </c>
      <c r="K1381" s="4" t="e">
        <f t="shared" si="296"/>
        <v>#N/A</v>
      </c>
      <c r="L1381" t="e">
        <f t="shared" si="297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8"/>
        <v>0</v>
      </c>
      <c r="B1382">
        <f t="shared" si="299"/>
        <v>0</v>
      </c>
      <c r="C1382">
        <f t="shared" si="300"/>
        <v>0</v>
      </c>
      <c r="D1382">
        <f t="shared" si="301"/>
        <v>0</v>
      </c>
      <c r="E1382" t="e">
        <f t="shared" si="302"/>
        <v>#N/A</v>
      </c>
      <c r="F1382">
        <f t="shared" si="303"/>
        <v>0</v>
      </c>
      <c r="G1382">
        <f t="shared" si="304"/>
        <v>0</v>
      </c>
      <c r="H1382">
        <f t="shared" si="305"/>
        <v>0</v>
      </c>
      <c r="I1382">
        <f t="shared" si="306"/>
        <v>0</v>
      </c>
      <c r="J1382">
        <f t="shared" si="307"/>
        <v>0</v>
      </c>
      <c r="K1382" s="4" t="e">
        <f t="shared" si="296"/>
        <v>#N/A</v>
      </c>
      <c r="L1382" t="e">
        <f t="shared" si="297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8"/>
        <v>0</v>
      </c>
      <c r="B1383">
        <f t="shared" si="299"/>
        <v>0</v>
      </c>
      <c r="C1383">
        <f t="shared" si="300"/>
        <v>0</v>
      </c>
      <c r="D1383">
        <f t="shared" si="301"/>
        <v>0</v>
      </c>
      <c r="E1383" t="e">
        <f t="shared" si="302"/>
        <v>#N/A</v>
      </c>
      <c r="F1383">
        <f t="shared" si="303"/>
        <v>0</v>
      </c>
      <c r="G1383">
        <f t="shared" si="304"/>
        <v>0</v>
      </c>
      <c r="H1383">
        <f t="shared" si="305"/>
        <v>0</v>
      </c>
      <c r="I1383">
        <f t="shared" si="306"/>
        <v>0</v>
      </c>
      <c r="J1383">
        <f t="shared" si="307"/>
        <v>0</v>
      </c>
      <c r="K1383" s="4" t="e">
        <f t="shared" si="296"/>
        <v>#N/A</v>
      </c>
      <c r="L1383" t="e">
        <f t="shared" si="297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8"/>
        <v>0</v>
      </c>
      <c r="B1384">
        <f t="shared" si="299"/>
        <v>0</v>
      </c>
      <c r="C1384">
        <f t="shared" si="300"/>
        <v>0</v>
      </c>
      <c r="D1384">
        <f t="shared" si="301"/>
        <v>0</v>
      </c>
      <c r="E1384" t="e">
        <f t="shared" si="302"/>
        <v>#N/A</v>
      </c>
      <c r="F1384">
        <f t="shared" si="303"/>
        <v>0</v>
      </c>
      <c r="G1384">
        <f t="shared" si="304"/>
        <v>0</v>
      </c>
      <c r="H1384">
        <f t="shared" si="305"/>
        <v>0</v>
      </c>
      <c r="I1384">
        <f t="shared" si="306"/>
        <v>0</v>
      </c>
      <c r="J1384">
        <f t="shared" si="307"/>
        <v>0</v>
      </c>
      <c r="K1384" s="4" t="e">
        <f t="shared" si="296"/>
        <v>#N/A</v>
      </c>
      <c r="L1384" t="e">
        <f t="shared" si="297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8"/>
        <v>0</v>
      </c>
      <c r="B1385">
        <f t="shared" si="299"/>
        <v>0</v>
      </c>
      <c r="C1385">
        <f t="shared" si="300"/>
        <v>0</v>
      </c>
      <c r="D1385">
        <f t="shared" si="301"/>
        <v>0</v>
      </c>
      <c r="E1385" t="e">
        <f t="shared" si="302"/>
        <v>#N/A</v>
      </c>
      <c r="F1385">
        <f t="shared" si="303"/>
        <v>0</v>
      </c>
      <c r="G1385">
        <f t="shared" si="304"/>
        <v>0</v>
      </c>
      <c r="H1385">
        <f t="shared" si="305"/>
        <v>0</v>
      </c>
      <c r="I1385">
        <f t="shared" si="306"/>
        <v>0</v>
      </c>
      <c r="J1385">
        <f t="shared" si="307"/>
        <v>0</v>
      </c>
      <c r="K1385" s="4" t="e">
        <f t="shared" si="296"/>
        <v>#N/A</v>
      </c>
      <c r="L1385" t="e">
        <f t="shared" si="297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8"/>
        <v>0</v>
      </c>
      <c r="B1386">
        <f t="shared" si="299"/>
        <v>0</v>
      </c>
      <c r="C1386">
        <f t="shared" si="300"/>
        <v>0</v>
      </c>
      <c r="D1386">
        <f t="shared" si="301"/>
        <v>0</v>
      </c>
      <c r="E1386" t="e">
        <f t="shared" si="302"/>
        <v>#N/A</v>
      </c>
      <c r="F1386">
        <f t="shared" si="303"/>
        <v>0</v>
      </c>
      <c r="G1386">
        <f t="shared" si="304"/>
        <v>0</v>
      </c>
      <c r="H1386">
        <f t="shared" si="305"/>
        <v>0</v>
      </c>
      <c r="I1386">
        <f t="shared" si="306"/>
        <v>0</v>
      </c>
      <c r="J1386">
        <f t="shared" si="307"/>
        <v>0</v>
      </c>
      <c r="K1386" s="4" t="e">
        <f t="shared" si="296"/>
        <v>#N/A</v>
      </c>
      <c r="L1386" t="e">
        <f t="shared" si="297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8"/>
        <v>0</v>
      </c>
      <c r="B1387">
        <f t="shared" si="299"/>
        <v>0</v>
      </c>
      <c r="C1387">
        <f t="shared" si="300"/>
        <v>0</v>
      </c>
      <c r="D1387">
        <f t="shared" si="301"/>
        <v>0</v>
      </c>
      <c r="E1387" t="e">
        <f t="shared" si="302"/>
        <v>#N/A</v>
      </c>
      <c r="F1387">
        <f t="shared" si="303"/>
        <v>0</v>
      </c>
      <c r="G1387">
        <f t="shared" si="304"/>
        <v>0</v>
      </c>
      <c r="H1387">
        <f t="shared" si="305"/>
        <v>0</v>
      </c>
      <c r="I1387">
        <f t="shared" si="306"/>
        <v>0</v>
      </c>
      <c r="J1387">
        <f t="shared" si="307"/>
        <v>0</v>
      </c>
      <c r="K1387" s="4" t="e">
        <f t="shared" si="296"/>
        <v>#N/A</v>
      </c>
      <c r="L1387" t="e">
        <f t="shared" si="297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8"/>
        <v>0</v>
      </c>
      <c r="B1388">
        <f t="shared" si="299"/>
        <v>0</v>
      </c>
      <c r="C1388">
        <f t="shared" si="300"/>
        <v>0</v>
      </c>
      <c r="D1388">
        <f t="shared" si="301"/>
        <v>0</v>
      </c>
      <c r="E1388" t="e">
        <f t="shared" si="302"/>
        <v>#N/A</v>
      </c>
      <c r="F1388">
        <f t="shared" si="303"/>
        <v>0</v>
      </c>
      <c r="G1388">
        <f t="shared" si="304"/>
        <v>0</v>
      </c>
      <c r="H1388">
        <f t="shared" si="305"/>
        <v>0</v>
      </c>
      <c r="I1388">
        <f t="shared" si="306"/>
        <v>0</v>
      </c>
      <c r="J1388">
        <f t="shared" si="307"/>
        <v>0</v>
      </c>
      <c r="K1388" s="4" t="e">
        <f t="shared" ref="K1388:K1451" si="310">IF(LEFT(B1388,3)="DBM",0,VLOOKUP(E1388,tabela,2,FALSE))</f>
        <v>#N/A</v>
      </c>
      <c r="L1388" t="e">
        <f t="shared" ref="L1388:L1451" si="311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8"/>
        <v>0</v>
      </c>
      <c r="B1389">
        <f t="shared" si="299"/>
        <v>0</v>
      </c>
      <c r="C1389">
        <f t="shared" si="300"/>
        <v>0</v>
      </c>
      <c r="D1389">
        <f t="shared" si="301"/>
        <v>0</v>
      </c>
      <c r="E1389" t="e">
        <f t="shared" si="302"/>
        <v>#N/A</v>
      </c>
      <c r="F1389">
        <f t="shared" si="303"/>
        <v>0</v>
      </c>
      <c r="G1389">
        <f t="shared" si="304"/>
        <v>0</v>
      </c>
      <c r="H1389">
        <f t="shared" si="305"/>
        <v>0</v>
      </c>
      <c r="I1389">
        <f t="shared" si="306"/>
        <v>0</v>
      </c>
      <c r="J1389">
        <f t="shared" si="307"/>
        <v>0</v>
      </c>
      <c r="K1389" s="4" t="e">
        <f t="shared" si="310"/>
        <v>#N/A</v>
      </c>
      <c r="L1389" t="e">
        <f t="shared" si="311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8"/>
        <v>0</v>
      </c>
      <c r="B1390">
        <f t="shared" si="299"/>
        <v>0</v>
      </c>
      <c r="C1390">
        <f t="shared" si="300"/>
        <v>0</v>
      </c>
      <c r="D1390">
        <f t="shared" si="301"/>
        <v>0</v>
      </c>
      <c r="E1390" t="e">
        <f t="shared" si="302"/>
        <v>#N/A</v>
      </c>
      <c r="F1390">
        <f t="shared" si="303"/>
        <v>0</v>
      </c>
      <c r="G1390">
        <f t="shared" si="304"/>
        <v>0</v>
      </c>
      <c r="H1390">
        <f t="shared" si="305"/>
        <v>0</v>
      </c>
      <c r="I1390">
        <f t="shared" si="306"/>
        <v>0</v>
      </c>
      <c r="J1390">
        <f t="shared" si="307"/>
        <v>0</v>
      </c>
      <c r="K1390" s="4" t="e">
        <f t="shared" si="310"/>
        <v>#N/A</v>
      </c>
      <c r="L1390" t="e">
        <f t="shared" si="311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8"/>
        <v>0</v>
      </c>
      <c r="B1391">
        <f t="shared" si="299"/>
        <v>0</v>
      </c>
      <c r="C1391">
        <f t="shared" si="300"/>
        <v>0</v>
      </c>
      <c r="D1391">
        <f t="shared" si="301"/>
        <v>0</v>
      </c>
      <c r="E1391" t="e">
        <f t="shared" si="302"/>
        <v>#N/A</v>
      </c>
      <c r="F1391">
        <f t="shared" si="303"/>
        <v>0</v>
      </c>
      <c r="G1391">
        <f t="shared" si="304"/>
        <v>0</v>
      </c>
      <c r="H1391">
        <f t="shared" si="305"/>
        <v>0</v>
      </c>
      <c r="I1391">
        <f t="shared" si="306"/>
        <v>0</v>
      </c>
      <c r="J1391">
        <f t="shared" si="307"/>
        <v>0</v>
      </c>
      <c r="K1391" s="4" t="e">
        <f t="shared" si="310"/>
        <v>#N/A</v>
      </c>
      <c r="L1391" t="e">
        <f t="shared" si="311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8"/>
        <v>0</v>
      </c>
      <c r="B1392">
        <f t="shared" si="299"/>
        <v>0</v>
      </c>
      <c r="C1392">
        <f t="shared" si="300"/>
        <v>0</v>
      </c>
      <c r="D1392">
        <f t="shared" si="301"/>
        <v>0</v>
      </c>
      <c r="E1392" t="e">
        <f t="shared" si="302"/>
        <v>#N/A</v>
      </c>
      <c r="F1392">
        <f t="shared" si="303"/>
        <v>0</v>
      </c>
      <c r="G1392">
        <f t="shared" si="304"/>
        <v>0</v>
      </c>
      <c r="H1392">
        <f t="shared" si="305"/>
        <v>0</v>
      </c>
      <c r="I1392">
        <f t="shared" si="306"/>
        <v>0</v>
      </c>
      <c r="J1392">
        <f t="shared" si="307"/>
        <v>0</v>
      </c>
      <c r="K1392" s="4" t="e">
        <f t="shared" si="310"/>
        <v>#N/A</v>
      </c>
      <c r="L1392" t="e">
        <f t="shared" si="311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8"/>
        <v>0</v>
      </c>
      <c r="B1393">
        <f t="shared" si="299"/>
        <v>0</v>
      </c>
      <c r="C1393">
        <f t="shared" si="300"/>
        <v>0</v>
      </c>
      <c r="D1393">
        <f t="shared" si="301"/>
        <v>0</v>
      </c>
      <c r="E1393" t="e">
        <f t="shared" si="302"/>
        <v>#N/A</v>
      </c>
      <c r="F1393">
        <f t="shared" si="303"/>
        <v>0</v>
      </c>
      <c r="G1393">
        <f t="shared" si="304"/>
        <v>0</v>
      </c>
      <c r="H1393">
        <f t="shared" si="305"/>
        <v>0</v>
      </c>
      <c r="I1393">
        <f t="shared" si="306"/>
        <v>0</v>
      </c>
      <c r="J1393">
        <f t="shared" si="307"/>
        <v>0</v>
      </c>
      <c r="K1393" s="4" t="e">
        <f t="shared" si="310"/>
        <v>#N/A</v>
      </c>
      <c r="L1393" t="e">
        <f t="shared" si="311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8"/>
        <v>0</v>
      </c>
      <c r="B1394">
        <f t="shared" si="299"/>
        <v>0</v>
      </c>
      <c r="C1394">
        <f t="shared" si="300"/>
        <v>0</v>
      </c>
      <c r="D1394">
        <f t="shared" si="301"/>
        <v>0</v>
      </c>
      <c r="E1394" t="e">
        <f t="shared" si="302"/>
        <v>#N/A</v>
      </c>
      <c r="F1394">
        <f t="shared" si="303"/>
        <v>0</v>
      </c>
      <c r="G1394">
        <f t="shared" si="304"/>
        <v>0</v>
      </c>
      <c r="H1394">
        <f t="shared" si="305"/>
        <v>0</v>
      </c>
      <c r="I1394">
        <f t="shared" si="306"/>
        <v>0</v>
      </c>
      <c r="J1394">
        <f t="shared" si="307"/>
        <v>0</v>
      </c>
      <c r="K1394" s="4" t="e">
        <f t="shared" si="310"/>
        <v>#N/A</v>
      </c>
      <c r="L1394" t="e">
        <f t="shared" si="311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8"/>
        <v>0</v>
      </c>
      <c r="B1395">
        <f t="shared" si="299"/>
        <v>0</v>
      </c>
      <c r="C1395">
        <f t="shared" si="300"/>
        <v>0</v>
      </c>
      <c r="D1395">
        <f t="shared" si="301"/>
        <v>0</v>
      </c>
      <c r="E1395" t="e">
        <f t="shared" si="302"/>
        <v>#N/A</v>
      </c>
      <c r="F1395">
        <f t="shared" si="303"/>
        <v>0</v>
      </c>
      <c r="G1395">
        <f t="shared" si="304"/>
        <v>0</v>
      </c>
      <c r="H1395">
        <f t="shared" si="305"/>
        <v>0</v>
      </c>
      <c r="I1395">
        <f t="shared" si="306"/>
        <v>0</v>
      </c>
      <c r="J1395">
        <f t="shared" si="307"/>
        <v>0</v>
      </c>
      <c r="K1395" s="4" t="e">
        <f t="shared" si="310"/>
        <v>#N/A</v>
      </c>
      <c r="L1395" t="e">
        <f t="shared" si="311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8"/>
        <v>0</v>
      </c>
      <c r="B1396">
        <f t="shared" si="299"/>
        <v>0</v>
      </c>
      <c r="C1396">
        <f t="shared" si="300"/>
        <v>0</v>
      </c>
      <c r="D1396">
        <f t="shared" si="301"/>
        <v>0</v>
      </c>
      <c r="E1396" t="e">
        <f t="shared" si="302"/>
        <v>#N/A</v>
      </c>
      <c r="F1396">
        <f t="shared" si="303"/>
        <v>0</v>
      </c>
      <c r="G1396">
        <f t="shared" si="304"/>
        <v>0</v>
      </c>
      <c r="H1396">
        <f t="shared" si="305"/>
        <v>0</v>
      </c>
      <c r="I1396">
        <f t="shared" si="306"/>
        <v>0</v>
      </c>
      <c r="J1396">
        <f t="shared" si="307"/>
        <v>0</v>
      </c>
      <c r="K1396" s="4" t="e">
        <f t="shared" si="310"/>
        <v>#N/A</v>
      </c>
      <c r="L1396" t="e">
        <f t="shared" si="311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8"/>
        <v>0</v>
      </c>
      <c r="B1397">
        <f t="shared" si="299"/>
        <v>0</v>
      </c>
      <c r="C1397">
        <f t="shared" si="300"/>
        <v>0</v>
      </c>
      <c r="D1397">
        <f t="shared" si="301"/>
        <v>0</v>
      </c>
      <c r="E1397" t="e">
        <f t="shared" si="302"/>
        <v>#N/A</v>
      </c>
      <c r="F1397">
        <f t="shared" si="303"/>
        <v>0</v>
      </c>
      <c r="G1397">
        <f t="shared" si="304"/>
        <v>0</v>
      </c>
      <c r="H1397">
        <f t="shared" si="305"/>
        <v>0</v>
      </c>
      <c r="I1397">
        <f t="shared" si="306"/>
        <v>0</v>
      </c>
      <c r="J1397">
        <f t="shared" si="307"/>
        <v>0</v>
      </c>
      <c r="K1397" s="4" t="e">
        <f t="shared" si="310"/>
        <v>#N/A</v>
      </c>
      <c r="L1397" t="e">
        <f t="shared" si="311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8"/>
        <v>0</v>
      </c>
      <c r="B1398">
        <f t="shared" si="299"/>
        <v>0</v>
      </c>
      <c r="C1398">
        <f t="shared" si="300"/>
        <v>0</v>
      </c>
      <c r="D1398">
        <f t="shared" si="301"/>
        <v>0</v>
      </c>
      <c r="E1398" t="e">
        <f t="shared" si="302"/>
        <v>#N/A</v>
      </c>
      <c r="F1398">
        <f t="shared" si="303"/>
        <v>0</v>
      </c>
      <c r="G1398">
        <f t="shared" si="304"/>
        <v>0</v>
      </c>
      <c r="H1398">
        <f t="shared" si="305"/>
        <v>0</v>
      </c>
      <c r="I1398">
        <f t="shared" si="306"/>
        <v>0</v>
      </c>
      <c r="J1398">
        <f t="shared" si="307"/>
        <v>0</v>
      </c>
      <c r="K1398" s="4" t="e">
        <f t="shared" si="310"/>
        <v>#N/A</v>
      </c>
      <c r="L1398" t="e">
        <f t="shared" si="311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8"/>
        <v>0</v>
      </c>
      <c r="B1399">
        <f t="shared" si="299"/>
        <v>0</v>
      </c>
      <c r="C1399">
        <f t="shared" si="300"/>
        <v>0</v>
      </c>
      <c r="D1399">
        <f t="shared" si="301"/>
        <v>0</v>
      </c>
      <c r="E1399" t="e">
        <f t="shared" si="302"/>
        <v>#N/A</v>
      </c>
      <c r="F1399">
        <f t="shared" si="303"/>
        <v>0</v>
      </c>
      <c r="G1399">
        <f t="shared" si="304"/>
        <v>0</v>
      </c>
      <c r="H1399">
        <f t="shared" si="305"/>
        <v>0</v>
      </c>
      <c r="I1399">
        <f t="shared" si="306"/>
        <v>0</v>
      </c>
      <c r="J1399">
        <f t="shared" si="307"/>
        <v>0</v>
      </c>
      <c r="K1399" s="4" t="e">
        <f t="shared" si="310"/>
        <v>#N/A</v>
      </c>
      <c r="L1399" t="e">
        <f t="shared" si="311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8"/>
        <v>0</v>
      </c>
      <c r="B1400">
        <f t="shared" si="299"/>
        <v>0</v>
      </c>
      <c r="C1400">
        <f t="shared" si="300"/>
        <v>0</v>
      </c>
      <c r="D1400">
        <f t="shared" si="301"/>
        <v>0</v>
      </c>
      <c r="E1400" t="e">
        <f t="shared" si="302"/>
        <v>#N/A</v>
      </c>
      <c r="F1400">
        <f t="shared" si="303"/>
        <v>0</v>
      </c>
      <c r="G1400">
        <f t="shared" si="304"/>
        <v>0</v>
      </c>
      <c r="H1400">
        <f t="shared" si="305"/>
        <v>0</v>
      </c>
      <c r="I1400">
        <f t="shared" si="306"/>
        <v>0</v>
      </c>
      <c r="J1400">
        <f t="shared" si="307"/>
        <v>0</v>
      </c>
      <c r="K1400" s="4" t="e">
        <f t="shared" si="310"/>
        <v>#N/A</v>
      </c>
      <c r="L1400" t="e">
        <f t="shared" si="311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8"/>
        <v>0</v>
      </c>
      <c r="B1401">
        <f t="shared" si="299"/>
        <v>0</v>
      </c>
      <c r="C1401">
        <f t="shared" si="300"/>
        <v>0</v>
      </c>
      <c r="D1401">
        <f t="shared" si="301"/>
        <v>0</v>
      </c>
      <c r="E1401" t="e">
        <f t="shared" si="302"/>
        <v>#N/A</v>
      </c>
      <c r="F1401">
        <f t="shared" si="303"/>
        <v>0</v>
      </c>
      <c r="G1401">
        <f t="shared" si="304"/>
        <v>0</v>
      </c>
      <c r="H1401">
        <f t="shared" si="305"/>
        <v>0</v>
      </c>
      <c r="I1401">
        <f t="shared" si="306"/>
        <v>0</v>
      </c>
      <c r="J1401">
        <f t="shared" si="307"/>
        <v>0</v>
      </c>
      <c r="K1401" s="4" t="e">
        <f t="shared" si="310"/>
        <v>#N/A</v>
      </c>
      <c r="L1401" t="e">
        <f t="shared" si="311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8"/>
        <v>0</v>
      </c>
      <c r="B1402">
        <f t="shared" si="299"/>
        <v>0</v>
      </c>
      <c r="C1402">
        <f t="shared" si="300"/>
        <v>0</v>
      </c>
      <c r="D1402">
        <f t="shared" si="301"/>
        <v>0</v>
      </c>
      <c r="E1402" t="e">
        <f t="shared" si="302"/>
        <v>#N/A</v>
      </c>
      <c r="F1402">
        <f t="shared" si="303"/>
        <v>0</v>
      </c>
      <c r="G1402">
        <f t="shared" si="304"/>
        <v>0</v>
      </c>
      <c r="H1402">
        <f t="shared" si="305"/>
        <v>0</v>
      </c>
      <c r="I1402">
        <f t="shared" si="306"/>
        <v>0</v>
      </c>
      <c r="J1402">
        <f t="shared" si="307"/>
        <v>0</v>
      </c>
      <c r="K1402" s="4" t="e">
        <f t="shared" si="310"/>
        <v>#N/A</v>
      </c>
      <c r="L1402" t="e">
        <f t="shared" si="311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8"/>
        <v>0</v>
      </c>
      <c r="B1403">
        <f t="shared" si="299"/>
        <v>0</v>
      </c>
      <c r="C1403">
        <f t="shared" si="300"/>
        <v>0</v>
      </c>
      <c r="D1403">
        <f t="shared" si="301"/>
        <v>0</v>
      </c>
      <c r="E1403" t="e">
        <f t="shared" si="302"/>
        <v>#N/A</v>
      </c>
      <c r="F1403">
        <f t="shared" si="303"/>
        <v>0</v>
      </c>
      <c r="G1403">
        <f t="shared" si="304"/>
        <v>0</v>
      </c>
      <c r="H1403">
        <f t="shared" si="305"/>
        <v>0</v>
      </c>
      <c r="I1403">
        <f t="shared" si="306"/>
        <v>0</v>
      </c>
      <c r="J1403">
        <f t="shared" si="307"/>
        <v>0</v>
      </c>
      <c r="K1403" s="4" t="e">
        <f t="shared" si="310"/>
        <v>#N/A</v>
      </c>
      <c r="L1403" t="e">
        <f t="shared" si="311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8"/>
        <v>0</v>
      </c>
      <c r="B1404">
        <f t="shared" si="299"/>
        <v>0</v>
      </c>
      <c r="C1404">
        <f t="shared" si="300"/>
        <v>0</v>
      </c>
      <c r="D1404">
        <f t="shared" si="301"/>
        <v>0</v>
      </c>
      <c r="E1404" t="e">
        <f t="shared" si="302"/>
        <v>#N/A</v>
      </c>
      <c r="F1404">
        <f t="shared" si="303"/>
        <v>0</v>
      </c>
      <c r="G1404">
        <f t="shared" si="304"/>
        <v>0</v>
      </c>
      <c r="H1404">
        <f t="shared" si="305"/>
        <v>0</v>
      </c>
      <c r="I1404">
        <f t="shared" si="306"/>
        <v>0</v>
      </c>
      <c r="J1404">
        <f t="shared" si="307"/>
        <v>0</v>
      </c>
      <c r="K1404" s="4" t="e">
        <f t="shared" si="310"/>
        <v>#N/A</v>
      </c>
      <c r="L1404" t="e">
        <f t="shared" si="311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8"/>
        <v>0</v>
      </c>
      <c r="B1405">
        <f t="shared" si="299"/>
        <v>0</v>
      </c>
      <c r="C1405">
        <f t="shared" si="300"/>
        <v>0</v>
      </c>
      <c r="D1405">
        <f t="shared" si="301"/>
        <v>0</v>
      </c>
      <c r="E1405" t="e">
        <f t="shared" si="302"/>
        <v>#N/A</v>
      </c>
      <c r="F1405">
        <f t="shared" si="303"/>
        <v>0</v>
      </c>
      <c r="G1405">
        <f t="shared" si="304"/>
        <v>0</v>
      </c>
      <c r="H1405">
        <f t="shared" si="305"/>
        <v>0</v>
      </c>
      <c r="I1405">
        <f t="shared" si="306"/>
        <v>0</v>
      </c>
      <c r="J1405">
        <f t="shared" si="307"/>
        <v>0</v>
      </c>
      <c r="K1405" s="4" t="e">
        <f t="shared" si="310"/>
        <v>#N/A</v>
      </c>
      <c r="L1405" t="e">
        <f t="shared" si="311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8"/>
        <v>0</v>
      </c>
      <c r="B1406">
        <f t="shared" si="299"/>
        <v>0</v>
      </c>
      <c r="C1406">
        <f t="shared" si="300"/>
        <v>0</v>
      </c>
      <c r="D1406">
        <f t="shared" si="301"/>
        <v>0</v>
      </c>
      <c r="E1406" t="e">
        <f t="shared" si="302"/>
        <v>#N/A</v>
      </c>
      <c r="F1406">
        <f t="shared" si="303"/>
        <v>0</v>
      </c>
      <c r="G1406">
        <f t="shared" si="304"/>
        <v>0</v>
      </c>
      <c r="H1406">
        <f t="shared" si="305"/>
        <v>0</v>
      </c>
      <c r="I1406">
        <f t="shared" si="306"/>
        <v>0</v>
      </c>
      <c r="J1406">
        <f t="shared" si="307"/>
        <v>0</v>
      </c>
      <c r="K1406" s="4" t="e">
        <f t="shared" si="310"/>
        <v>#N/A</v>
      </c>
      <c r="L1406" t="e">
        <f t="shared" si="311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8"/>
        <v>0</v>
      </c>
      <c r="B1407">
        <f t="shared" si="299"/>
        <v>0</v>
      </c>
      <c r="C1407">
        <f t="shared" si="300"/>
        <v>0</v>
      </c>
      <c r="D1407">
        <f t="shared" si="301"/>
        <v>0</v>
      </c>
      <c r="E1407" t="e">
        <f t="shared" si="302"/>
        <v>#N/A</v>
      </c>
      <c r="F1407">
        <f t="shared" si="303"/>
        <v>0</v>
      </c>
      <c r="G1407">
        <f t="shared" si="304"/>
        <v>0</v>
      </c>
      <c r="H1407">
        <f t="shared" si="305"/>
        <v>0</v>
      </c>
      <c r="I1407">
        <f t="shared" si="306"/>
        <v>0</v>
      </c>
      <c r="J1407">
        <f t="shared" si="307"/>
        <v>0</v>
      </c>
      <c r="K1407" s="4" t="e">
        <f t="shared" si="310"/>
        <v>#N/A</v>
      </c>
      <c r="L1407" t="e">
        <f t="shared" si="311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8"/>
        <v>0</v>
      </c>
      <c r="B1408">
        <f t="shared" si="299"/>
        <v>0</v>
      </c>
      <c r="C1408">
        <f t="shared" si="300"/>
        <v>0</v>
      </c>
      <c r="D1408">
        <f t="shared" si="301"/>
        <v>0</v>
      </c>
      <c r="E1408" t="e">
        <f t="shared" si="302"/>
        <v>#N/A</v>
      </c>
      <c r="F1408">
        <f t="shared" si="303"/>
        <v>0</v>
      </c>
      <c r="G1408">
        <f t="shared" si="304"/>
        <v>0</v>
      </c>
      <c r="H1408">
        <f t="shared" si="305"/>
        <v>0</v>
      </c>
      <c r="I1408">
        <f t="shared" si="306"/>
        <v>0</v>
      </c>
      <c r="J1408">
        <f t="shared" si="307"/>
        <v>0</v>
      </c>
      <c r="K1408" s="4" t="e">
        <f t="shared" si="310"/>
        <v>#N/A</v>
      </c>
      <c r="L1408" t="e">
        <f t="shared" si="311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8"/>
        <v>0</v>
      </c>
      <c r="B1409">
        <f t="shared" si="299"/>
        <v>0</v>
      </c>
      <c r="C1409">
        <f t="shared" si="300"/>
        <v>0</v>
      </c>
      <c r="D1409">
        <f t="shared" si="301"/>
        <v>0</v>
      </c>
      <c r="E1409" t="e">
        <f t="shared" si="302"/>
        <v>#N/A</v>
      </c>
      <c r="F1409">
        <f t="shared" si="303"/>
        <v>0</v>
      </c>
      <c r="G1409">
        <f t="shared" si="304"/>
        <v>0</v>
      </c>
      <c r="H1409">
        <f t="shared" si="305"/>
        <v>0</v>
      </c>
      <c r="I1409">
        <f t="shared" si="306"/>
        <v>0</v>
      </c>
      <c r="J1409">
        <f t="shared" si="307"/>
        <v>0</v>
      </c>
      <c r="K1409" s="4" t="e">
        <f t="shared" si="310"/>
        <v>#N/A</v>
      </c>
      <c r="L1409" t="e">
        <f t="shared" si="311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2">bd_campaign</f>
        <v>0</v>
      </c>
      <c r="B1410">
        <f t="shared" ref="B1410:B1473" si="313">bd_site</f>
        <v>0</v>
      </c>
      <c r="C1410">
        <f t="shared" ref="C1410:C1473" si="314">bd_placement</f>
        <v>0</v>
      </c>
      <c r="D1410">
        <f t="shared" ref="D1410:D1473" si="315">bd_placementID</f>
        <v>0</v>
      </c>
      <c r="E1410" t="e">
        <f t="shared" ref="E1410:E1473" si="316">VLOOKUP(CONCATENATE(bd_adtype,"_",bd_creativetype),tabela,2,FALSE)</f>
        <v>#N/A</v>
      </c>
      <c r="F1410">
        <f t="shared" ref="F1410:F1473" si="317">bd_ad</f>
        <v>0</v>
      </c>
      <c r="G1410">
        <f t="shared" ref="G1410:G1473" si="318">bd_adid</f>
        <v>0</v>
      </c>
      <c r="H1410">
        <f t="shared" ref="H1410:H1473" si="319">bd_creativetype</f>
        <v>0</v>
      </c>
      <c r="I1410">
        <f t="shared" ref="I1410:I1473" si="320">bd_impression</f>
        <v>0</v>
      </c>
      <c r="J1410">
        <f t="shared" ref="J1410:J1473" si="321">bd_clicks</f>
        <v>0</v>
      </c>
      <c r="K1410" s="4" t="e">
        <f t="shared" si="310"/>
        <v>#N/A</v>
      </c>
      <c r="L1410" t="e">
        <f t="shared" si="311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2"/>
        <v>0</v>
      </c>
      <c r="B1411">
        <f t="shared" si="313"/>
        <v>0</v>
      </c>
      <c r="C1411">
        <f t="shared" si="314"/>
        <v>0</v>
      </c>
      <c r="D1411">
        <f t="shared" si="315"/>
        <v>0</v>
      </c>
      <c r="E1411" t="e">
        <f t="shared" si="316"/>
        <v>#N/A</v>
      </c>
      <c r="F1411">
        <f t="shared" si="317"/>
        <v>0</v>
      </c>
      <c r="G1411">
        <f t="shared" si="318"/>
        <v>0</v>
      </c>
      <c r="H1411">
        <f t="shared" si="319"/>
        <v>0</v>
      </c>
      <c r="I1411">
        <f t="shared" si="320"/>
        <v>0</v>
      </c>
      <c r="J1411">
        <f t="shared" si="321"/>
        <v>0</v>
      </c>
      <c r="K1411" s="4" t="e">
        <f t="shared" si="310"/>
        <v>#N/A</v>
      </c>
      <c r="L1411" t="e">
        <f t="shared" si="311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2"/>
        <v>0</v>
      </c>
      <c r="B1412">
        <f t="shared" si="313"/>
        <v>0</v>
      </c>
      <c r="C1412">
        <f t="shared" si="314"/>
        <v>0</v>
      </c>
      <c r="D1412">
        <f t="shared" si="315"/>
        <v>0</v>
      </c>
      <c r="E1412" t="e">
        <f t="shared" si="316"/>
        <v>#N/A</v>
      </c>
      <c r="F1412">
        <f t="shared" si="317"/>
        <v>0</v>
      </c>
      <c r="G1412">
        <f t="shared" si="318"/>
        <v>0</v>
      </c>
      <c r="H1412">
        <f t="shared" si="319"/>
        <v>0</v>
      </c>
      <c r="I1412">
        <f t="shared" si="320"/>
        <v>0</v>
      </c>
      <c r="J1412">
        <f t="shared" si="321"/>
        <v>0</v>
      </c>
      <c r="K1412" s="4" t="e">
        <f t="shared" si="310"/>
        <v>#N/A</v>
      </c>
      <c r="L1412" t="e">
        <f t="shared" si="311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2"/>
        <v>0</v>
      </c>
      <c r="B1413">
        <f t="shared" si="313"/>
        <v>0</v>
      </c>
      <c r="C1413">
        <f t="shared" si="314"/>
        <v>0</v>
      </c>
      <c r="D1413">
        <f t="shared" si="315"/>
        <v>0</v>
      </c>
      <c r="E1413" t="e">
        <f t="shared" si="316"/>
        <v>#N/A</v>
      </c>
      <c r="F1413">
        <f t="shared" si="317"/>
        <v>0</v>
      </c>
      <c r="G1413">
        <f t="shared" si="318"/>
        <v>0</v>
      </c>
      <c r="H1413">
        <f t="shared" si="319"/>
        <v>0</v>
      </c>
      <c r="I1413">
        <f t="shared" si="320"/>
        <v>0</v>
      </c>
      <c r="J1413">
        <f t="shared" si="321"/>
        <v>0</v>
      </c>
      <c r="K1413" s="4" t="e">
        <f t="shared" si="310"/>
        <v>#N/A</v>
      </c>
      <c r="L1413" t="e">
        <f t="shared" si="311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2"/>
        <v>0</v>
      </c>
      <c r="B1414">
        <f t="shared" si="313"/>
        <v>0</v>
      </c>
      <c r="C1414">
        <f t="shared" si="314"/>
        <v>0</v>
      </c>
      <c r="D1414">
        <f t="shared" si="315"/>
        <v>0</v>
      </c>
      <c r="E1414" t="e">
        <f t="shared" si="316"/>
        <v>#N/A</v>
      </c>
      <c r="F1414">
        <f t="shared" si="317"/>
        <v>0</v>
      </c>
      <c r="G1414">
        <f t="shared" si="318"/>
        <v>0</v>
      </c>
      <c r="H1414">
        <f t="shared" si="319"/>
        <v>0</v>
      </c>
      <c r="I1414">
        <f t="shared" si="320"/>
        <v>0</v>
      </c>
      <c r="J1414">
        <f t="shared" si="321"/>
        <v>0</v>
      </c>
      <c r="K1414" s="4" t="e">
        <f t="shared" si="310"/>
        <v>#N/A</v>
      </c>
      <c r="L1414" t="e">
        <f t="shared" si="311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2"/>
        <v>0</v>
      </c>
      <c r="B1415">
        <f t="shared" si="313"/>
        <v>0</v>
      </c>
      <c r="C1415">
        <f t="shared" si="314"/>
        <v>0</v>
      </c>
      <c r="D1415">
        <f t="shared" si="315"/>
        <v>0</v>
      </c>
      <c r="E1415" t="e">
        <f t="shared" si="316"/>
        <v>#N/A</v>
      </c>
      <c r="F1415">
        <f t="shared" si="317"/>
        <v>0</v>
      </c>
      <c r="G1415">
        <f t="shared" si="318"/>
        <v>0</v>
      </c>
      <c r="H1415">
        <f t="shared" si="319"/>
        <v>0</v>
      </c>
      <c r="I1415">
        <f t="shared" si="320"/>
        <v>0</v>
      </c>
      <c r="J1415">
        <f t="shared" si="321"/>
        <v>0</v>
      </c>
      <c r="K1415" s="4" t="e">
        <f t="shared" si="310"/>
        <v>#N/A</v>
      </c>
      <c r="L1415" t="e">
        <f t="shared" si="311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2"/>
        <v>0</v>
      </c>
      <c r="B1416">
        <f t="shared" si="313"/>
        <v>0</v>
      </c>
      <c r="C1416">
        <f t="shared" si="314"/>
        <v>0</v>
      </c>
      <c r="D1416">
        <f t="shared" si="315"/>
        <v>0</v>
      </c>
      <c r="E1416" t="e">
        <f t="shared" si="316"/>
        <v>#N/A</v>
      </c>
      <c r="F1416">
        <f t="shared" si="317"/>
        <v>0</v>
      </c>
      <c r="G1416">
        <f t="shared" si="318"/>
        <v>0</v>
      </c>
      <c r="H1416">
        <f t="shared" si="319"/>
        <v>0</v>
      </c>
      <c r="I1416">
        <f t="shared" si="320"/>
        <v>0</v>
      </c>
      <c r="J1416">
        <f t="shared" si="321"/>
        <v>0</v>
      </c>
      <c r="K1416" s="4" t="e">
        <f t="shared" si="310"/>
        <v>#N/A</v>
      </c>
      <c r="L1416" t="e">
        <f t="shared" si="311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2"/>
        <v>0</v>
      </c>
      <c r="B1417">
        <f t="shared" si="313"/>
        <v>0</v>
      </c>
      <c r="C1417">
        <f t="shared" si="314"/>
        <v>0</v>
      </c>
      <c r="D1417">
        <f t="shared" si="315"/>
        <v>0</v>
      </c>
      <c r="E1417" t="e">
        <f t="shared" si="316"/>
        <v>#N/A</v>
      </c>
      <c r="F1417">
        <f t="shared" si="317"/>
        <v>0</v>
      </c>
      <c r="G1417">
        <f t="shared" si="318"/>
        <v>0</v>
      </c>
      <c r="H1417">
        <f t="shared" si="319"/>
        <v>0</v>
      </c>
      <c r="I1417">
        <f t="shared" si="320"/>
        <v>0</v>
      </c>
      <c r="J1417">
        <f t="shared" si="321"/>
        <v>0</v>
      </c>
      <c r="K1417" s="4" t="e">
        <f t="shared" si="310"/>
        <v>#N/A</v>
      </c>
      <c r="L1417" t="e">
        <f t="shared" si="311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2"/>
        <v>0</v>
      </c>
      <c r="B1418">
        <f t="shared" si="313"/>
        <v>0</v>
      </c>
      <c r="C1418">
        <f t="shared" si="314"/>
        <v>0</v>
      </c>
      <c r="D1418">
        <f t="shared" si="315"/>
        <v>0</v>
      </c>
      <c r="E1418" t="e">
        <f t="shared" si="316"/>
        <v>#N/A</v>
      </c>
      <c r="F1418">
        <f t="shared" si="317"/>
        <v>0</v>
      </c>
      <c r="G1418">
        <f t="shared" si="318"/>
        <v>0</v>
      </c>
      <c r="H1418">
        <f t="shared" si="319"/>
        <v>0</v>
      </c>
      <c r="I1418">
        <f t="shared" si="320"/>
        <v>0</v>
      </c>
      <c r="J1418">
        <f t="shared" si="321"/>
        <v>0</v>
      </c>
      <c r="K1418" s="4" t="e">
        <f t="shared" si="310"/>
        <v>#N/A</v>
      </c>
      <c r="L1418" t="e">
        <f t="shared" si="311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2"/>
        <v>0</v>
      </c>
      <c r="B1419">
        <f t="shared" si="313"/>
        <v>0</v>
      </c>
      <c r="C1419">
        <f t="shared" si="314"/>
        <v>0</v>
      </c>
      <c r="D1419">
        <f t="shared" si="315"/>
        <v>0</v>
      </c>
      <c r="E1419" t="e">
        <f t="shared" si="316"/>
        <v>#N/A</v>
      </c>
      <c r="F1419">
        <f t="shared" si="317"/>
        <v>0</v>
      </c>
      <c r="G1419">
        <f t="shared" si="318"/>
        <v>0</v>
      </c>
      <c r="H1419">
        <f t="shared" si="319"/>
        <v>0</v>
      </c>
      <c r="I1419">
        <f t="shared" si="320"/>
        <v>0</v>
      </c>
      <c r="J1419">
        <f t="shared" si="321"/>
        <v>0</v>
      </c>
      <c r="K1419" s="4" t="e">
        <f t="shared" si="310"/>
        <v>#N/A</v>
      </c>
      <c r="L1419" t="e">
        <f t="shared" si="311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2"/>
        <v>0</v>
      </c>
      <c r="B1420">
        <f t="shared" si="313"/>
        <v>0</v>
      </c>
      <c r="C1420">
        <f t="shared" si="314"/>
        <v>0</v>
      </c>
      <c r="D1420">
        <f t="shared" si="315"/>
        <v>0</v>
      </c>
      <c r="E1420" t="e">
        <f t="shared" si="316"/>
        <v>#N/A</v>
      </c>
      <c r="F1420">
        <f t="shared" si="317"/>
        <v>0</v>
      </c>
      <c r="G1420">
        <f t="shared" si="318"/>
        <v>0</v>
      </c>
      <c r="H1420">
        <f t="shared" si="319"/>
        <v>0</v>
      </c>
      <c r="I1420">
        <f t="shared" si="320"/>
        <v>0</v>
      </c>
      <c r="J1420">
        <f t="shared" si="321"/>
        <v>0</v>
      </c>
      <c r="K1420" s="4" t="e">
        <f t="shared" si="310"/>
        <v>#N/A</v>
      </c>
      <c r="L1420" t="e">
        <f t="shared" si="311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2"/>
        <v>0</v>
      </c>
      <c r="B1421">
        <f t="shared" si="313"/>
        <v>0</v>
      </c>
      <c r="C1421">
        <f t="shared" si="314"/>
        <v>0</v>
      </c>
      <c r="D1421">
        <f t="shared" si="315"/>
        <v>0</v>
      </c>
      <c r="E1421" t="e">
        <f t="shared" si="316"/>
        <v>#N/A</v>
      </c>
      <c r="F1421">
        <f t="shared" si="317"/>
        <v>0</v>
      </c>
      <c r="G1421">
        <f t="shared" si="318"/>
        <v>0</v>
      </c>
      <c r="H1421">
        <f t="shared" si="319"/>
        <v>0</v>
      </c>
      <c r="I1421">
        <f t="shared" si="320"/>
        <v>0</v>
      </c>
      <c r="J1421">
        <f t="shared" si="321"/>
        <v>0</v>
      </c>
      <c r="K1421" s="4" t="e">
        <f t="shared" si="310"/>
        <v>#N/A</v>
      </c>
      <c r="L1421" t="e">
        <f t="shared" si="311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2"/>
        <v>0</v>
      </c>
      <c r="B1422">
        <f t="shared" si="313"/>
        <v>0</v>
      </c>
      <c r="C1422">
        <f t="shared" si="314"/>
        <v>0</v>
      </c>
      <c r="D1422">
        <f t="shared" si="315"/>
        <v>0</v>
      </c>
      <c r="E1422" t="e">
        <f t="shared" si="316"/>
        <v>#N/A</v>
      </c>
      <c r="F1422">
        <f t="shared" si="317"/>
        <v>0</v>
      </c>
      <c r="G1422">
        <f t="shared" si="318"/>
        <v>0</v>
      </c>
      <c r="H1422">
        <f t="shared" si="319"/>
        <v>0</v>
      </c>
      <c r="I1422">
        <f t="shared" si="320"/>
        <v>0</v>
      </c>
      <c r="J1422">
        <f t="shared" si="321"/>
        <v>0</v>
      </c>
      <c r="K1422" s="4" t="e">
        <f t="shared" si="310"/>
        <v>#N/A</v>
      </c>
      <c r="L1422" t="e">
        <f t="shared" si="311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2"/>
        <v>0</v>
      </c>
      <c r="B1423">
        <f t="shared" si="313"/>
        <v>0</v>
      </c>
      <c r="C1423">
        <f t="shared" si="314"/>
        <v>0</v>
      </c>
      <c r="D1423">
        <f t="shared" si="315"/>
        <v>0</v>
      </c>
      <c r="E1423" t="e">
        <f t="shared" si="316"/>
        <v>#N/A</v>
      </c>
      <c r="F1423">
        <f t="shared" si="317"/>
        <v>0</v>
      </c>
      <c r="G1423">
        <f t="shared" si="318"/>
        <v>0</v>
      </c>
      <c r="H1423">
        <f t="shared" si="319"/>
        <v>0</v>
      </c>
      <c r="I1423">
        <f t="shared" si="320"/>
        <v>0</v>
      </c>
      <c r="J1423">
        <f t="shared" si="321"/>
        <v>0</v>
      </c>
      <c r="K1423" s="4" t="e">
        <f t="shared" si="310"/>
        <v>#N/A</v>
      </c>
      <c r="L1423" t="e">
        <f t="shared" si="311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2"/>
        <v>0</v>
      </c>
      <c r="B1424">
        <f t="shared" si="313"/>
        <v>0</v>
      </c>
      <c r="C1424">
        <f t="shared" si="314"/>
        <v>0</v>
      </c>
      <c r="D1424">
        <f t="shared" si="315"/>
        <v>0</v>
      </c>
      <c r="E1424" t="e">
        <f t="shared" si="316"/>
        <v>#N/A</v>
      </c>
      <c r="F1424">
        <f t="shared" si="317"/>
        <v>0</v>
      </c>
      <c r="G1424">
        <f t="shared" si="318"/>
        <v>0</v>
      </c>
      <c r="H1424">
        <f t="shared" si="319"/>
        <v>0</v>
      </c>
      <c r="I1424">
        <f t="shared" si="320"/>
        <v>0</v>
      </c>
      <c r="J1424">
        <f t="shared" si="321"/>
        <v>0</v>
      </c>
      <c r="K1424" s="4" t="e">
        <f t="shared" si="310"/>
        <v>#N/A</v>
      </c>
      <c r="L1424" t="e">
        <f t="shared" si="311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2"/>
        <v>0</v>
      </c>
      <c r="B1425">
        <f t="shared" si="313"/>
        <v>0</v>
      </c>
      <c r="C1425">
        <f t="shared" si="314"/>
        <v>0</v>
      </c>
      <c r="D1425">
        <f t="shared" si="315"/>
        <v>0</v>
      </c>
      <c r="E1425" t="e">
        <f t="shared" si="316"/>
        <v>#N/A</v>
      </c>
      <c r="F1425">
        <f t="shared" si="317"/>
        <v>0</v>
      </c>
      <c r="G1425">
        <f t="shared" si="318"/>
        <v>0</v>
      </c>
      <c r="H1425">
        <f t="shared" si="319"/>
        <v>0</v>
      </c>
      <c r="I1425">
        <f t="shared" si="320"/>
        <v>0</v>
      </c>
      <c r="J1425">
        <f t="shared" si="321"/>
        <v>0</v>
      </c>
      <c r="K1425" s="4" t="e">
        <f t="shared" si="310"/>
        <v>#N/A</v>
      </c>
      <c r="L1425" t="e">
        <f t="shared" si="311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2"/>
        <v>0</v>
      </c>
      <c r="B1426">
        <f t="shared" si="313"/>
        <v>0</v>
      </c>
      <c r="C1426">
        <f t="shared" si="314"/>
        <v>0</v>
      </c>
      <c r="D1426">
        <f t="shared" si="315"/>
        <v>0</v>
      </c>
      <c r="E1426" t="e">
        <f t="shared" si="316"/>
        <v>#N/A</v>
      </c>
      <c r="F1426">
        <f t="shared" si="317"/>
        <v>0</v>
      </c>
      <c r="G1426">
        <f t="shared" si="318"/>
        <v>0</v>
      </c>
      <c r="H1426">
        <f t="shared" si="319"/>
        <v>0</v>
      </c>
      <c r="I1426">
        <f t="shared" si="320"/>
        <v>0</v>
      </c>
      <c r="J1426">
        <f t="shared" si="321"/>
        <v>0</v>
      </c>
      <c r="K1426" s="4" t="e">
        <f t="shared" si="310"/>
        <v>#N/A</v>
      </c>
      <c r="L1426" t="e">
        <f t="shared" si="311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2"/>
        <v>0</v>
      </c>
      <c r="B1427">
        <f t="shared" si="313"/>
        <v>0</v>
      </c>
      <c r="C1427">
        <f t="shared" si="314"/>
        <v>0</v>
      </c>
      <c r="D1427">
        <f t="shared" si="315"/>
        <v>0</v>
      </c>
      <c r="E1427" t="e">
        <f t="shared" si="316"/>
        <v>#N/A</v>
      </c>
      <c r="F1427">
        <f t="shared" si="317"/>
        <v>0</v>
      </c>
      <c r="G1427">
        <f t="shared" si="318"/>
        <v>0</v>
      </c>
      <c r="H1427">
        <f t="shared" si="319"/>
        <v>0</v>
      </c>
      <c r="I1427">
        <f t="shared" si="320"/>
        <v>0</v>
      </c>
      <c r="J1427">
        <f t="shared" si="321"/>
        <v>0</v>
      </c>
      <c r="K1427" s="4" t="e">
        <f t="shared" si="310"/>
        <v>#N/A</v>
      </c>
      <c r="L1427" t="e">
        <f t="shared" si="311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2"/>
        <v>0</v>
      </c>
      <c r="B1428">
        <f t="shared" si="313"/>
        <v>0</v>
      </c>
      <c r="C1428">
        <f t="shared" si="314"/>
        <v>0</v>
      </c>
      <c r="D1428">
        <f t="shared" si="315"/>
        <v>0</v>
      </c>
      <c r="E1428" t="e">
        <f t="shared" si="316"/>
        <v>#N/A</v>
      </c>
      <c r="F1428">
        <f t="shared" si="317"/>
        <v>0</v>
      </c>
      <c r="G1428">
        <f t="shared" si="318"/>
        <v>0</v>
      </c>
      <c r="H1428">
        <f t="shared" si="319"/>
        <v>0</v>
      </c>
      <c r="I1428">
        <f t="shared" si="320"/>
        <v>0</v>
      </c>
      <c r="J1428">
        <f t="shared" si="321"/>
        <v>0</v>
      </c>
      <c r="K1428" s="4" t="e">
        <f t="shared" si="310"/>
        <v>#N/A</v>
      </c>
      <c r="L1428" t="e">
        <f t="shared" si="311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2"/>
        <v>0</v>
      </c>
      <c r="B1429">
        <f t="shared" si="313"/>
        <v>0</v>
      </c>
      <c r="C1429">
        <f t="shared" si="314"/>
        <v>0</v>
      </c>
      <c r="D1429">
        <f t="shared" si="315"/>
        <v>0</v>
      </c>
      <c r="E1429" t="e">
        <f t="shared" si="316"/>
        <v>#N/A</v>
      </c>
      <c r="F1429">
        <f t="shared" si="317"/>
        <v>0</v>
      </c>
      <c r="G1429">
        <f t="shared" si="318"/>
        <v>0</v>
      </c>
      <c r="H1429">
        <f t="shared" si="319"/>
        <v>0</v>
      </c>
      <c r="I1429">
        <f t="shared" si="320"/>
        <v>0</v>
      </c>
      <c r="J1429">
        <f t="shared" si="321"/>
        <v>0</v>
      </c>
      <c r="K1429" s="4" t="e">
        <f t="shared" si="310"/>
        <v>#N/A</v>
      </c>
      <c r="L1429" t="e">
        <f t="shared" si="311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2"/>
        <v>0</v>
      </c>
      <c r="B1430">
        <f t="shared" si="313"/>
        <v>0</v>
      </c>
      <c r="C1430">
        <f t="shared" si="314"/>
        <v>0</v>
      </c>
      <c r="D1430">
        <f t="shared" si="315"/>
        <v>0</v>
      </c>
      <c r="E1430" t="e">
        <f t="shared" si="316"/>
        <v>#N/A</v>
      </c>
      <c r="F1430">
        <f t="shared" si="317"/>
        <v>0</v>
      </c>
      <c r="G1430">
        <f t="shared" si="318"/>
        <v>0</v>
      </c>
      <c r="H1430">
        <f t="shared" si="319"/>
        <v>0</v>
      </c>
      <c r="I1430">
        <f t="shared" si="320"/>
        <v>0</v>
      </c>
      <c r="J1430">
        <f t="shared" si="321"/>
        <v>0</v>
      </c>
      <c r="K1430" s="4" t="e">
        <f t="shared" si="310"/>
        <v>#N/A</v>
      </c>
      <c r="L1430" t="e">
        <f t="shared" si="311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2"/>
        <v>0</v>
      </c>
      <c r="B1431">
        <f t="shared" si="313"/>
        <v>0</v>
      </c>
      <c r="C1431">
        <f t="shared" si="314"/>
        <v>0</v>
      </c>
      <c r="D1431">
        <f t="shared" si="315"/>
        <v>0</v>
      </c>
      <c r="E1431" t="e">
        <f t="shared" si="316"/>
        <v>#N/A</v>
      </c>
      <c r="F1431">
        <f t="shared" si="317"/>
        <v>0</v>
      </c>
      <c r="G1431">
        <f t="shared" si="318"/>
        <v>0</v>
      </c>
      <c r="H1431">
        <f t="shared" si="319"/>
        <v>0</v>
      </c>
      <c r="I1431">
        <f t="shared" si="320"/>
        <v>0</v>
      </c>
      <c r="J1431">
        <f t="shared" si="321"/>
        <v>0</v>
      </c>
      <c r="K1431" s="4" t="e">
        <f t="shared" si="310"/>
        <v>#N/A</v>
      </c>
      <c r="L1431" t="e">
        <f t="shared" si="311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2"/>
        <v>0</v>
      </c>
      <c r="B1432">
        <f t="shared" si="313"/>
        <v>0</v>
      </c>
      <c r="C1432">
        <f t="shared" si="314"/>
        <v>0</v>
      </c>
      <c r="D1432">
        <f t="shared" si="315"/>
        <v>0</v>
      </c>
      <c r="E1432" t="e">
        <f t="shared" si="316"/>
        <v>#N/A</v>
      </c>
      <c r="F1432">
        <f t="shared" si="317"/>
        <v>0</v>
      </c>
      <c r="G1432">
        <f t="shared" si="318"/>
        <v>0</v>
      </c>
      <c r="H1432">
        <f t="shared" si="319"/>
        <v>0</v>
      </c>
      <c r="I1432">
        <f t="shared" si="320"/>
        <v>0</v>
      </c>
      <c r="J1432">
        <f t="shared" si="321"/>
        <v>0</v>
      </c>
      <c r="K1432" s="4" t="e">
        <f t="shared" si="310"/>
        <v>#N/A</v>
      </c>
      <c r="L1432" t="e">
        <f t="shared" si="311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2"/>
        <v>0</v>
      </c>
      <c r="B1433">
        <f t="shared" si="313"/>
        <v>0</v>
      </c>
      <c r="C1433">
        <f t="shared" si="314"/>
        <v>0</v>
      </c>
      <c r="D1433">
        <f t="shared" si="315"/>
        <v>0</v>
      </c>
      <c r="E1433" t="e">
        <f t="shared" si="316"/>
        <v>#N/A</v>
      </c>
      <c r="F1433">
        <f t="shared" si="317"/>
        <v>0</v>
      </c>
      <c r="G1433">
        <f t="shared" si="318"/>
        <v>0</v>
      </c>
      <c r="H1433">
        <f t="shared" si="319"/>
        <v>0</v>
      </c>
      <c r="I1433">
        <f t="shared" si="320"/>
        <v>0</v>
      </c>
      <c r="J1433">
        <f t="shared" si="321"/>
        <v>0</v>
      </c>
      <c r="K1433" s="4" t="e">
        <f t="shared" si="310"/>
        <v>#N/A</v>
      </c>
      <c r="L1433" t="e">
        <f t="shared" si="311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2"/>
        <v>0</v>
      </c>
      <c r="B1434">
        <f t="shared" si="313"/>
        <v>0</v>
      </c>
      <c r="C1434">
        <f t="shared" si="314"/>
        <v>0</v>
      </c>
      <c r="D1434">
        <f t="shared" si="315"/>
        <v>0</v>
      </c>
      <c r="E1434" t="e">
        <f t="shared" si="316"/>
        <v>#N/A</v>
      </c>
      <c r="F1434">
        <f t="shared" si="317"/>
        <v>0</v>
      </c>
      <c r="G1434">
        <f t="shared" si="318"/>
        <v>0</v>
      </c>
      <c r="H1434">
        <f t="shared" si="319"/>
        <v>0</v>
      </c>
      <c r="I1434">
        <f t="shared" si="320"/>
        <v>0</v>
      </c>
      <c r="J1434">
        <f t="shared" si="321"/>
        <v>0</v>
      </c>
      <c r="K1434" s="4" t="e">
        <f t="shared" si="310"/>
        <v>#N/A</v>
      </c>
      <c r="L1434" t="e">
        <f t="shared" si="311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2"/>
        <v>0</v>
      </c>
      <c r="B1435">
        <f t="shared" si="313"/>
        <v>0</v>
      </c>
      <c r="C1435">
        <f t="shared" si="314"/>
        <v>0</v>
      </c>
      <c r="D1435">
        <f t="shared" si="315"/>
        <v>0</v>
      </c>
      <c r="E1435" t="e">
        <f t="shared" si="316"/>
        <v>#N/A</v>
      </c>
      <c r="F1435">
        <f t="shared" si="317"/>
        <v>0</v>
      </c>
      <c r="G1435">
        <f t="shared" si="318"/>
        <v>0</v>
      </c>
      <c r="H1435">
        <f t="shared" si="319"/>
        <v>0</v>
      </c>
      <c r="I1435">
        <f t="shared" si="320"/>
        <v>0</v>
      </c>
      <c r="J1435">
        <f t="shared" si="321"/>
        <v>0</v>
      </c>
      <c r="K1435" s="4" t="e">
        <f t="shared" si="310"/>
        <v>#N/A</v>
      </c>
      <c r="L1435" t="e">
        <f t="shared" si="311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2"/>
        <v>0</v>
      </c>
      <c r="B1436">
        <f t="shared" si="313"/>
        <v>0</v>
      </c>
      <c r="C1436">
        <f t="shared" si="314"/>
        <v>0</v>
      </c>
      <c r="D1436">
        <f t="shared" si="315"/>
        <v>0</v>
      </c>
      <c r="E1436" t="e">
        <f t="shared" si="316"/>
        <v>#N/A</v>
      </c>
      <c r="F1436">
        <f t="shared" si="317"/>
        <v>0</v>
      </c>
      <c r="G1436">
        <f t="shared" si="318"/>
        <v>0</v>
      </c>
      <c r="H1436">
        <f t="shared" si="319"/>
        <v>0</v>
      </c>
      <c r="I1436">
        <f t="shared" si="320"/>
        <v>0</v>
      </c>
      <c r="J1436">
        <f t="shared" si="321"/>
        <v>0</v>
      </c>
      <c r="K1436" s="4" t="e">
        <f t="shared" si="310"/>
        <v>#N/A</v>
      </c>
      <c r="L1436" t="e">
        <f t="shared" si="311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2"/>
        <v>0</v>
      </c>
      <c r="B1437">
        <f t="shared" si="313"/>
        <v>0</v>
      </c>
      <c r="C1437">
        <f t="shared" si="314"/>
        <v>0</v>
      </c>
      <c r="D1437">
        <f t="shared" si="315"/>
        <v>0</v>
      </c>
      <c r="E1437" t="e">
        <f t="shared" si="316"/>
        <v>#N/A</v>
      </c>
      <c r="F1437">
        <f t="shared" si="317"/>
        <v>0</v>
      </c>
      <c r="G1437">
        <f t="shared" si="318"/>
        <v>0</v>
      </c>
      <c r="H1437">
        <f t="shared" si="319"/>
        <v>0</v>
      </c>
      <c r="I1437">
        <f t="shared" si="320"/>
        <v>0</v>
      </c>
      <c r="J1437">
        <f t="shared" si="321"/>
        <v>0</v>
      </c>
      <c r="K1437" s="4" t="e">
        <f t="shared" si="310"/>
        <v>#N/A</v>
      </c>
      <c r="L1437" t="e">
        <f t="shared" si="311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2"/>
        <v>0</v>
      </c>
      <c r="B1438">
        <f t="shared" si="313"/>
        <v>0</v>
      </c>
      <c r="C1438">
        <f t="shared" si="314"/>
        <v>0</v>
      </c>
      <c r="D1438">
        <f t="shared" si="315"/>
        <v>0</v>
      </c>
      <c r="E1438" t="e">
        <f t="shared" si="316"/>
        <v>#N/A</v>
      </c>
      <c r="F1438">
        <f t="shared" si="317"/>
        <v>0</v>
      </c>
      <c r="G1438">
        <f t="shared" si="318"/>
        <v>0</v>
      </c>
      <c r="H1438">
        <f t="shared" si="319"/>
        <v>0</v>
      </c>
      <c r="I1438">
        <f t="shared" si="320"/>
        <v>0</v>
      </c>
      <c r="J1438">
        <f t="shared" si="321"/>
        <v>0</v>
      </c>
      <c r="K1438" s="4" t="e">
        <f t="shared" si="310"/>
        <v>#N/A</v>
      </c>
      <c r="L1438" t="e">
        <f t="shared" si="311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2"/>
        <v>0</v>
      </c>
      <c r="B1439">
        <f t="shared" si="313"/>
        <v>0</v>
      </c>
      <c r="C1439">
        <f t="shared" si="314"/>
        <v>0</v>
      </c>
      <c r="D1439">
        <f t="shared" si="315"/>
        <v>0</v>
      </c>
      <c r="E1439" t="e">
        <f t="shared" si="316"/>
        <v>#N/A</v>
      </c>
      <c r="F1439">
        <f t="shared" si="317"/>
        <v>0</v>
      </c>
      <c r="G1439">
        <f t="shared" si="318"/>
        <v>0</v>
      </c>
      <c r="H1439">
        <f t="shared" si="319"/>
        <v>0</v>
      </c>
      <c r="I1439">
        <f t="shared" si="320"/>
        <v>0</v>
      </c>
      <c r="J1439">
        <f t="shared" si="321"/>
        <v>0</v>
      </c>
      <c r="K1439" s="4" t="e">
        <f t="shared" si="310"/>
        <v>#N/A</v>
      </c>
      <c r="L1439" t="e">
        <f t="shared" si="311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2"/>
        <v>0</v>
      </c>
      <c r="B1440">
        <f t="shared" si="313"/>
        <v>0</v>
      </c>
      <c r="C1440">
        <f t="shared" si="314"/>
        <v>0</v>
      </c>
      <c r="D1440">
        <f t="shared" si="315"/>
        <v>0</v>
      </c>
      <c r="E1440" t="e">
        <f t="shared" si="316"/>
        <v>#N/A</v>
      </c>
      <c r="F1440">
        <f t="shared" si="317"/>
        <v>0</v>
      </c>
      <c r="G1440">
        <f t="shared" si="318"/>
        <v>0</v>
      </c>
      <c r="H1440">
        <f t="shared" si="319"/>
        <v>0</v>
      </c>
      <c r="I1440">
        <f t="shared" si="320"/>
        <v>0</v>
      </c>
      <c r="J1440">
        <f t="shared" si="321"/>
        <v>0</v>
      </c>
      <c r="K1440" s="4" t="e">
        <f t="shared" si="310"/>
        <v>#N/A</v>
      </c>
      <c r="L1440" t="e">
        <f t="shared" si="311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2"/>
        <v>0</v>
      </c>
      <c r="B1441">
        <f t="shared" si="313"/>
        <v>0</v>
      </c>
      <c r="C1441">
        <f t="shared" si="314"/>
        <v>0</v>
      </c>
      <c r="D1441">
        <f t="shared" si="315"/>
        <v>0</v>
      </c>
      <c r="E1441" t="e">
        <f t="shared" si="316"/>
        <v>#N/A</v>
      </c>
      <c r="F1441">
        <f t="shared" si="317"/>
        <v>0</v>
      </c>
      <c r="G1441">
        <f t="shared" si="318"/>
        <v>0</v>
      </c>
      <c r="H1441">
        <f t="shared" si="319"/>
        <v>0</v>
      </c>
      <c r="I1441">
        <f t="shared" si="320"/>
        <v>0</v>
      </c>
      <c r="J1441">
        <f t="shared" si="321"/>
        <v>0</v>
      </c>
      <c r="K1441" s="4" t="e">
        <f t="shared" si="310"/>
        <v>#N/A</v>
      </c>
      <c r="L1441" t="e">
        <f t="shared" si="311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2"/>
        <v>0</v>
      </c>
      <c r="B1442">
        <f t="shared" si="313"/>
        <v>0</v>
      </c>
      <c r="C1442">
        <f t="shared" si="314"/>
        <v>0</v>
      </c>
      <c r="D1442">
        <f t="shared" si="315"/>
        <v>0</v>
      </c>
      <c r="E1442" t="e">
        <f t="shared" si="316"/>
        <v>#N/A</v>
      </c>
      <c r="F1442">
        <f t="shared" si="317"/>
        <v>0</v>
      </c>
      <c r="G1442">
        <f t="shared" si="318"/>
        <v>0</v>
      </c>
      <c r="H1442">
        <f t="shared" si="319"/>
        <v>0</v>
      </c>
      <c r="I1442">
        <f t="shared" si="320"/>
        <v>0</v>
      </c>
      <c r="J1442">
        <f t="shared" si="321"/>
        <v>0</v>
      </c>
      <c r="K1442" s="4" t="e">
        <f t="shared" si="310"/>
        <v>#N/A</v>
      </c>
      <c r="L1442" t="e">
        <f t="shared" si="311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2"/>
        <v>0</v>
      </c>
      <c r="B1443">
        <f t="shared" si="313"/>
        <v>0</v>
      </c>
      <c r="C1443">
        <f t="shared" si="314"/>
        <v>0</v>
      </c>
      <c r="D1443">
        <f t="shared" si="315"/>
        <v>0</v>
      </c>
      <c r="E1443" t="e">
        <f t="shared" si="316"/>
        <v>#N/A</v>
      </c>
      <c r="F1443">
        <f t="shared" si="317"/>
        <v>0</v>
      </c>
      <c r="G1443">
        <f t="shared" si="318"/>
        <v>0</v>
      </c>
      <c r="H1443">
        <f t="shared" si="319"/>
        <v>0</v>
      </c>
      <c r="I1443">
        <f t="shared" si="320"/>
        <v>0</v>
      </c>
      <c r="J1443">
        <f t="shared" si="321"/>
        <v>0</v>
      </c>
      <c r="K1443" s="4" t="e">
        <f t="shared" si="310"/>
        <v>#N/A</v>
      </c>
      <c r="L1443" t="e">
        <f t="shared" si="311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2"/>
        <v>0</v>
      </c>
      <c r="B1444">
        <f t="shared" si="313"/>
        <v>0</v>
      </c>
      <c r="C1444">
        <f t="shared" si="314"/>
        <v>0</v>
      </c>
      <c r="D1444">
        <f t="shared" si="315"/>
        <v>0</v>
      </c>
      <c r="E1444" t="e">
        <f t="shared" si="316"/>
        <v>#N/A</v>
      </c>
      <c r="F1444">
        <f t="shared" si="317"/>
        <v>0</v>
      </c>
      <c r="G1444">
        <f t="shared" si="318"/>
        <v>0</v>
      </c>
      <c r="H1444">
        <f t="shared" si="319"/>
        <v>0</v>
      </c>
      <c r="I1444">
        <f t="shared" si="320"/>
        <v>0</v>
      </c>
      <c r="J1444">
        <f t="shared" si="321"/>
        <v>0</v>
      </c>
      <c r="K1444" s="4" t="e">
        <f t="shared" si="310"/>
        <v>#N/A</v>
      </c>
      <c r="L1444" t="e">
        <f t="shared" si="311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2"/>
        <v>0</v>
      </c>
      <c r="B1445">
        <f t="shared" si="313"/>
        <v>0</v>
      </c>
      <c r="C1445">
        <f t="shared" si="314"/>
        <v>0</v>
      </c>
      <c r="D1445">
        <f t="shared" si="315"/>
        <v>0</v>
      </c>
      <c r="E1445" t="e">
        <f t="shared" si="316"/>
        <v>#N/A</v>
      </c>
      <c r="F1445">
        <f t="shared" si="317"/>
        <v>0</v>
      </c>
      <c r="G1445">
        <f t="shared" si="318"/>
        <v>0</v>
      </c>
      <c r="H1445">
        <f t="shared" si="319"/>
        <v>0</v>
      </c>
      <c r="I1445">
        <f t="shared" si="320"/>
        <v>0</v>
      </c>
      <c r="J1445">
        <f t="shared" si="321"/>
        <v>0</v>
      </c>
      <c r="K1445" s="4" t="e">
        <f t="shared" si="310"/>
        <v>#N/A</v>
      </c>
      <c r="L1445" t="e">
        <f t="shared" si="311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2"/>
        <v>0</v>
      </c>
      <c r="B1446">
        <f t="shared" si="313"/>
        <v>0</v>
      </c>
      <c r="C1446">
        <f t="shared" si="314"/>
        <v>0</v>
      </c>
      <c r="D1446">
        <f t="shared" si="315"/>
        <v>0</v>
      </c>
      <c r="E1446" t="e">
        <f t="shared" si="316"/>
        <v>#N/A</v>
      </c>
      <c r="F1446">
        <f t="shared" si="317"/>
        <v>0</v>
      </c>
      <c r="G1446">
        <f t="shared" si="318"/>
        <v>0</v>
      </c>
      <c r="H1446">
        <f t="shared" si="319"/>
        <v>0</v>
      </c>
      <c r="I1446">
        <f t="shared" si="320"/>
        <v>0</v>
      </c>
      <c r="J1446">
        <f t="shared" si="321"/>
        <v>0</v>
      </c>
      <c r="K1446" s="4" t="e">
        <f t="shared" si="310"/>
        <v>#N/A</v>
      </c>
      <c r="L1446" t="e">
        <f t="shared" si="311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2"/>
        <v>0</v>
      </c>
      <c r="B1447">
        <f t="shared" si="313"/>
        <v>0</v>
      </c>
      <c r="C1447">
        <f t="shared" si="314"/>
        <v>0</v>
      </c>
      <c r="D1447">
        <f t="shared" si="315"/>
        <v>0</v>
      </c>
      <c r="E1447" t="e">
        <f t="shared" si="316"/>
        <v>#N/A</v>
      </c>
      <c r="F1447">
        <f t="shared" si="317"/>
        <v>0</v>
      </c>
      <c r="G1447">
        <f t="shared" si="318"/>
        <v>0</v>
      </c>
      <c r="H1447">
        <f t="shared" si="319"/>
        <v>0</v>
      </c>
      <c r="I1447">
        <f t="shared" si="320"/>
        <v>0</v>
      </c>
      <c r="J1447">
        <f t="shared" si="321"/>
        <v>0</v>
      </c>
      <c r="K1447" s="4" t="e">
        <f t="shared" si="310"/>
        <v>#N/A</v>
      </c>
      <c r="L1447" t="e">
        <f t="shared" si="311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2"/>
        <v>0</v>
      </c>
      <c r="B1448">
        <f t="shared" si="313"/>
        <v>0</v>
      </c>
      <c r="C1448">
        <f t="shared" si="314"/>
        <v>0</v>
      </c>
      <c r="D1448">
        <f t="shared" si="315"/>
        <v>0</v>
      </c>
      <c r="E1448" t="e">
        <f t="shared" si="316"/>
        <v>#N/A</v>
      </c>
      <c r="F1448">
        <f t="shared" si="317"/>
        <v>0</v>
      </c>
      <c r="G1448">
        <f t="shared" si="318"/>
        <v>0</v>
      </c>
      <c r="H1448">
        <f t="shared" si="319"/>
        <v>0</v>
      </c>
      <c r="I1448">
        <f t="shared" si="320"/>
        <v>0</v>
      </c>
      <c r="J1448">
        <f t="shared" si="321"/>
        <v>0</v>
      </c>
      <c r="K1448" s="4" t="e">
        <f t="shared" si="310"/>
        <v>#N/A</v>
      </c>
      <c r="L1448" t="e">
        <f t="shared" si="311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2"/>
        <v>0</v>
      </c>
      <c r="B1449">
        <f t="shared" si="313"/>
        <v>0</v>
      </c>
      <c r="C1449">
        <f t="shared" si="314"/>
        <v>0</v>
      </c>
      <c r="D1449">
        <f t="shared" si="315"/>
        <v>0</v>
      </c>
      <c r="E1449" t="e">
        <f t="shared" si="316"/>
        <v>#N/A</v>
      </c>
      <c r="F1449">
        <f t="shared" si="317"/>
        <v>0</v>
      </c>
      <c r="G1449">
        <f t="shared" si="318"/>
        <v>0</v>
      </c>
      <c r="H1449">
        <f t="shared" si="319"/>
        <v>0</v>
      </c>
      <c r="I1449">
        <f t="shared" si="320"/>
        <v>0</v>
      </c>
      <c r="J1449">
        <f t="shared" si="321"/>
        <v>0</v>
      </c>
      <c r="K1449" s="4" t="e">
        <f t="shared" si="310"/>
        <v>#N/A</v>
      </c>
      <c r="L1449" t="e">
        <f t="shared" si="311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2"/>
        <v>0</v>
      </c>
      <c r="B1450">
        <f t="shared" si="313"/>
        <v>0</v>
      </c>
      <c r="C1450">
        <f t="shared" si="314"/>
        <v>0</v>
      </c>
      <c r="D1450">
        <f t="shared" si="315"/>
        <v>0</v>
      </c>
      <c r="E1450" t="e">
        <f t="shared" si="316"/>
        <v>#N/A</v>
      </c>
      <c r="F1450">
        <f t="shared" si="317"/>
        <v>0</v>
      </c>
      <c r="G1450">
        <f t="shared" si="318"/>
        <v>0</v>
      </c>
      <c r="H1450">
        <f t="shared" si="319"/>
        <v>0</v>
      </c>
      <c r="I1450">
        <f t="shared" si="320"/>
        <v>0</v>
      </c>
      <c r="J1450">
        <f t="shared" si="321"/>
        <v>0</v>
      </c>
      <c r="K1450" s="4" t="e">
        <f t="shared" si="310"/>
        <v>#N/A</v>
      </c>
      <c r="L1450" t="e">
        <f t="shared" si="311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2"/>
        <v>0</v>
      </c>
      <c r="B1451">
        <f t="shared" si="313"/>
        <v>0</v>
      </c>
      <c r="C1451">
        <f t="shared" si="314"/>
        <v>0</v>
      </c>
      <c r="D1451">
        <f t="shared" si="315"/>
        <v>0</v>
      </c>
      <c r="E1451" t="e">
        <f t="shared" si="316"/>
        <v>#N/A</v>
      </c>
      <c r="F1451">
        <f t="shared" si="317"/>
        <v>0</v>
      </c>
      <c r="G1451">
        <f t="shared" si="318"/>
        <v>0</v>
      </c>
      <c r="H1451">
        <f t="shared" si="319"/>
        <v>0</v>
      </c>
      <c r="I1451">
        <f t="shared" si="320"/>
        <v>0</v>
      </c>
      <c r="J1451">
        <f t="shared" si="321"/>
        <v>0</v>
      </c>
      <c r="K1451" s="4" t="e">
        <f t="shared" si="310"/>
        <v>#N/A</v>
      </c>
      <c r="L1451" t="e">
        <f t="shared" si="311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2"/>
        <v>0</v>
      </c>
      <c r="B1452">
        <f t="shared" si="313"/>
        <v>0</v>
      </c>
      <c r="C1452">
        <f t="shared" si="314"/>
        <v>0</v>
      </c>
      <c r="D1452">
        <f t="shared" si="315"/>
        <v>0</v>
      </c>
      <c r="E1452" t="e">
        <f t="shared" si="316"/>
        <v>#N/A</v>
      </c>
      <c r="F1452">
        <f t="shared" si="317"/>
        <v>0</v>
      </c>
      <c r="G1452">
        <f t="shared" si="318"/>
        <v>0</v>
      </c>
      <c r="H1452">
        <f t="shared" si="319"/>
        <v>0</v>
      </c>
      <c r="I1452">
        <f t="shared" si="320"/>
        <v>0</v>
      </c>
      <c r="J1452">
        <f t="shared" si="321"/>
        <v>0</v>
      </c>
      <c r="K1452" s="4" t="e">
        <f t="shared" ref="K1452:K1515" si="324">IF(LEFT(B1452,3)="DBM",0,VLOOKUP(E1452,tabela,2,FALSE))</f>
        <v>#N/A</v>
      </c>
      <c r="L1452" t="e">
        <f t="shared" ref="L1452:L1515" si="325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2"/>
        <v>0</v>
      </c>
      <c r="B1453">
        <f t="shared" si="313"/>
        <v>0</v>
      </c>
      <c r="C1453">
        <f t="shared" si="314"/>
        <v>0</v>
      </c>
      <c r="D1453">
        <f t="shared" si="315"/>
        <v>0</v>
      </c>
      <c r="E1453" t="e">
        <f t="shared" si="316"/>
        <v>#N/A</v>
      </c>
      <c r="F1453">
        <f t="shared" si="317"/>
        <v>0</v>
      </c>
      <c r="G1453">
        <f t="shared" si="318"/>
        <v>0</v>
      </c>
      <c r="H1453">
        <f t="shared" si="319"/>
        <v>0</v>
      </c>
      <c r="I1453">
        <f t="shared" si="320"/>
        <v>0</v>
      </c>
      <c r="J1453">
        <f t="shared" si="321"/>
        <v>0</v>
      </c>
      <c r="K1453" s="4" t="e">
        <f t="shared" si="324"/>
        <v>#N/A</v>
      </c>
      <c r="L1453" t="e">
        <f t="shared" si="325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2"/>
        <v>0</v>
      </c>
      <c r="B1454">
        <f t="shared" si="313"/>
        <v>0</v>
      </c>
      <c r="C1454">
        <f t="shared" si="314"/>
        <v>0</v>
      </c>
      <c r="D1454">
        <f t="shared" si="315"/>
        <v>0</v>
      </c>
      <c r="E1454" t="e">
        <f t="shared" si="316"/>
        <v>#N/A</v>
      </c>
      <c r="F1454">
        <f t="shared" si="317"/>
        <v>0</v>
      </c>
      <c r="G1454">
        <f t="shared" si="318"/>
        <v>0</v>
      </c>
      <c r="H1454">
        <f t="shared" si="319"/>
        <v>0</v>
      </c>
      <c r="I1454">
        <f t="shared" si="320"/>
        <v>0</v>
      </c>
      <c r="J1454">
        <f t="shared" si="321"/>
        <v>0</v>
      </c>
      <c r="K1454" s="4" t="e">
        <f t="shared" si="324"/>
        <v>#N/A</v>
      </c>
      <c r="L1454" t="e">
        <f t="shared" si="325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2"/>
        <v>0</v>
      </c>
      <c r="B1455">
        <f t="shared" si="313"/>
        <v>0</v>
      </c>
      <c r="C1455">
        <f t="shared" si="314"/>
        <v>0</v>
      </c>
      <c r="D1455">
        <f t="shared" si="315"/>
        <v>0</v>
      </c>
      <c r="E1455" t="e">
        <f t="shared" si="316"/>
        <v>#N/A</v>
      </c>
      <c r="F1455">
        <f t="shared" si="317"/>
        <v>0</v>
      </c>
      <c r="G1455">
        <f t="shared" si="318"/>
        <v>0</v>
      </c>
      <c r="H1455">
        <f t="shared" si="319"/>
        <v>0</v>
      </c>
      <c r="I1455">
        <f t="shared" si="320"/>
        <v>0</v>
      </c>
      <c r="J1455">
        <f t="shared" si="321"/>
        <v>0</v>
      </c>
      <c r="K1455" s="4" t="e">
        <f t="shared" si="324"/>
        <v>#N/A</v>
      </c>
      <c r="L1455" t="e">
        <f t="shared" si="325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2"/>
        <v>0</v>
      </c>
      <c r="B1456">
        <f t="shared" si="313"/>
        <v>0</v>
      </c>
      <c r="C1456">
        <f t="shared" si="314"/>
        <v>0</v>
      </c>
      <c r="D1456">
        <f t="shared" si="315"/>
        <v>0</v>
      </c>
      <c r="E1456" t="e">
        <f t="shared" si="316"/>
        <v>#N/A</v>
      </c>
      <c r="F1456">
        <f t="shared" si="317"/>
        <v>0</v>
      </c>
      <c r="G1456">
        <f t="shared" si="318"/>
        <v>0</v>
      </c>
      <c r="H1456">
        <f t="shared" si="319"/>
        <v>0</v>
      </c>
      <c r="I1456">
        <f t="shared" si="320"/>
        <v>0</v>
      </c>
      <c r="J1456">
        <f t="shared" si="321"/>
        <v>0</v>
      </c>
      <c r="K1456" s="4" t="e">
        <f t="shared" si="324"/>
        <v>#N/A</v>
      </c>
      <c r="L1456" t="e">
        <f t="shared" si="325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2"/>
        <v>0</v>
      </c>
      <c r="B1457">
        <f t="shared" si="313"/>
        <v>0</v>
      </c>
      <c r="C1457">
        <f t="shared" si="314"/>
        <v>0</v>
      </c>
      <c r="D1457">
        <f t="shared" si="315"/>
        <v>0</v>
      </c>
      <c r="E1457" t="e">
        <f t="shared" si="316"/>
        <v>#N/A</v>
      </c>
      <c r="F1457">
        <f t="shared" si="317"/>
        <v>0</v>
      </c>
      <c r="G1457">
        <f t="shared" si="318"/>
        <v>0</v>
      </c>
      <c r="H1457">
        <f t="shared" si="319"/>
        <v>0</v>
      </c>
      <c r="I1457">
        <f t="shared" si="320"/>
        <v>0</v>
      </c>
      <c r="J1457">
        <f t="shared" si="321"/>
        <v>0</v>
      </c>
      <c r="K1457" s="4" t="e">
        <f t="shared" si="324"/>
        <v>#N/A</v>
      </c>
      <c r="L1457" t="e">
        <f t="shared" si="325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2"/>
        <v>0</v>
      </c>
      <c r="B1458">
        <f t="shared" si="313"/>
        <v>0</v>
      </c>
      <c r="C1458">
        <f t="shared" si="314"/>
        <v>0</v>
      </c>
      <c r="D1458">
        <f t="shared" si="315"/>
        <v>0</v>
      </c>
      <c r="E1458" t="e">
        <f t="shared" si="316"/>
        <v>#N/A</v>
      </c>
      <c r="F1458">
        <f t="shared" si="317"/>
        <v>0</v>
      </c>
      <c r="G1458">
        <f t="shared" si="318"/>
        <v>0</v>
      </c>
      <c r="H1458">
        <f t="shared" si="319"/>
        <v>0</v>
      </c>
      <c r="I1458">
        <f t="shared" si="320"/>
        <v>0</v>
      </c>
      <c r="J1458">
        <f t="shared" si="321"/>
        <v>0</v>
      </c>
      <c r="K1458" s="4" t="e">
        <f t="shared" si="324"/>
        <v>#N/A</v>
      </c>
      <c r="L1458" t="e">
        <f t="shared" si="325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2"/>
        <v>0</v>
      </c>
      <c r="B1459">
        <f t="shared" si="313"/>
        <v>0</v>
      </c>
      <c r="C1459">
        <f t="shared" si="314"/>
        <v>0</v>
      </c>
      <c r="D1459">
        <f t="shared" si="315"/>
        <v>0</v>
      </c>
      <c r="E1459" t="e">
        <f t="shared" si="316"/>
        <v>#N/A</v>
      </c>
      <c r="F1459">
        <f t="shared" si="317"/>
        <v>0</v>
      </c>
      <c r="G1459">
        <f t="shared" si="318"/>
        <v>0</v>
      </c>
      <c r="H1459">
        <f t="shared" si="319"/>
        <v>0</v>
      </c>
      <c r="I1459">
        <f t="shared" si="320"/>
        <v>0</v>
      </c>
      <c r="J1459">
        <f t="shared" si="321"/>
        <v>0</v>
      </c>
      <c r="K1459" s="4" t="e">
        <f t="shared" si="324"/>
        <v>#N/A</v>
      </c>
      <c r="L1459" t="e">
        <f t="shared" si="325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2"/>
        <v>0</v>
      </c>
      <c r="B1460">
        <f t="shared" si="313"/>
        <v>0</v>
      </c>
      <c r="C1460">
        <f t="shared" si="314"/>
        <v>0</v>
      </c>
      <c r="D1460">
        <f t="shared" si="315"/>
        <v>0</v>
      </c>
      <c r="E1460" t="e">
        <f t="shared" si="316"/>
        <v>#N/A</v>
      </c>
      <c r="F1460">
        <f t="shared" si="317"/>
        <v>0</v>
      </c>
      <c r="G1460">
        <f t="shared" si="318"/>
        <v>0</v>
      </c>
      <c r="H1460">
        <f t="shared" si="319"/>
        <v>0</v>
      </c>
      <c r="I1460">
        <f t="shared" si="320"/>
        <v>0</v>
      </c>
      <c r="J1460">
        <f t="shared" si="321"/>
        <v>0</v>
      </c>
      <c r="K1460" s="4" t="e">
        <f t="shared" si="324"/>
        <v>#N/A</v>
      </c>
      <c r="L1460" t="e">
        <f t="shared" si="325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2"/>
        <v>0</v>
      </c>
      <c r="B1461">
        <f t="shared" si="313"/>
        <v>0</v>
      </c>
      <c r="C1461">
        <f t="shared" si="314"/>
        <v>0</v>
      </c>
      <c r="D1461">
        <f t="shared" si="315"/>
        <v>0</v>
      </c>
      <c r="E1461" t="e">
        <f t="shared" si="316"/>
        <v>#N/A</v>
      </c>
      <c r="F1461">
        <f t="shared" si="317"/>
        <v>0</v>
      </c>
      <c r="G1461">
        <f t="shared" si="318"/>
        <v>0</v>
      </c>
      <c r="H1461">
        <f t="shared" si="319"/>
        <v>0</v>
      </c>
      <c r="I1461">
        <f t="shared" si="320"/>
        <v>0</v>
      </c>
      <c r="J1461">
        <f t="shared" si="321"/>
        <v>0</v>
      </c>
      <c r="K1461" s="4" t="e">
        <f t="shared" si="324"/>
        <v>#N/A</v>
      </c>
      <c r="L1461" t="e">
        <f t="shared" si="325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2"/>
        <v>0</v>
      </c>
      <c r="B1462">
        <f t="shared" si="313"/>
        <v>0</v>
      </c>
      <c r="C1462">
        <f t="shared" si="314"/>
        <v>0</v>
      </c>
      <c r="D1462">
        <f t="shared" si="315"/>
        <v>0</v>
      </c>
      <c r="E1462" t="e">
        <f t="shared" si="316"/>
        <v>#N/A</v>
      </c>
      <c r="F1462">
        <f t="shared" si="317"/>
        <v>0</v>
      </c>
      <c r="G1462">
        <f t="shared" si="318"/>
        <v>0</v>
      </c>
      <c r="H1462">
        <f t="shared" si="319"/>
        <v>0</v>
      </c>
      <c r="I1462">
        <f t="shared" si="320"/>
        <v>0</v>
      </c>
      <c r="J1462">
        <f t="shared" si="321"/>
        <v>0</v>
      </c>
      <c r="K1462" s="4" t="e">
        <f t="shared" si="324"/>
        <v>#N/A</v>
      </c>
      <c r="L1462" t="e">
        <f t="shared" si="325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2"/>
        <v>0</v>
      </c>
      <c r="B1463">
        <f t="shared" si="313"/>
        <v>0</v>
      </c>
      <c r="C1463">
        <f t="shared" si="314"/>
        <v>0</v>
      </c>
      <c r="D1463">
        <f t="shared" si="315"/>
        <v>0</v>
      </c>
      <c r="E1463" t="e">
        <f t="shared" si="316"/>
        <v>#N/A</v>
      </c>
      <c r="F1463">
        <f t="shared" si="317"/>
        <v>0</v>
      </c>
      <c r="G1463">
        <f t="shared" si="318"/>
        <v>0</v>
      </c>
      <c r="H1463">
        <f t="shared" si="319"/>
        <v>0</v>
      </c>
      <c r="I1463">
        <f t="shared" si="320"/>
        <v>0</v>
      </c>
      <c r="J1463">
        <f t="shared" si="321"/>
        <v>0</v>
      </c>
      <c r="K1463" s="4" t="e">
        <f t="shared" si="324"/>
        <v>#N/A</v>
      </c>
      <c r="L1463" t="e">
        <f t="shared" si="325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2"/>
        <v>0</v>
      </c>
      <c r="B1464">
        <f t="shared" si="313"/>
        <v>0</v>
      </c>
      <c r="C1464">
        <f t="shared" si="314"/>
        <v>0</v>
      </c>
      <c r="D1464">
        <f t="shared" si="315"/>
        <v>0</v>
      </c>
      <c r="E1464" t="e">
        <f t="shared" si="316"/>
        <v>#N/A</v>
      </c>
      <c r="F1464">
        <f t="shared" si="317"/>
        <v>0</v>
      </c>
      <c r="G1464">
        <f t="shared" si="318"/>
        <v>0</v>
      </c>
      <c r="H1464">
        <f t="shared" si="319"/>
        <v>0</v>
      </c>
      <c r="I1464">
        <f t="shared" si="320"/>
        <v>0</v>
      </c>
      <c r="J1464">
        <f t="shared" si="321"/>
        <v>0</v>
      </c>
      <c r="K1464" s="4" t="e">
        <f t="shared" si="324"/>
        <v>#N/A</v>
      </c>
      <c r="L1464" t="e">
        <f t="shared" si="325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2"/>
        <v>0</v>
      </c>
      <c r="B1465">
        <f t="shared" si="313"/>
        <v>0</v>
      </c>
      <c r="C1465">
        <f t="shared" si="314"/>
        <v>0</v>
      </c>
      <c r="D1465">
        <f t="shared" si="315"/>
        <v>0</v>
      </c>
      <c r="E1465" t="e">
        <f t="shared" si="316"/>
        <v>#N/A</v>
      </c>
      <c r="F1465">
        <f t="shared" si="317"/>
        <v>0</v>
      </c>
      <c r="G1465">
        <f t="shared" si="318"/>
        <v>0</v>
      </c>
      <c r="H1465">
        <f t="shared" si="319"/>
        <v>0</v>
      </c>
      <c r="I1465">
        <f t="shared" si="320"/>
        <v>0</v>
      </c>
      <c r="J1465">
        <f t="shared" si="321"/>
        <v>0</v>
      </c>
      <c r="K1465" s="4" t="e">
        <f t="shared" si="324"/>
        <v>#N/A</v>
      </c>
      <c r="L1465" t="e">
        <f t="shared" si="325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2"/>
        <v>0</v>
      </c>
      <c r="B1466">
        <f t="shared" si="313"/>
        <v>0</v>
      </c>
      <c r="C1466">
        <f t="shared" si="314"/>
        <v>0</v>
      </c>
      <c r="D1466">
        <f t="shared" si="315"/>
        <v>0</v>
      </c>
      <c r="E1466" t="e">
        <f t="shared" si="316"/>
        <v>#N/A</v>
      </c>
      <c r="F1466">
        <f t="shared" si="317"/>
        <v>0</v>
      </c>
      <c r="G1466">
        <f t="shared" si="318"/>
        <v>0</v>
      </c>
      <c r="H1466">
        <f t="shared" si="319"/>
        <v>0</v>
      </c>
      <c r="I1466">
        <f t="shared" si="320"/>
        <v>0</v>
      </c>
      <c r="J1466">
        <f t="shared" si="321"/>
        <v>0</v>
      </c>
      <c r="K1466" s="4" t="e">
        <f t="shared" si="324"/>
        <v>#N/A</v>
      </c>
      <c r="L1466" t="e">
        <f t="shared" si="325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2"/>
        <v>0</v>
      </c>
      <c r="B1467">
        <f t="shared" si="313"/>
        <v>0</v>
      </c>
      <c r="C1467">
        <f t="shared" si="314"/>
        <v>0</v>
      </c>
      <c r="D1467">
        <f t="shared" si="315"/>
        <v>0</v>
      </c>
      <c r="E1467" t="e">
        <f t="shared" si="316"/>
        <v>#N/A</v>
      </c>
      <c r="F1467">
        <f t="shared" si="317"/>
        <v>0</v>
      </c>
      <c r="G1467">
        <f t="shared" si="318"/>
        <v>0</v>
      </c>
      <c r="H1467">
        <f t="shared" si="319"/>
        <v>0</v>
      </c>
      <c r="I1467">
        <f t="shared" si="320"/>
        <v>0</v>
      </c>
      <c r="J1467">
        <f t="shared" si="321"/>
        <v>0</v>
      </c>
      <c r="K1467" s="4" t="e">
        <f t="shared" si="324"/>
        <v>#N/A</v>
      </c>
      <c r="L1467" t="e">
        <f t="shared" si="325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2"/>
        <v>0</v>
      </c>
      <c r="B1468">
        <f t="shared" si="313"/>
        <v>0</v>
      </c>
      <c r="C1468">
        <f t="shared" si="314"/>
        <v>0</v>
      </c>
      <c r="D1468">
        <f t="shared" si="315"/>
        <v>0</v>
      </c>
      <c r="E1468" t="e">
        <f t="shared" si="316"/>
        <v>#N/A</v>
      </c>
      <c r="F1468">
        <f t="shared" si="317"/>
        <v>0</v>
      </c>
      <c r="G1468">
        <f t="shared" si="318"/>
        <v>0</v>
      </c>
      <c r="H1468">
        <f t="shared" si="319"/>
        <v>0</v>
      </c>
      <c r="I1468">
        <f t="shared" si="320"/>
        <v>0</v>
      </c>
      <c r="J1468">
        <f t="shared" si="321"/>
        <v>0</v>
      </c>
      <c r="K1468" s="4" t="e">
        <f t="shared" si="324"/>
        <v>#N/A</v>
      </c>
      <c r="L1468" t="e">
        <f t="shared" si="325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2"/>
        <v>0</v>
      </c>
      <c r="B1469">
        <f t="shared" si="313"/>
        <v>0</v>
      </c>
      <c r="C1469">
        <f t="shared" si="314"/>
        <v>0</v>
      </c>
      <c r="D1469">
        <f t="shared" si="315"/>
        <v>0</v>
      </c>
      <c r="E1469" t="e">
        <f t="shared" si="316"/>
        <v>#N/A</v>
      </c>
      <c r="F1469">
        <f t="shared" si="317"/>
        <v>0</v>
      </c>
      <c r="G1469">
        <f t="shared" si="318"/>
        <v>0</v>
      </c>
      <c r="H1469">
        <f t="shared" si="319"/>
        <v>0</v>
      </c>
      <c r="I1469">
        <f t="shared" si="320"/>
        <v>0</v>
      </c>
      <c r="J1469">
        <f t="shared" si="321"/>
        <v>0</v>
      </c>
      <c r="K1469" s="4" t="e">
        <f t="shared" si="324"/>
        <v>#N/A</v>
      </c>
      <c r="L1469" t="e">
        <f t="shared" si="325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2"/>
        <v>0</v>
      </c>
      <c r="B1470">
        <f t="shared" si="313"/>
        <v>0</v>
      </c>
      <c r="C1470">
        <f t="shared" si="314"/>
        <v>0</v>
      </c>
      <c r="D1470">
        <f t="shared" si="315"/>
        <v>0</v>
      </c>
      <c r="E1470" t="e">
        <f t="shared" si="316"/>
        <v>#N/A</v>
      </c>
      <c r="F1470">
        <f t="shared" si="317"/>
        <v>0</v>
      </c>
      <c r="G1470">
        <f t="shared" si="318"/>
        <v>0</v>
      </c>
      <c r="H1470">
        <f t="shared" si="319"/>
        <v>0</v>
      </c>
      <c r="I1470">
        <f t="shared" si="320"/>
        <v>0</v>
      </c>
      <c r="J1470">
        <f t="shared" si="321"/>
        <v>0</v>
      </c>
      <c r="K1470" s="4" t="e">
        <f t="shared" si="324"/>
        <v>#N/A</v>
      </c>
      <c r="L1470" t="e">
        <f t="shared" si="325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2"/>
        <v>0</v>
      </c>
      <c r="B1471">
        <f t="shared" si="313"/>
        <v>0</v>
      </c>
      <c r="C1471">
        <f t="shared" si="314"/>
        <v>0</v>
      </c>
      <c r="D1471">
        <f t="shared" si="315"/>
        <v>0</v>
      </c>
      <c r="E1471" t="e">
        <f t="shared" si="316"/>
        <v>#N/A</v>
      </c>
      <c r="F1471">
        <f t="shared" si="317"/>
        <v>0</v>
      </c>
      <c r="G1471">
        <f t="shared" si="318"/>
        <v>0</v>
      </c>
      <c r="H1471">
        <f t="shared" si="319"/>
        <v>0</v>
      </c>
      <c r="I1471">
        <f t="shared" si="320"/>
        <v>0</v>
      </c>
      <c r="J1471">
        <f t="shared" si="321"/>
        <v>0</v>
      </c>
      <c r="K1471" s="4" t="e">
        <f t="shared" si="324"/>
        <v>#N/A</v>
      </c>
      <c r="L1471" t="e">
        <f t="shared" si="325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2"/>
        <v>0</v>
      </c>
      <c r="B1472">
        <f t="shared" si="313"/>
        <v>0</v>
      </c>
      <c r="C1472">
        <f t="shared" si="314"/>
        <v>0</v>
      </c>
      <c r="D1472">
        <f t="shared" si="315"/>
        <v>0</v>
      </c>
      <c r="E1472" t="e">
        <f t="shared" si="316"/>
        <v>#N/A</v>
      </c>
      <c r="F1472">
        <f t="shared" si="317"/>
        <v>0</v>
      </c>
      <c r="G1472">
        <f t="shared" si="318"/>
        <v>0</v>
      </c>
      <c r="H1472">
        <f t="shared" si="319"/>
        <v>0</v>
      </c>
      <c r="I1472">
        <f t="shared" si="320"/>
        <v>0</v>
      </c>
      <c r="J1472">
        <f t="shared" si="321"/>
        <v>0</v>
      </c>
      <c r="K1472" s="4" t="e">
        <f t="shared" si="324"/>
        <v>#N/A</v>
      </c>
      <c r="L1472" t="e">
        <f t="shared" si="325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2"/>
        <v>0</v>
      </c>
      <c r="B1473">
        <f t="shared" si="313"/>
        <v>0</v>
      </c>
      <c r="C1473">
        <f t="shared" si="314"/>
        <v>0</v>
      </c>
      <c r="D1473">
        <f t="shared" si="315"/>
        <v>0</v>
      </c>
      <c r="E1473" t="e">
        <f t="shared" si="316"/>
        <v>#N/A</v>
      </c>
      <c r="F1473">
        <f t="shared" si="317"/>
        <v>0</v>
      </c>
      <c r="G1473">
        <f t="shared" si="318"/>
        <v>0</v>
      </c>
      <c r="H1473">
        <f t="shared" si="319"/>
        <v>0</v>
      </c>
      <c r="I1473">
        <f t="shared" si="320"/>
        <v>0</v>
      </c>
      <c r="J1473">
        <f t="shared" si="321"/>
        <v>0</v>
      </c>
      <c r="K1473" s="4" t="e">
        <f t="shared" si="324"/>
        <v>#N/A</v>
      </c>
      <c r="L1473" t="e">
        <f t="shared" si="325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6">bd_campaign</f>
        <v>0</v>
      </c>
      <c r="B1474">
        <f t="shared" ref="B1474:B1537" si="327">bd_site</f>
        <v>0</v>
      </c>
      <c r="C1474">
        <f t="shared" ref="C1474:C1537" si="328">bd_placement</f>
        <v>0</v>
      </c>
      <c r="D1474">
        <f t="shared" ref="D1474:D1537" si="329">bd_placementID</f>
        <v>0</v>
      </c>
      <c r="E1474" t="e">
        <f t="shared" ref="E1474:E1537" si="330">VLOOKUP(CONCATENATE(bd_adtype,"_",bd_creativetype),tabela,2,FALSE)</f>
        <v>#N/A</v>
      </c>
      <c r="F1474">
        <f t="shared" ref="F1474:F1537" si="331">bd_ad</f>
        <v>0</v>
      </c>
      <c r="G1474">
        <f t="shared" ref="G1474:G1537" si="332">bd_adid</f>
        <v>0</v>
      </c>
      <c r="H1474">
        <f t="shared" ref="H1474:H1537" si="333">bd_creativetype</f>
        <v>0</v>
      </c>
      <c r="I1474">
        <f t="shared" ref="I1474:I1537" si="334">bd_impression</f>
        <v>0</v>
      </c>
      <c r="J1474">
        <f t="shared" ref="J1474:J1537" si="335">bd_clicks</f>
        <v>0</v>
      </c>
      <c r="K1474" s="4" t="e">
        <f t="shared" si="324"/>
        <v>#N/A</v>
      </c>
      <c r="L1474" t="e">
        <f t="shared" si="325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6"/>
        <v>0</v>
      </c>
      <c r="B1475">
        <f t="shared" si="327"/>
        <v>0</v>
      </c>
      <c r="C1475">
        <f t="shared" si="328"/>
        <v>0</v>
      </c>
      <c r="D1475">
        <f t="shared" si="329"/>
        <v>0</v>
      </c>
      <c r="E1475" t="e">
        <f t="shared" si="330"/>
        <v>#N/A</v>
      </c>
      <c r="F1475">
        <f t="shared" si="331"/>
        <v>0</v>
      </c>
      <c r="G1475">
        <f t="shared" si="332"/>
        <v>0</v>
      </c>
      <c r="H1475">
        <f t="shared" si="333"/>
        <v>0</v>
      </c>
      <c r="I1475">
        <f t="shared" si="334"/>
        <v>0</v>
      </c>
      <c r="J1475">
        <f t="shared" si="335"/>
        <v>0</v>
      </c>
      <c r="K1475" s="4" t="e">
        <f t="shared" si="324"/>
        <v>#N/A</v>
      </c>
      <c r="L1475" t="e">
        <f t="shared" si="325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6"/>
        <v>0</v>
      </c>
      <c r="B1476">
        <f t="shared" si="327"/>
        <v>0</v>
      </c>
      <c r="C1476">
        <f t="shared" si="328"/>
        <v>0</v>
      </c>
      <c r="D1476">
        <f t="shared" si="329"/>
        <v>0</v>
      </c>
      <c r="E1476" t="e">
        <f t="shared" si="330"/>
        <v>#N/A</v>
      </c>
      <c r="F1476">
        <f t="shared" si="331"/>
        <v>0</v>
      </c>
      <c r="G1476">
        <f t="shared" si="332"/>
        <v>0</v>
      </c>
      <c r="H1476">
        <f t="shared" si="333"/>
        <v>0</v>
      </c>
      <c r="I1476">
        <f t="shared" si="334"/>
        <v>0</v>
      </c>
      <c r="J1476">
        <f t="shared" si="335"/>
        <v>0</v>
      </c>
      <c r="K1476" s="4" t="e">
        <f t="shared" si="324"/>
        <v>#N/A</v>
      </c>
      <c r="L1476" t="e">
        <f t="shared" si="325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6"/>
        <v>0</v>
      </c>
      <c r="B1477">
        <f t="shared" si="327"/>
        <v>0</v>
      </c>
      <c r="C1477">
        <f t="shared" si="328"/>
        <v>0</v>
      </c>
      <c r="D1477">
        <f t="shared" si="329"/>
        <v>0</v>
      </c>
      <c r="E1477" t="e">
        <f t="shared" si="330"/>
        <v>#N/A</v>
      </c>
      <c r="F1477">
        <f t="shared" si="331"/>
        <v>0</v>
      </c>
      <c r="G1477">
        <f t="shared" si="332"/>
        <v>0</v>
      </c>
      <c r="H1477">
        <f t="shared" si="333"/>
        <v>0</v>
      </c>
      <c r="I1477">
        <f t="shared" si="334"/>
        <v>0</v>
      </c>
      <c r="J1477">
        <f t="shared" si="335"/>
        <v>0</v>
      </c>
      <c r="K1477" s="4" t="e">
        <f t="shared" si="324"/>
        <v>#N/A</v>
      </c>
      <c r="L1477" t="e">
        <f t="shared" si="325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6"/>
        <v>0</v>
      </c>
      <c r="B1478">
        <f t="shared" si="327"/>
        <v>0</v>
      </c>
      <c r="C1478">
        <f t="shared" si="328"/>
        <v>0</v>
      </c>
      <c r="D1478">
        <f t="shared" si="329"/>
        <v>0</v>
      </c>
      <c r="E1478" t="e">
        <f t="shared" si="330"/>
        <v>#N/A</v>
      </c>
      <c r="F1478">
        <f t="shared" si="331"/>
        <v>0</v>
      </c>
      <c r="G1478">
        <f t="shared" si="332"/>
        <v>0</v>
      </c>
      <c r="H1478">
        <f t="shared" si="333"/>
        <v>0</v>
      </c>
      <c r="I1478">
        <f t="shared" si="334"/>
        <v>0</v>
      </c>
      <c r="J1478">
        <f t="shared" si="335"/>
        <v>0</v>
      </c>
      <c r="K1478" s="4" t="e">
        <f t="shared" si="324"/>
        <v>#N/A</v>
      </c>
      <c r="L1478" t="e">
        <f t="shared" si="325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6"/>
        <v>0</v>
      </c>
      <c r="B1479">
        <f t="shared" si="327"/>
        <v>0</v>
      </c>
      <c r="C1479">
        <f t="shared" si="328"/>
        <v>0</v>
      </c>
      <c r="D1479">
        <f t="shared" si="329"/>
        <v>0</v>
      </c>
      <c r="E1479" t="e">
        <f t="shared" si="330"/>
        <v>#N/A</v>
      </c>
      <c r="F1479">
        <f t="shared" si="331"/>
        <v>0</v>
      </c>
      <c r="G1479">
        <f t="shared" si="332"/>
        <v>0</v>
      </c>
      <c r="H1479">
        <f t="shared" si="333"/>
        <v>0</v>
      </c>
      <c r="I1479">
        <f t="shared" si="334"/>
        <v>0</v>
      </c>
      <c r="J1479">
        <f t="shared" si="335"/>
        <v>0</v>
      </c>
      <c r="K1479" s="4" t="e">
        <f t="shared" si="324"/>
        <v>#N/A</v>
      </c>
      <c r="L1479" t="e">
        <f t="shared" si="325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6"/>
        <v>0</v>
      </c>
      <c r="B1480">
        <f t="shared" si="327"/>
        <v>0</v>
      </c>
      <c r="C1480">
        <f t="shared" si="328"/>
        <v>0</v>
      </c>
      <c r="D1480">
        <f t="shared" si="329"/>
        <v>0</v>
      </c>
      <c r="E1480" t="e">
        <f t="shared" si="330"/>
        <v>#N/A</v>
      </c>
      <c r="F1480">
        <f t="shared" si="331"/>
        <v>0</v>
      </c>
      <c r="G1480">
        <f t="shared" si="332"/>
        <v>0</v>
      </c>
      <c r="H1480">
        <f t="shared" si="333"/>
        <v>0</v>
      </c>
      <c r="I1480">
        <f t="shared" si="334"/>
        <v>0</v>
      </c>
      <c r="J1480">
        <f t="shared" si="335"/>
        <v>0</v>
      </c>
      <c r="K1480" s="4" t="e">
        <f t="shared" si="324"/>
        <v>#N/A</v>
      </c>
      <c r="L1480" t="e">
        <f t="shared" si="325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6"/>
        <v>0</v>
      </c>
      <c r="B1481">
        <f t="shared" si="327"/>
        <v>0</v>
      </c>
      <c r="C1481">
        <f t="shared" si="328"/>
        <v>0</v>
      </c>
      <c r="D1481">
        <f t="shared" si="329"/>
        <v>0</v>
      </c>
      <c r="E1481" t="e">
        <f t="shared" si="330"/>
        <v>#N/A</v>
      </c>
      <c r="F1481">
        <f t="shared" si="331"/>
        <v>0</v>
      </c>
      <c r="G1481">
        <f t="shared" si="332"/>
        <v>0</v>
      </c>
      <c r="H1481">
        <f t="shared" si="333"/>
        <v>0</v>
      </c>
      <c r="I1481">
        <f t="shared" si="334"/>
        <v>0</v>
      </c>
      <c r="J1481">
        <f t="shared" si="335"/>
        <v>0</v>
      </c>
      <c r="K1481" s="4" t="e">
        <f t="shared" si="324"/>
        <v>#N/A</v>
      </c>
      <c r="L1481" t="e">
        <f t="shared" si="325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6"/>
        <v>0</v>
      </c>
      <c r="B1482">
        <f t="shared" si="327"/>
        <v>0</v>
      </c>
      <c r="C1482">
        <f t="shared" si="328"/>
        <v>0</v>
      </c>
      <c r="D1482">
        <f t="shared" si="329"/>
        <v>0</v>
      </c>
      <c r="E1482" t="e">
        <f t="shared" si="330"/>
        <v>#N/A</v>
      </c>
      <c r="F1482">
        <f t="shared" si="331"/>
        <v>0</v>
      </c>
      <c r="G1482">
        <f t="shared" si="332"/>
        <v>0</v>
      </c>
      <c r="H1482">
        <f t="shared" si="333"/>
        <v>0</v>
      </c>
      <c r="I1482">
        <f t="shared" si="334"/>
        <v>0</v>
      </c>
      <c r="J1482">
        <f t="shared" si="335"/>
        <v>0</v>
      </c>
      <c r="K1482" s="4" t="e">
        <f t="shared" si="324"/>
        <v>#N/A</v>
      </c>
      <c r="L1482" t="e">
        <f t="shared" si="325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6"/>
        <v>0</v>
      </c>
      <c r="B1483">
        <f t="shared" si="327"/>
        <v>0</v>
      </c>
      <c r="C1483">
        <f t="shared" si="328"/>
        <v>0</v>
      </c>
      <c r="D1483">
        <f t="shared" si="329"/>
        <v>0</v>
      </c>
      <c r="E1483" t="e">
        <f t="shared" si="330"/>
        <v>#N/A</v>
      </c>
      <c r="F1483">
        <f t="shared" si="331"/>
        <v>0</v>
      </c>
      <c r="G1483">
        <f t="shared" si="332"/>
        <v>0</v>
      </c>
      <c r="H1483">
        <f t="shared" si="333"/>
        <v>0</v>
      </c>
      <c r="I1483">
        <f t="shared" si="334"/>
        <v>0</v>
      </c>
      <c r="J1483">
        <f t="shared" si="335"/>
        <v>0</v>
      </c>
      <c r="K1483" s="4" t="e">
        <f t="shared" si="324"/>
        <v>#N/A</v>
      </c>
      <c r="L1483" t="e">
        <f t="shared" si="325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6"/>
        <v>0</v>
      </c>
      <c r="B1484">
        <f t="shared" si="327"/>
        <v>0</v>
      </c>
      <c r="C1484">
        <f t="shared" si="328"/>
        <v>0</v>
      </c>
      <c r="D1484">
        <f t="shared" si="329"/>
        <v>0</v>
      </c>
      <c r="E1484" t="e">
        <f t="shared" si="330"/>
        <v>#N/A</v>
      </c>
      <c r="F1484">
        <f t="shared" si="331"/>
        <v>0</v>
      </c>
      <c r="G1484">
        <f t="shared" si="332"/>
        <v>0</v>
      </c>
      <c r="H1484">
        <f t="shared" si="333"/>
        <v>0</v>
      </c>
      <c r="I1484">
        <f t="shared" si="334"/>
        <v>0</v>
      </c>
      <c r="J1484">
        <f t="shared" si="335"/>
        <v>0</v>
      </c>
      <c r="K1484" s="4" t="e">
        <f t="shared" si="324"/>
        <v>#N/A</v>
      </c>
      <c r="L1484" t="e">
        <f t="shared" si="325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6"/>
        <v>0</v>
      </c>
      <c r="B1485">
        <f t="shared" si="327"/>
        <v>0</v>
      </c>
      <c r="C1485">
        <f t="shared" si="328"/>
        <v>0</v>
      </c>
      <c r="D1485">
        <f t="shared" si="329"/>
        <v>0</v>
      </c>
      <c r="E1485" t="e">
        <f t="shared" si="330"/>
        <v>#N/A</v>
      </c>
      <c r="F1485">
        <f t="shared" si="331"/>
        <v>0</v>
      </c>
      <c r="G1485">
        <f t="shared" si="332"/>
        <v>0</v>
      </c>
      <c r="H1485">
        <f t="shared" si="333"/>
        <v>0</v>
      </c>
      <c r="I1485">
        <f t="shared" si="334"/>
        <v>0</v>
      </c>
      <c r="J1485">
        <f t="shared" si="335"/>
        <v>0</v>
      </c>
      <c r="K1485" s="4" t="e">
        <f t="shared" si="324"/>
        <v>#N/A</v>
      </c>
      <c r="L1485" t="e">
        <f t="shared" si="325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6"/>
        <v>0</v>
      </c>
      <c r="B1486">
        <f t="shared" si="327"/>
        <v>0</v>
      </c>
      <c r="C1486">
        <f t="shared" si="328"/>
        <v>0</v>
      </c>
      <c r="D1486">
        <f t="shared" si="329"/>
        <v>0</v>
      </c>
      <c r="E1486" t="e">
        <f t="shared" si="330"/>
        <v>#N/A</v>
      </c>
      <c r="F1486">
        <f t="shared" si="331"/>
        <v>0</v>
      </c>
      <c r="G1486">
        <f t="shared" si="332"/>
        <v>0</v>
      </c>
      <c r="H1486">
        <f t="shared" si="333"/>
        <v>0</v>
      </c>
      <c r="I1486">
        <f t="shared" si="334"/>
        <v>0</v>
      </c>
      <c r="J1486">
        <f t="shared" si="335"/>
        <v>0</v>
      </c>
      <c r="K1486" s="4" t="e">
        <f t="shared" si="324"/>
        <v>#N/A</v>
      </c>
      <c r="L1486" t="e">
        <f t="shared" si="325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6"/>
        <v>0</v>
      </c>
      <c r="B1487">
        <f t="shared" si="327"/>
        <v>0</v>
      </c>
      <c r="C1487">
        <f t="shared" si="328"/>
        <v>0</v>
      </c>
      <c r="D1487">
        <f t="shared" si="329"/>
        <v>0</v>
      </c>
      <c r="E1487" t="e">
        <f t="shared" si="330"/>
        <v>#N/A</v>
      </c>
      <c r="F1487">
        <f t="shared" si="331"/>
        <v>0</v>
      </c>
      <c r="G1487">
        <f t="shared" si="332"/>
        <v>0</v>
      </c>
      <c r="H1487">
        <f t="shared" si="333"/>
        <v>0</v>
      </c>
      <c r="I1487">
        <f t="shared" si="334"/>
        <v>0</v>
      </c>
      <c r="J1487">
        <f t="shared" si="335"/>
        <v>0</v>
      </c>
      <c r="K1487" s="4" t="e">
        <f t="shared" si="324"/>
        <v>#N/A</v>
      </c>
      <c r="L1487" t="e">
        <f t="shared" si="325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6"/>
        <v>0</v>
      </c>
      <c r="B1488">
        <f t="shared" si="327"/>
        <v>0</v>
      </c>
      <c r="C1488">
        <f t="shared" si="328"/>
        <v>0</v>
      </c>
      <c r="D1488">
        <f t="shared" si="329"/>
        <v>0</v>
      </c>
      <c r="E1488" t="e">
        <f t="shared" si="330"/>
        <v>#N/A</v>
      </c>
      <c r="F1488">
        <f t="shared" si="331"/>
        <v>0</v>
      </c>
      <c r="G1488">
        <f t="shared" si="332"/>
        <v>0</v>
      </c>
      <c r="H1488">
        <f t="shared" si="333"/>
        <v>0</v>
      </c>
      <c r="I1488">
        <f t="shared" si="334"/>
        <v>0</v>
      </c>
      <c r="J1488">
        <f t="shared" si="335"/>
        <v>0</v>
      </c>
      <c r="K1488" s="4" t="e">
        <f t="shared" si="324"/>
        <v>#N/A</v>
      </c>
      <c r="L1488" t="e">
        <f t="shared" si="325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6"/>
        <v>0</v>
      </c>
      <c r="B1489">
        <f t="shared" si="327"/>
        <v>0</v>
      </c>
      <c r="C1489">
        <f t="shared" si="328"/>
        <v>0</v>
      </c>
      <c r="D1489">
        <f t="shared" si="329"/>
        <v>0</v>
      </c>
      <c r="E1489" t="e">
        <f t="shared" si="330"/>
        <v>#N/A</v>
      </c>
      <c r="F1489">
        <f t="shared" si="331"/>
        <v>0</v>
      </c>
      <c r="G1489">
        <f t="shared" si="332"/>
        <v>0</v>
      </c>
      <c r="H1489">
        <f t="shared" si="333"/>
        <v>0</v>
      </c>
      <c r="I1489">
        <f t="shared" si="334"/>
        <v>0</v>
      </c>
      <c r="J1489">
        <f t="shared" si="335"/>
        <v>0</v>
      </c>
      <c r="K1489" s="4" t="e">
        <f t="shared" si="324"/>
        <v>#N/A</v>
      </c>
      <c r="L1489" t="e">
        <f t="shared" si="325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6"/>
        <v>0</v>
      </c>
      <c r="B1490">
        <f t="shared" si="327"/>
        <v>0</v>
      </c>
      <c r="C1490">
        <f t="shared" si="328"/>
        <v>0</v>
      </c>
      <c r="D1490">
        <f t="shared" si="329"/>
        <v>0</v>
      </c>
      <c r="E1490" t="e">
        <f t="shared" si="330"/>
        <v>#N/A</v>
      </c>
      <c r="F1490">
        <f t="shared" si="331"/>
        <v>0</v>
      </c>
      <c r="G1490">
        <f t="shared" si="332"/>
        <v>0</v>
      </c>
      <c r="H1490">
        <f t="shared" si="333"/>
        <v>0</v>
      </c>
      <c r="I1490">
        <f t="shared" si="334"/>
        <v>0</v>
      </c>
      <c r="J1490">
        <f t="shared" si="335"/>
        <v>0</v>
      </c>
      <c r="K1490" s="4" t="e">
        <f t="shared" si="324"/>
        <v>#N/A</v>
      </c>
      <c r="L1490" t="e">
        <f t="shared" si="325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6"/>
        <v>0</v>
      </c>
      <c r="B1491">
        <f t="shared" si="327"/>
        <v>0</v>
      </c>
      <c r="C1491">
        <f t="shared" si="328"/>
        <v>0</v>
      </c>
      <c r="D1491">
        <f t="shared" si="329"/>
        <v>0</v>
      </c>
      <c r="E1491" t="e">
        <f t="shared" si="330"/>
        <v>#N/A</v>
      </c>
      <c r="F1491">
        <f t="shared" si="331"/>
        <v>0</v>
      </c>
      <c r="G1491">
        <f t="shared" si="332"/>
        <v>0</v>
      </c>
      <c r="H1491">
        <f t="shared" si="333"/>
        <v>0</v>
      </c>
      <c r="I1491">
        <f t="shared" si="334"/>
        <v>0</v>
      </c>
      <c r="J1491">
        <f t="shared" si="335"/>
        <v>0</v>
      </c>
      <c r="K1491" s="4" t="e">
        <f t="shared" si="324"/>
        <v>#N/A</v>
      </c>
      <c r="L1491" t="e">
        <f t="shared" si="325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6"/>
        <v>0</v>
      </c>
      <c r="B1492">
        <f t="shared" si="327"/>
        <v>0</v>
      </c>
      <c r="C1492">
        <f t="shared" si="328"/>
        <v>0</v>
      </c>
      <c r="D1492">
        <f t="shared" si="329"/>
        <v>0</v>
      </c>
      <c r="E1492" t="e">
        <f t="shared" si="330"/>
        <v>#N/A</v>
      </c>
      <c r="F1492">
        <f t="shared" si="331"/>
        <v>0</v>
      </c>
      <c r="G1492">
        <f t="shared" si="332"/>
        <v>0</v>
      </c>
      <c r="H1492">
        <f t="shared" si="333"/>
        <v>0</v>
      </c>
      <c r="I1492">
        <f t="shared" si="334"/>
        <v>0</v>
      </c>
      <c r="J1492">
        <f t="shared" si="335"/>
        <v>0</v>
      </c>
      <c r="K1492" s="4" t="e">
        <f t="shared" si="324"/>
        <v>#N/A</v>
      </c>
      <c r="L1492" t="e">
        <f t="shared" si="325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6"/>
        <v>0</v>
      </c>
      <c r="B1493">
        <f t="shared" si="327"/>
        <v>0</v>
      </c>
      <c r="C1493">
        <f t="shared" si="328"/>
        <v>0</v>
      </c>
      <c r="D1493">
        <f t="shared" si="329"/>
        <v>0</v>
      </c>
      <c r="E1493" t="e">
        <f t="shared" si="330"/>
        <v>#N/A</v>
      </c>
      <c r="F1493">
        <f t="shared" si="331"/>
        <v>0</v>
      </c>
      <c r="G1493">
        <f t="shared" si="332"/>
        <v>0</v>
      </c>
      <c r="H1493">
        <f t="shared" si="333"/>
        <v>0</v>
      </c>
      <c r="I1493">
        <f t="shared" si="334"/>
        <v>0</v>
      </c>
      <c r="J1493">
        <f t="shared" si="335"/>
        <v>0</v>
      </c>
      <c r="K1493" s="4" t="e">
        <f t="shared" si="324"/>
        <v>#N/A</v>
      </c>
      <c r="L1493" t="e">
        <f t="shared" si="325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6"/>
        <v>0</v>
      </c>
      <c r="B1494">
        <f t="shared" si="327"/>
        <v>0</v>
      </c>
      <c r="C1494">
        <f t="shared" si="328"/>
        <v>0</v>
      </c>
      <c r="D1494">
        <f t="shared" si="329"/>
        <v>0</v>
      </c>
      <c r="E1494" t="e">
        <f t="shared" si="330"/>
        <v>#N/A</v>
      </c>
      <c r="F1494">
        <f t="shared" si="331"/>
        <v>0</v>
      </c>
      <c r="G1494">
        <f t="shared" si="332"/>
        <v>0</v>
      </c>
      <c r="H1494">
        <f t="shared" si="333"/>
        <v>0</v>
      </c>
      <c r="I1494">
        <f t="shared" si="334"/>
        <v>0</v>
      </c>
      <c r="J1494">
        <f t="shared" si="335"/>
        <v>0</v>
      </c>
      <c r="K1494" s="4" t="e">
        <f t="shared" si="324"/>
        <v>#N/A</v>
      </c>
      <c r="L1494" t="e">
        <f t="shared" si="325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6"/>
        <v>0</v>
      </c>
      <c r="B1495">
        <f t="shared" si="327"/>
        <v>0</v>
      </c>
      <c r="C1495">
        <f t="shared" si="328"/>
        <v>0</v>
      </c>
      <c r="D1495">
        <f t="shared" si="329"/>
        <v>0</v>
      </c>
      <c r="E1495" t="e">
        <f t="shared" si="330"/>
        <v>#N/A</v>
      </c>
      <c r="F1495">
        <f t="shared" si="331"/>
        <v>0</v>
      </c>
      <c r="G1495">
        <f t="shared" si="332"/>
        <v>0</v>
      </c>
      <c r="H1495">
        <f t="shared" si="333"/>
        <v>0</v>
      </c>
      <c r="I1495">
        <f t="shared" si="334"/>
        <v>0</v>
      </c>
      <c r="J1495">
        <f t="shared" si="335"/>
        <v>0</v>
      </c>
      <c r="K1495" s="4" t="e">
        <f t="shared" si="324"/>
        <v>#N/A</v>
      </c>
      <c r="L1495" t="e">
        <f t="shared" si="325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6"/>
        <v>0</v>
      </c>
      <c r="B1496">
        <f t="shared" si="327"/>
        <v>0</v>
      </c>
      <c r="C1496">
        <f t="shared" si="328"/>
        <v>0</v>
      </c>
      <c r="D1496">
        <f t="shared" si="329"/>
        <v>0</v>
      </c>
      <c r="E1496" t="e">
        <f t="shared" si="330"/>
        <v>#N/A</v>
      </c>
      <c r="F1496">
        <f t="shared" si="331"/>
        <v>0</v>
      </c>
      <c r="G1496">
        <f t="shared" si="332"/>
        <v>0</v>
      </c>
      <c r="H1496">
        <f t="shared" si="333"/>
        <v>0</v>
      </c>
      <c r="I1496">
        <f t="shared" si="334"/>
        <v>0</v>
      </c>
      <c r="J1496">
        <f t="shared" si="335"/>
        <v>0</v>
      </c>
      <c r="K1496" s="4" t="e">
        <f t="shared" si="324"/>
        <v>#N/A</v>
      </c>
      <c r="L1496" t="e">
        <f t="shared" si="325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6"/>
        <v>0</v>
      </c>
      <c r="B1497">
        <f t="shared" si="327"/>
        <v>0</v>
      </c>
      <c r="C1497">
        <f t="shared" si="328"/>
        <v>0</v>
      </c>
      <c r="D1497">
        <f t="shared" si="329"/>
        <v>0</v>
      </c>
      <c r="E1497" t="e">
        <f t="shared" si="330"/>
        <v>#N/A</v>
      </c>
      <c r="F1497">
        <f t="shared" si="331"/>
        <v>0</v>
      </c>
      <c r="G1497">
        <f t="shared" si="332"/>
        <v>0</v>
      </c>
      <c r="H1497">
        <f t="shared" si="333"/>
        <v>0</v>
      </c>
      <c r="I1497">
        <f t="shared" si="334"/>
        <v>0</v>
      </c>
      <c r="J1497">
        <f t="shared" si="335"/>
        <v>0</v>
      </c>
      <c r="K1497" s="4" t="e">
        <f t="shared" si="324"/>
        <v>#N/A</v>
      </c>
      <c r="L1497" t="e">
        <f t="shared" si="325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6"/>
        <v>0</v>
      </c>
      <c r="B1498">
        <f t="shared" si="327"/>
        <v>0</v>
      </c>
      <c r="C1498">
        <f t="shared" si="328"/>
        <v>0</v>
      </c>
      <c r="D1498">
        <f t="shared" si="329"/>
        <v>0</v>
      </c>
      <c r="E1498" t="e">
        <f t="shared" si="330"/>
        <v>#N/A</v>
      </c>
      <c r="F1498">
        <f t="shared" si="331"/>
        <v>0</v>
      </c>
      <c r="G1498">
        <f t="shared" si="332"/>
        <v>0</v>
      </c>
      <c r="H1498">
        <f t="shared" si="333"/>
        <v>0</v>
      </c>
      <c r="I1498">
        <f t="shared" si="334"/>
        <v>0</v>
      </c>
      <c r="J1498">
        <f t="shared" si="335"/>
        <v>0</v>
      </c>
      <c r="K1498" s="4" t="e">
        <f t="shared" si="324"/>
        <v>#N/A</v>
      </c>
      <c r="L1498" t="e">
        <f t="shared" si="325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6"/>
        <v>0</v>
      </c>
      <c r="B1499">
        <f t="shared" si="327"/>
        <v>0</v>
      </c>
      <c r="C1499">
        <f t="shared" si="328"/>
        <v>0</v>
      </c>
      <c r="D1499">
        <f t="shared" si="329"/>
        <v>0</v>
      </c>
      <c r="E1499" t="e">
        <f t="shared" si="330"/>
        <v>#N/A</v>
      </c>
      <c r="F1499">
        <f t="shared" si="331"/>
        <v>0</v>
      </c>
      <c r="G1499">
        <f t="shared" si="332"/>
        <v>0</v>
      </c>
      <c r="H1499">
        <f t="shared" si="333"/>
        <v>0</v>
      </c>
      <c r="I1499">
        <f t="shared" si="334"/>
        <v>0</v>
      </c>
      <c r="J1499">
        <f t="shared" si="335"/>
        <v>0</v>
      </c>
      <c r="K1499" s="4" t="e">
        <f t="shared" si="324"/>
        <v>#N/A</v>
      </c>
      <c r="L1499" t="e">
        <f t="shared" si="325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6"/>
        <v>0</v>
      </c>
      <c r="B1500">
        <f t="shared" si="327"/>
        <v>0</v>
      </c>
      <c r="C1500">
        <f t="shared" si="328"/>
        <v>0</v>
      </c>
      <c r="D1500">
        <f t="shared" si="329"/>
        <v>0</v>
      </c>
      <c r="E1500" t="e">
        <f t="shared" si="330"/>
        <v>#N/A</v>
      </c>
      <c r="F1500">
        <f t="shared" si="331"/>
        <v>0</v>
      </c>
      <c r="G1500">
        <f t="shared" si="332"/>
        <v>0</v>
      </c>
      <c r="H1500">
        <f t="shared" si="333"/>
        <v>0</v>
      </c>
      <c r="I1500">
        <f t="shared" si="334"/>
        <v>0</v>
      </c>
      <c r="J1500">
        <f t="shared" si="335"/>
        <v>0</v>
      </c>
      <c r="K1500" s="4" t="e">
        <f t="shared" si="324"/>
        <v>#N/A</v>
      </c>
      <c r="L1500" t="e">
        <f t="shared" si="325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6"/>
        <v>0</v>
      </c>
      <c r="B1501">
        <f t="shared" si="327"/>
        <v>0</v>
      </c>
      <c r="C1501">
        <f t="shared" si="328"/>
        <v>0</v>
      </c>
      <c r="D1501">
        <f t="shared" si="329"/>
        <v>0</v>
      </c>
      <c r="E1501" t="e">
        <f t="shared" si="330"/>
        <v>#N/A</v>
      </c>
      <c r="F1501">
        <f t="shared" si="331"/>
        <v>0</v>
      </c>
      <c r="G1501">
        <f t="shared" si="332"/>
        <v>0</v>
      </c>
      <c r="H1501">
        <f t="shared" si="333"/>
        <v>0</v>
      </c>
      <c r="I1501">
        <f t="shared" si="334"/>
        <v>0</v>
      </c>
      <c r="J1501">
        <f t="shared" si="335"/>
        <v>0</v>
      </c>
      <c r="K1501" s="4" t="e">
        <f t="shared" si="324"/>
        <v>#N/A</v>
      </c>
      <c r="L1501" t="e">
        <f t="shared" si="325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6"/>
        <v>0</v>
      </c>
      <c r="B1502">
        <f t="shared" si="327"/>
        <v>0</v>
      </c>
      <c r="C1502">
        <f t="shared" si="328"/>
        <v>0</v>
      </c>
      <c r="D1502">
        <f t="shared" si="329"/>
        <v>0</v>
      </c>
      <c r="E1502" t="e">
        <f t="shared" si="330"/>
        <v>#N/A</v>
      </c>
      <c r="F1502">
        <f t="shared" si="331"/>
        <v>0</v>
      </c>
      <c r="G1502">
        <f t="shared" si="332"/>
        <v>0</v>
      </c>
      <c r="H1502">
        <f t="shared" si="333"/>
        <v>0</v>
      </c>
      <c r="I1502">
        <f t="shared" si="334"/>
        <v>0</v>
      </c>
      <c r="J1502">
        <f t="shared" si="335"/>
        <v>0</v>
      </c>
      <c r="K1502" s="4" t="e">
        <f t="shared" si="324"/>
        <v>#N/A</v>
      </c>
      <c r="L1502" t="e">
        <f t="shared" si="325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6"/>
        <v>0</v>
      </c>
      <c r="B1503">
        <f t="shared" si="327"/>
        <v>0</v>
      </c>
      <c r="C1503">
        <f t="shared" si="328"/>
        <v>0</v>
      </c>
      <c r="D1503">
        <f t="shared" si="329"/>
        <v>0</v>
      </c>
      <c r="E1503" t="e">
        <f t="shared" si="330"/>
        <v>#N/A</v>
      </c>
      <c r="F1503">
        <f t="shared" si="331"/>
        <v>0</v>
      </c>
      <c r="G1503">
        <f t="shared" si="332"/>
        <v>0</v>
      </c>
      <c r="H1503">
        <f t="shared" si="333"/>
        <v>0</v>
      </c>
      <c r="I1503">
        <f t="shared" si="334"/>
        <v>0</v>
      </c>
      <c r="J1503">
        <f t="shared" si="335"/>
        <v>0</v>
      </c>
      <c r="K1503" s="4" t="e">
        <f t="shared" si="324"/>
        <v>#N/A</v>
      </c>
      <c r="L1503" t="e">
        <f t="shared" si="325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6"/>
        <v>0</v>
      </c>
      <c r="B1504">
        <f t="shared" si="327"/>
        <v>0</v>
      </c>
      <c r="C1504">
        <f t="shared" si="328"/>
        <v>0</v>
      </c>
      <c r="D1504">
        <f t="shared" si="329"/>
        <v>0</v>
      </c>
      <c r="E1504" t="e">
        <f t="shared" si="330"/>
        <v>#N/A</v>
      </c>
      <c r="F1504">
        <f t="shared" si="331"/>
        <v>0</v>
      </c>
      <c r="G1504">
        <f t="shared" si="332"/>
        <v>0</v>
      </c>
      <c r="H1504">
        <f t="shared" si="333"/>
        <v>0</v>
      </c>
      <c r="I1504">
        <f t="shared" si="334"/>
        <v>0</v>
      </c>
      <c r="J1504">
        <f t="shared" si="335"/>
        <v>0</v>
      </c>
      <c r="K1504" s="4" t="e">
        <f t="shared" si="324"/>
        <v>#N/A</v>
      </c>
      <c r="L1504" t="e">
        <f t="shared" si="325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6"/>
        <v>0</v>
      </c>
      <c r="B1505">
        <f t="shared" si="327"/>
        <v>0</v>
      </c>
      <c r="C1505">
        <f t="shared" si="328"/>
        <v>0</v>
      </c>
      <c r="D1505">
        <f t="shared" si="329"/>
        <v>0</v>
      </c>
      <c r="E1505" t="e">
        <f t="shared" si="330"/>
        <v>#N/A</v>
      </c>
      <c r="F1505">
        <f t="shared" si="331"/>
        <v>0</v>
      </c>
      <c r="G1505">
        <f t="shared" si="332"/>
        <v>0</v>
      </c>
      <c r="H1505">
        <f t="shared" si="333"/>
        <v>0</v>
      </c>
      <c r="I1505">
        <f t="shared" si="334"/>
        <v>0</v>
      </c>
      <c r="J1505">
        <f t="shared" si="335"/>
        <v>0</v>
      </c>
      <c r="K1505" s="4" t="e">
        <f t="shared" si="324"/>
        <v>#N/A</v>
      </c>
      <c r="L1505" t="e">
        <f t="shared" si="325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6"/>
        <v>0</v>
      </c>
      <c r="B1506">
        <f t="shared" si="327"/>
        <v>0</v>
      </c>
      <c r="C1506">
        <f t="shared" si="328"/>
        <v>0</v>
      </c>
      <c r="D1506">
        <f t="shared" si="329"/>
        <v>0</v>
      </c>
      <c r="E1506" t="e">
        <f t="shared" si="330"/>
        <v>#N/A</v>
      </c>
      <c r="F1506">
        <f t="shared" si="331"/>
        <v>0</v>
      </c>
      <c r="G1506">
        <f t="shared" si="332"/>
        <v>0</v>
      </c>
      <c r="H1506">
        <f t="shared" si="333"/>
        <v>0</v>
      </c>
      <c r="I1506">
        <f t="shared" si="334"/>
        <v>0</v>
      </c>
      <c r="J1506">
        <f t="shared" si="335"/>
        <v>0</v>
      </c>
      <c r="K1506" s="4" t="e">
        <f t="shared" si="324"/>
        <v>#N/A</v>
      </c>
      <c r="L1506" t="e">
        <f t="shared" si="325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6"/>
        <v>0</v>
      </c>
      <c r="B1507">
        <f t="shared" si="327"/>
        <v>0</v>
      </c>
      <c r="C1507">
        <f t="shared" si="328"/>
        <v>0</v>
      </c>
      <c r="D1507">
        <f t="shared" si="329"/>
        <v>0</v>
      </c>
      <c r="E1507" t="e">
        <f t="shared" si="330"/>
        <v>#N/A</v>
      </c>
      <c r="F1507">
        <f t="shared" si="331"/>
        <v>0</v>
      </c>
      <c r="G1507">
        <f t="shared" si="332"/>
        <v>0</v>
      </c>
      <c r="H1507">
        <f t="shared" si="333"/>
        <v>0</v>
      </c>
      <c r="I1507">
        <f t="shared" si="334"/>
        <v>0</v>
      </c>
      <c r="J1507">
        <f t="shared" si="335"/>
        <v>0</v>
      </c>
      <c r="K1507" s="4" t="e">
        <f t="shared" si="324"/>
        <v>#N/A</v>
      </c>
      <c r="L1507" t="e">
        <f t="shared" si="325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6"/>
        <v>0</v>
      </c>
      <c r="B1508">
        <f t="shared" si="327"/>
        <v>0</v>
      </c>
      <c r="C1508">
        <f t="shared" si="328"/>
        <v>0</v>
      </c>
      <c r="D1508">
        <f t="shared" si="329"/>
        <v>0</v>
      </c>
      <c r="E1508" t="e">
        <f t="shared" si="330"/>
        <v>#N/A</v>
      </c>
      <c r="F1508">
        <f t="shared" si="331"/>
        <v>0</v>
      </c>
      <c r="G1508">
        <f t="shared" si="332"/>
        <v>0</v>
      </c>
      <c r="H1508">
        <f t="shared" si="333"/>
        <v>0</v>
      </c>
      <c r="I1508">
        <f t="shared" si="334"/>
        <v>0</v>
      </c>
      <c r="J1508">
        <f t="shared" si="335"/>
        <v>0</v>
      </c>
      <c r="K1508" s="4" t="e">
        <f t="shared" si="324"/>
        <v>#N/A</v>
      </c>
      <c r="L1508" t="e">
        <f t="shared" si="325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6"/>
        <v>0</v>
      </c>
      <c r="B1509">
        <f t="shared" si="327"/>
        <v>0</v>
      </c>
      <c r="C1509">
        <f t="shared" si="328"/>
        <v>0</v>
      </c>
      <c r="D1509">
        <f t="shared" si="329"/>
        <v>0</v>
      </c>
      <c r="E1509" t="e">
        <f t="shared" si="330"/>
        <v>#N/A</v>
      </c>
      <c r="F1509">
        <f t="shared" si="331"/>
        <v>0</v>
      </c>
      <c r="G1509">
        <f t="shared" si="332"/>
        <v>0</v>
      </c>
      <c r="H1509">
        <f t="shared" si="333"/>
        <v>0</v>
      </c>
      <c r="I1509">
        <f t="shared" si="334"/>
        <v>0</v>
      </c>
      <c r="J1509">
        <f t="shared" si="335"/>
        <v>0</v>
      </c>
      <c r="K1509" s="4" t="e">
        <f t="shared" si="324"/>
        <v>#N/A</v>
      </c>
      <c r="L1509" t="e">
        <f t="shared" si="325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6"/>
        <v>0</v>
      </c>
      <c r="B1510">
        <f t="shared" si="327"/>
        <v>0</v>
      </c>
      <c r="C1510">
        <f t="shared" si="328"/>
        <v>0</v>
      </c>
      <c r="D1510">
        <f t="shared" si="329"/>
        <v>0</v>
      </c>
      <c r="E1510" t="e">
        <f t="shared" si="330"/>
        <v>#N/A</v>
      </c>
      <c r="F1510">
        <f t="shared" si="331"/>
        <v>0</v>
      </c>
      <c r="G1510">
        <f t="shared" si="332"/>
        <v>0</v>
      </c>
      <c r="H1510">
        <f t="shared" si="333"/>
        <v>0</v>
      </c>
      <c r="I1510">
        <f t="shared" si="334"/>
        <v>0</v>
      </c>
      <c r="J1510">
        <f t="shared" si="335"/>
        <v>0</v>
      </c>
      <c r="K1510" s="4" t="e">
        <f t="shared" si="324"/>
        <v>#N/A</v>
      </c>
      <c r="L1510" t="e">
        <f t="shared" si="325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6"/>
        <v>0</v>
      </c>
      <c r="B1511">
        <f t="shared" si="327"/>
        <v>0</v>
      </c>
      <c r="C1511">
        <f t="shared" si="328"/>
        <v>0</v>
      </c>
      <c r="D1511">
        <f t="shared" si="329"/>
        <v>0</v>
      </c>
      <c r="E1511" t="e">
        <f t="shared" si="330"/>
        <v>#N/A</v>
      </c>
      <c r="F1511">
        <f t="shared" si="331"/>
        <v>0</v>
      </c>
      <c r="G1511">
        <f t="shared" si="332"/>
        <v>0</v>
      </c>
      <c r="H1511">
        <f t="shared" si="333"/>
        <v>0</v>
      </c>
      <c r="I1511">
        <f t="shared" si="334"/>
        <v>0</v>
      </c>
      <c r="J1511">
        <f t="shared" si="335"/>
        <v>0</v>
      </c>
      <c r="K1511" s="4" t="e">
        <f t="shared" si="324"/>
        <v>#N/A</v>
      </c>
      <c r="L1511" t="e">
        <f t="shared" si="325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6"/>
        <v>0</v>
      </c>
      <c r="B1512">
        <f t="shared" si="327"/>
        <v>0</v>
      </c>
      <c r="C1512">
        <f t="shared" si="328"/>
        <v>0</v>
      </c>
      <c r="D1512">
        <f t="shared" si="329"/>
        <v>0</v>
      </c>
      <c r="E1512" t="e">
        <f t="shared" si="330"/>
        <v>#N/A</v>
      </c>
      <c r="F1512">
        <f t="shared" si="331"/>
        <v>0</v>
      </c>
      <c r="G1512">
        <f t="shared" si="332"/>
        <v>0</v>
      </c>
      <c r="H1512">
        <f t="shared" si="333"/>
        <v>0</v>
      </c>
      <c r="I1512">
        <f t="shared" si="334"/>
        <v>0</v>
      </c>
      <c r="J1512">
        <f t="shared" si="335"/>
        <v>0</v>
      </c>
      <c r="K1512" s="4" t="e">
        <f t="shared" si="324"/>
        <v>#N/A</v>
      </c>
      <c r="L1512" t="e">
        <f t="shared" si="325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6"/>
        <v>0</v>
      </c>
      <c r="B1513">
        <f t="shared" si="327"/>
        <v>0</v>
      </c>
      <c r="C1513">
        <f t="shared" si="328"/>
        <v>0</v>
      </c>
      <c r="D1513">
        <f t="shared" si="329"/>
        <v>0</v>
      </c>
      <c r="E1513" t="e">
        <f t="shared" si="330"/>
        <v>#N/A</v>
      </c>
      <c r="F1513">
        <f t="shared" si="331"/>
        <v>0</v>
      </c>
      <c r="G1513">
        <f t="shared" si="332"/>
        <v>0</v>
      </c>
      <c r="H1513">
        <f t="shared" si="333"/>
        <v>0</v>
      </c>
      <c r="I1513">
        <f t="shared" si="334"/>
        <v>0</v>
      </c>
      <c r="J1513">
        <f t="shared" si="335"/>
        <v>0</v>
      </c>
      <c r="K1513" s="4" t="e">
        <f t="shared" si="324"/>
        <v>#N/A</v>
      </c>
      <c r="L1513" t="e">
        <f t="shared" si="325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6"/>
        <v>0</v>
      </c>
      <c r="B1514">
        <f t="shared" si="327"/>
        <v>0</v>
      </c>
      <c r="C1514">
        <f t="shared" si="328"/>
        <v>0</v>
      </c>
      <c r="D1514">
        <f t="shared" si="329"/>
        <v>0</v>
      </c>
      <c r="E1514" t="e">
        <f t="shared" si="330"/>
        <v>#N/A</v>
      </c>
      <c r="F1514">
        <f t="shared" si="331"/>
        <v>0</v>
      </c>
      <c r="G1514">
        <f t="shared" si="332"/>
        <v>0</v>
      </c>
      <c r="H1514">
        <f t="shared" si="333"/>
        <v>0</v>
      </c>
      <c r="I1514">
        <f t="shared" si="334"/>
        <v>0</v>
      </c>
      <c r="J1514">
        <f t="shared" si="335"/>
        <v>0</v>
      </c>
      <c r="K1514" s="4" t="e">
        <f t="shared" si="324"/>
        <v>#N/A</v>
      </c>
      <c r="L1514" t="e">
        <f t="shared" si="325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6"/>
        <v>0</v>
      </c>
      <c r="B1515">
        <f t="shared" si="327"/>
        <v>0</v>
      </c>
      <c r="C1515">
        <f t="shared" si="328"/>
        <v>0</v>
      </c>
      <c r="D1515">
        <f t="shared" si="329"/>
        <v>0</v>
      </c>
      <c r="E1515" t="e">
        <f t="shared" si="330"/>
        <v>#N/A</v>
      </c>
      <c r="F1515">
        <f t="shared" si="331"/>
        <v>0</v>
      </c>
      <c r="G1515">
        <f t="shared" si="332"/>
        <v>0</v>
      </c>
      <c r="H1515">
        <f t="shared" si="333"/>
        <v>0</v>
      </c>
      <c r="I1515">
        <f t="shared" si="334"/>
        <v>0</v>
      </c>
      <c r="J1515">
        <f t="shared" si="335"/>
        <v>0</v>
      </c>
      <c r="K1515" s="4" t="e">
        <f t="shared" si="324"/>
        <v>#N/A</v>
      </c>
      <c r="L1515" t="e">
        <f t="shared" si="325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6"/>
        <v>0</v>
      </c>
      <c r="B1516">
        <f t="shared" si="327"/>
        <v>0</v>
      </c>
      <c r="C1516">
        <f t="shared" si="328"/>
        <v>0</v>
      </c>
      <c r="D1516">
        <f t="shared" si="329"/>
        <v>0</v>
      </c>
      <c r="E1516" t="e">
        <f t="shared" si="330"/>
        <v>#N/A</v>
      </c>
      <c r="F1516">
        <f t="shared" si="331"/>
        <v>0</v>
      </c>
      <c r="G1516">
        <f t="shared" si="332"/>
        <v>0</v>
      </c>
      <c r="H1516">
        <f t="shared" si="333"/>
        <v>0</v>
      </c>
      <c r="I1516">
        <f t="shared" si="334"/>
        <v>0</v>
      </c>
      <c r="J1516">
        <f t="shared" si="335"/>
        <v>0</v>
      </c>
      <c r="K1516" s="4" t="e">
        <f t="shared" ref="K1516:K1579" si="338">IF(LEFT(B1516,3)="DBM",0,VLOOKUP(E1516,tabela,2,FALSE))</f>
        <v>#N/A</v>
      </c>
      <c r="L1516" t="e">
        <f t="shared" ref="L1516:L1579" si="339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6"/>
        <v>0</v>
      </c>
      <c r="B1517">
        <f t="shared" si="327"/>
        <v>0</v>
      </c>
      <c r="C1517">
        <f t="shared" si="328"/>
        <v>0</v>
      </c>
      <c r="D1517">
        <f t="shared" si="329"/>
        <v>0</v>
      </c>
      <c r="E1517" t="e">
        <f t="shared" si="330"/>
        <v>#N/A</v>
      </c>
      <c r="F1517">
        <f t="shared" si="331"/>
        <v>0</v>
      </c>
      <c r="G1517">
        <f t="shared" si="332"/>
        <v>0</v>
      </c>
      <c r="H1517">
        <f t="shared" si="333"/>
        <v>0</v>
      </c>
      <c r="I1517">
        <f t="shared" si="334"/>
        <v>0</v>
      </c>
      <c r="J1517">
        <f t="shared" si="335"/>
        <v>0</v>
      </c>
      <c r="K1517" s="4" t="e">
        <f t="shared" si="338"/>
        <v>#N/A</v>
      </c>
      <c r="L1517" t="e">
        <f t="shared" si="339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6"/>
        <v>0</v>
      </c>
      <c r="B1518">
        <f t="shared" si="327"/>
        <v>0</v>
      </c>
      <c r="C1518">
        <f t="shared" si="328"/>
        <v>0</v>
      </c>
      <c r="D1518">
        <f t="shared" si="329"/>
        <v>0</v>
      </c>
      <c r="E1518" t="e">
        <f t="shared" si="330"/>
        <v>#N/A</v>
      </c>
      <c r="F1518">
        <f t="shared" si="331"/>
        <v>0</v>
      </c>
      <c r="G1518">
        <f t="shared" si="332"/>
        <v>0</v>
      </c>
      <c r="H1518">
        <f t="shared" si="333"/>
        <v>0</v>
      </c>
      <c r="I1518">
        <f t="shared" si="334"/>
        <v>0</v>
      </c>
      <c r="J1518">
        <f t="shared" si="335"/>
        <v>0</v>
      </c>
      <c r="K1518" s="4" t="e">
        <f t="shared" si="338"/>
        <v>#N/A</v>
      </c>
      <c r="L1518" t="e">
        <f t="shared" si="339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6"/>
        <v>0</v>
      </c>
      <c r="B1519">
        <f t="shared" si="327"/>
        <v>0</v>
      </c>
      <c r="C1519">
        <f t="shared" si="328"/>
        <v>0</v>
      </c>
      <c r="D1519">
        <f t="shared" si="329"/>
        <v>0</v>
      </c>
      <c r="E1519" t="e">
        <f t="shared" si="330"/>
        <v>#N/A</v>
      </c>
      <c r="F1519">
        <f t="shared" si="331"/>
        <v>0</v>
      </c>
      <c r="G1519">
        <f t="shared" si="332"/>
        <v>0</v>
      </c>
      <c r="H1519">
        <f t="shared" si="333"/>
        <v>0</v>
      </c>
      <c r="I1519">
        <f t="shared" si="334"/>
        <v>0</v>
      </c>
      <c r="J1519">
        <f t="shared" si="335"/>
        <v>0</v>
      </c>
      <c r="K1519" s="4" t="e">
        <f t="shared" si="338"/>
        <v>#N/A</v>
      </c>
      <c r="L1519" t="e">
        <f t="shared" si="339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6"/>
        <v>0</v>
      </c>
      <c r="B1520">
        <f t="shared" si="327"/>
        <v>0</v>
      </c>
      <c r="C1520">
        <f t="shared" si="328"/>
        <v>0</v>
      </c>
      <c r="D1520">
        <f t="shared" si="329"/>
        <v>0</v>
      </c>
      <c r="E1520" t="e">
        <f t="shared" si="330"/>
        <v>#N/A</v>
      </c>
      <c r="F1520">
        <f t="shared" si="331"/>
        <v>0</v>
      </c>
      <c r="G1520">
        <f t="shared" si="332"/>
        <v>0</v>
      </c>
      <c r="H1520">
        <f t="shared" si="333"/>
        <v>0</v>
      </c>
      <c r="I1520">
        <f t="shared" si="334"/>
        <v>0</v>
      </c>
      <c r="J1520">
        <f t="shared" si="335"/>
        <v>0</v>
      </c>
      <c r="K1520" s="4" t="e">
        <f t="shared" si="338"/>
        <v>#N/A</v>
      </c>
      <c r="L1520" t="e">
        <f t="shared" si="339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6"/>
        <v>0</v>
      </c>
      <c r="B1521">
        <f t="shared" si="327"/>
        <v>0</v>
      </c>
      <c r="C1521">
        <f t="shared" si="328"/>
        <v>0</v>
      </c>
      <c r="D1521">
        <f t="shared" si="329"/>
        <v>0</v>
      </c>
      <c r="E1521" t="e">
        <f t="shared" si="330"/>
        <v>#N/A</v>
      </c>
      <c r="F1521">
        <f t="shared" si="331"/>
        <v>0</v>
      </c>
      <c r="G1521">
        <f t="shared" si="332"/>
        <v>0</v>
      </c>
      <c r="H1521">
        <f t="shared" si="333"/>
        <v>0</v>
      </c>
      <c r="I1521">
        <f t="shared" si="334"/>
        <v>0</v>
      </c>
      <c r="J1521">
        <f t="shared" si="335"/>
        <v>0</v>
      </c>
      <c r="K1521" s="4" t="e">
        <f t="shared" si="338"/>
        <v>#N/A</v>
      </c>
      <c r="L1521" t="e">
        <f t="shared" si="339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6"/>
        <v>0</v>
      </c>
      <c r="B1522">
        <f t="shared" si="327"/>
        <v>0</v>
      </c>
      <c r="C1522">
        <f t="shared" si="328"/>
        <v>0</v>
      </c>
      <c r="D1522">
        <f t="shared" si="329"/>
        <v>0</v>
      </c>
      <c r="E1522" t="e">
        <f t="shared" si="330"/>
        <v>#N/A</v>
      </c>
      <c r="F1522">
        <f t="shared" si="331"/>
        <v>0</v>
      </c>
      <c r="G1522">
        <f t="shared" si="332"/>
        <v>0</v>
      </c>
      <c r="H1522">
        <f t="shared" si="333"/>
        <v>0</v>
      </c>
      <c r="I1522">
        <f t="shared" si="334"/>
        <v>0</v>
      </c>
      <c r="J1522">
        <f t="shared" si="335"/>
        <v>0</v>
      </c>
      <c r="K1522" s="4" t="e">
        <f t="shared" si="338"/>
        <v>#N/A</v>
      </c>
      <c r="L1522" t="e">
        <f t="shared" si="339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6"/>
        <v>0</v>
      </c>
      <c r="B1523">
        <f t="shared" si="327"/>
        <v>0</v>
      </c>
      <c r="C1523">
        <f t="shared" si="328"/>
        <v>0</v>
      </c>
      <c r="D1523">
        <f t="shared" si="329"/>
        <v>0</v>
      </c>
      <c r="E1523" t="e">
        <f t="shared" si="330"/>
        <v>#N/A</v>
      </c>
      <c r="F1523">
        <f t="shared" si="331"/>
        <v>0</v>
      </c>
      <c r="G1523">
        <f t="shared" si="332"/>
        <v>0</v>
      </c>
      <c r="H1523">
        <f t="shared" si="333"/>
        <v>0</v>
      </c>
      <c r="I1523">
        <f t="shared" si="334"/>
        <v>0</v>
      </c>
      <c r="J1523">
        <f t="shared" si="335"/>
        <v>0</v>
      </c>
      <c r="K1523" s="4" t="e">
        <f t="shared" si="338"/>
        <v>#N/A</v>
      </c>
      <c r="L1523" t="e">
        <f t="shared" si="339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6"/>
        <v>0</v>
      </c>
      <c r="B1524">
        <f t="shared" si="327"/>
        <v>0</v>
      </c>
      <c r="C1524">
        <f t="shared" si="328"/>
        <v>0</v>
      </c>
      <c r="D1524">
        <f t="shared" si="329"/>
        <v>0</v>
      </c>
      <c r="E1524" t="e">
        <f t="shared" si="330"/>
        <v>#N/A</v>
      </c>
      <c r="F1524">
        <f t="shared" si="331"/>
        <v>0</v>
      </c>
      <c r="G1524">
        <f t="shared" si="332"/>
        <v>0</v>
      </c>
      <c r="H1524">
        <f t="shared" si="333"/>
        <v>0</v>
      </c>
      <c r="I1524">
        <f t="shared" si="334"/>
        <v>0</v>
      </c>
      <c r="J1524">
        <f t="shared" si="335"/>
        <v>0</v>
      </c>
      <c r="K1524" s="4" t="e">
        <f t="shared" si="338"/>
        <v>#N/A</v>
      </c>
      <c r="L1524" t="e">
        <f t="shared" si="339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6"/>
        <v>0</v>
      </c>
      <c r="B1525">
        <f t="shared" si="327"/>
        <v>0</v>
      </c>
      <c r="C1525">
        <f t="shared" si="328"/>
        <v>0</v>
      </c>
      <c r="D1525">
        <f t="shared" si="329"/>
        <v>0</v>
      </c>
      <c r="E1525" t="e">
        <f t="shared" si="330"/>
        <v>#N/A</v>
      </c>
      <c r="F1525">
        <f t="shared" si="331"/>
        <v>0</v>
      </c>
      <c r="G1525">
        <f t="shared" si="332"/>
        <v>0</v>
      </c>
      <c r="H1525">
        <f t="shared" si="333"/>
        <v>0</v>
      </c>
      <c r="I1525">
        <f t="shared" si="334"/>
        <v>0</v>
      </c>
      <c r="J1525">
        <f t="shared" si="335"/>
        <v>0</v>
      </c>
      <c r="K1525" s="4" t="e">
        <f t="shared" si="338"/>
        <v>#N/A</v>
      </c>
      <c r="L1525" t="e">
        <f t="shared" si="339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6"/>
        <v>0</v>
      </c>
      <c r="B1526">
        <f t="shared" si="327"/>
        <v>0</v>
      </c>
      <c r="C1526">
        <f t="shared" si="328"/>
        <v>0</v>
      </c>
      <c r="D1526">
        <f t="shared" si="329"/>
        <v>0</v>
      </c>
      <c r="E1526" t="e">
        <f t="shared" si="330"/>
        <v>#N/A</v>
      </c>
      <c r="F1526">
        <f t="shared" si="331"/>
        <v>0</v>
      </c>
      <c r="G1526">
        <f t="shared" si="332"/>
        <v>0</v>
      </c>
      <c r="H1526">
        <f t="shared" si="333"/>
        <v>0</v>
      </c>
      <c r="I1526">
        <f t="shared" si="334"/>
        <v>0</v>
      </c>
      <c r="J1526">
        <f t="shared" si="335"/>
        <v>0</v>
      </c>
      <c r="K1526" s="4" t="e">
        <f t="shared" si="338"/>
        <v>#N/A</v>
      </c>
      <c r="L1526" t="e">
        <f t="shared" si="339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6"/>
        <v>0</v>
      </c>
      <c r="B1527">
        <f t="shared" si="327"/>
        <v>0</v>
      </c>
      <c r="C1527">
        <f t="shared" si="328"/>
        <v>0</v>
      </c>
      <c r="D1527">
        <f t="shared" si="329"/>
        <v>0</v>
      </c>
      <c r="E1527" t="e">
        <f t="shared" si="330"/>
        <v>#N/A</v>
      </c>
      <c r="F1527">
        <f t="shared" si="331"/>
        <v>0</v>
      </c>
      <c r="G1527">
        <f t="shared" si="332"/>
        <v>0</v>
      </c>
      <c r="H1527">
        <f t="shared" si="333"/>
        <v>0</v>
      </c>
      <c r="I1527">
        <f t="shared" si="334"/>
        <v>0</v>
      </c>
      <c r="J1527">
        <f t="shared" si="335"/>
        <v>0</v>
      </c>
      <c r="K1527" s="4" t="e">
        <f t="shared" si="338"/>
        <v>#N/A</v>
      </c>
      <c r="L1527" t="e">
        <f t="shared" si="339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6"/>
        <v>0</v>
      </c>
      <c r="B1528">
        <f t="shared" si="327"/>
        <v>0</v>
      </c>
      <c r="C1528">
        <f t="shared" si="328"/>
        <v>0</v>
      </c>
      <c r="D1528">
        <f t="shared" si="329"/>
        <v>0</v>
      </c>
      <c r="E1528" t="e">
        <f t="shared" si="330"/>
        <v>#N/A</v>
      </c>
      <c r="F1528">
        <f t="shared" si="331"/>
        <v>0</v>
      </c>
      <c r="G1528">
        <f t="shared" si="332"/>
        <v>0</v>
      </c>
      <c r="H1528">
        <f t="shared" si="333"/>
        <v>0</v>
      </c>
      <c r="I1528">
        <f t="shared" si="334"/>
        <v>0</v>
      </c>
      <c r="J1528">
        <f t="shared" si="335"/>
        <v>0</v>
      </c>
      <c r="K1528" s="4" t="e">
        <f t="shared" si="338"/>
        <v>#N/A</v>
      </c>
      <c r="L1528" t="e">
        <f t="shared" si="339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6"/>
        <v>0</v>
      </c>
      <c r="B1529">
        <f t="shared" si="327"/>
        <v>0</v>
      </c>
      <c r="C1529">
        <f t="shared" si="328"/>
        <v>0</v>
      </c>
      <c r="D1529">
        <f t="shared" si="329"/>
        <v>0</v>
      </c>
      <c r="E1529" t="e">
        <f t="shared" si="330"/>
        <v>#N/A</v>
      </c>
      <c r="F1529">
        <f t="shared" si="331"/>
        <v>0</v>
      </c>
      <c r="G1529">
        <f t="shared" si="332"/>
        <v>0</v>
      </c>
      <c r="H1529">
        <f t="shared" si="333"/>
        <v>0</v>
      </c>
      <c r="I1529">
        <f t="shared" si="334"/>
        <v>0</v>
      </c>
      <c r="J1529">
        <f t="shared" si="335"/>
        <v>0</v>
      </c>
      <c r="K1529" s="4" t="e">
        <f t="shared" si="338"/>
        <v>#N/A</v>
      </c>
      <c r="L1529" t="e">
        <f t="shared" si="339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6"/>
        <v>0</v>
      </c>
      <c r="B1530">
        <f t="shared" si="327"/>
        <v>0</v>
      </c>
      <c r="C1530">
        <f t="shared" si="328"/>
        <v>0</v>
      </c>
      <c r="D1530">
        <f t="shared" si="329"/>
        <v>0</v>
      </c>
      <c r="E1530" t="e">
        <f t="shared" si="330"/>
        <v>#N/A</v>
      </c>
      <c r="F1530">
        <f t="shared" si="331"/>
        <v>0</v>
      </c>
      <c r="G1530">
        <f t="shared" si="332"/>
        <v>0</v>
      </c>
      <c r="H1530">
        <f t="shared" si="333"/>
        <v>0</v>
      </c>
      <c r="I1530">
        <f t="shared" si="334"/>
        <v>0</v>
      </c>
      <c r="J1530">
        <f t="shared" si="335"/>
        <v>0</v>
      </c>
      <c r="K1530" s="4" t="e">
        <f t="shared" si="338"/>
        <v>#N/A</v>
      </c>
      <c r="L1530" t="e">
        <f t="shared" si="339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6"/>
        <v>0</v>
      </c>
      <c r="B1531">
        <f t="shared" si="327"/>
        <v>0</v>
      </c>
      <c r="C1531">
        <f t="shared" si="328"/>
        <v>0</v>
      </c>
      <c r="D1531">
        <f t="shared" si="329"/>
        <v>0</v>
      </c>
      <c r="E1531" t="e">
        <f t="shared" si="330"/>
        <v>#N/A</v>
      </c>
      <c r="F1531">
        <f t="shared" si="331"/>
        <v>0</v>
      </c>
      <c r="G1531">
        <f t="shared" si="332"/>
        <v>0</v>
      </c>
      <c r="H1531">
        <f t="shared" si="333"/>
        <v>0</v>
      </c>
      <c r="I1531">
        <f t="shared" si="334"/>
        <v>0</v>
      </c>
      <c r="J1531">
        <f t="shared" si="335"/>
        <v>0</v>
      </c>
      <c r="K1531" s="4" t="e">
        <f t="shared" si="338"/>
        <v>#N/A</v>
      </c>
      <c r="L1531" t="e">
        <f t="shared" si="339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6"/>
        <v>0</v>
      </c>
      <c r="B1532">
        <f t="shared" si="327"/>
        <v>0</v>
      </c>
      <c r="C1532">
        <f t="shared" si="328"/>
        <v>0</v>
      </c>
      <c r="D1532">
        <f t="shared" si="329"/>
        <v>0</v>
      </c>
      <c r="E1532" t="e">
        <f t="shared" si="330"/>
        <v>#N/A</v>
      </c>
      <c r="F1532">
        <f t="shared" si="331"/>
        <v>0</v>
      </c>
      <c r="G1532">
        <f t="shared" si="332"/>
        <v>0</v>
      </c>
      <c r="H1532">
        <f t="shared" si="333"/>
        <v>0</v>
      </c>
      <c r="I1532">
        <f t="shared" si="334"/>
        <v>0</v>
      </c>
      <c r="J1532">
        <f t="shared" si="335"/>
        <v>0</v>
      </c>
      <c r="K1532" s="4" t="e">
        <f t="shared" si="338"/>
        <v>#N/A</v>
      </c>
      <c r="L1532" t="e">
        <f t="shared" si="339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6"/>
        <v>0</v>
      </c>
      <c r="B1533">
        <f t="shared" si="327"/>
        <v>0</v>
      </c>
      <c r="C1533">
        <f t="shared" si="328"/>
        <v>0</v>
      </c>
      <c r="D1533">
        <f t="shared" si="329"/>
        <v>0</v>
      </c>
      <c r="E1533" t="e">
        <f t="shared" si="330"/>
        <v>#N/A</v>
      </c>
      <c r="F1533">
        <f t="shared" si="331"/>
        <v>0</v>
      </c>
      <c r="G1533">
        <f t="shared" si="332"/>
        <v>0</v>
      </c>
      <c r="H1533">
        <f t="shared" si="333"/>
        <v>0</v>
      </c>
      <c r="I1533">
        <f t="shared" si="334"/>
        <v>0</v>
      </c>
      <c r="J1533">
        <f t="shared" si="335"/>
        <v>0</v>
      </c>
      <c r="K1533" s="4" t="e">
        <f t="shared" si="338"/>
        <v>#N/A</v>
      </c>
      <c r="L1533" t="e">
        <f t="shared" si="339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6"/>
        <v>0</v>
      </c>
      <c r="B1534">
        <f t="shared" si="327"/>
        <v>0</v>
      </c>
      <c r="C1534">
        <f t="shared" si="328"/>
        <v>0</v>
      </c>
      <c r="D1534">
        <f t="shared" si="329"/>
        <v>0</v>
      </c>
      <c r="E1534" t="e">
        <f t="shared" si="330"/>
        <v>#N/A</v>
      </c>
      <c r="F1534">
        <f t="shared" si="331"/>
        <v>0</v>
      </c>
      <c r="G1534">
        <f t="shared" si="332"/>
        <v>0</v>
      </c>
      <c r="H1534">
        <f t="shared" si="333"/>
        <v>0</v>
      </c>
      <c r="I1534">
        <f t="shared" si="334"/>
        <v>0</v>
      </c>
      <c r="J1534">
        <f t="shared" si="335"/>
        <v>0</v>
      </c>
      <c r="K1534" s="4" t="e">
        <f t="shared" si="338"/>
        <v>#N/A</v>
      </c>
      <c r="L1534" t="e">
        <f t="shared" si="339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6"/>
        <v>0</v>
      </c>
      <c r="B1535">
        <f t="shared" si="327"/>
        <v>0</v>
      </c>
      <c r="C1535">
        <f t="shared" si="328"/>
        <v>0</v>
      </c>
      <c r="D1535">
        <f t="shared" si="329"/>
        <v>0</v>
      </c>
      <c r="E1535" t="e">
        <f t="shared" si="330"/>
        <v>#N/A</v>
      </c>
      <c r="F1535">
        <f t="shared" si="331"/>
        <v>0</v>
      </c>
      <c r="G1535">
        <f t="shared" si="332"/>
        <v>0</v>
      </c>
      <c r="H1535">
        <f t="shared" si="333"/>
        <v>0</v>
      </c>
      <c r="I1535">
        <f t="shared" si="334"/>
        <v>0</v>
      </c>
      <c r="J1535">
        <f t="shared" si="335"/>
        <v>0</v>
      </c>
      <c r="K1535" s="4" t="e">
        <f t="shared" si="338"/>
        <v>#N/A</v>
      </c>
      <c r="L1535" t="e">
        <f t="shared" si="339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6"/>
        <v>0</v>
      </c>
      <c r="B1536">
        <f t="shared" si="327"/>
        <v>0</v>
      </c>
      <c r="C1536">
        <f t="shared" si="328"/>
        <v>0</v>
      </c>
      <c r="D1536">
        <f t="shared" si="329"/>
        <v>0</v>
      </c>
      <c r="E1536" t="e">
        <f t="shared" si="330"/>
        <v>#N/A</v>
      </c>
      <c r="F1536">
        <f t="shared" si="331"/>
        <v>0</v>
      </c>
      <c r="G1536">
        <f t="shared" si="332"/>
        <v>0</v>
      </c>
      <c r="H1536">
        <f t="shared" si="333"/>
        <v>0</v>
      </c>
      <c r="I1536">
        <f t="shared" si="334"/>
        <v>0</v>
      </c>
      <c r="J1536">
        <f t="shared" si="335"/>
        <v>0</v>
      </c>
      <c r="K1536" s="4" t="e">
        <f t="shared" si="338"/>
        <v>#N/A</v>
      </c>
      <c r="L1536" t="e">
        <f t="shared" si="339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6"/>
        <v>0</v>
      </c>
      <c r="B1537">
        <f t="shared" si="327"/>
        <v>0</v>
      </c>
      <c r="C1537">
        <f t="shared" si="328"/>
        <v>0</v>
      </c>
      <c r="D1537">
        <f t="shared" si="329"/>
        <v>0</v>
      </c>
      <c r="E1537" t="e">
        <f t="shared" si="330"/>
        <v>#N/A</v>
      </c>
      <c r="F1537">
        <f t="shared" si="331"/>
        <v>0</v>
      </c>
      <c r="G1537">
        <f t="shared" si="332"/>
        <v>0</v>
      </c>
      <c r="H1537">
        <f t="shared" si="333"/>
        <v>0</v>
      </c>
      <c r="I1537">
        <f t="shared" si="334"/>
        <v>0</v>
      </c>
      <c r="J1537">
        <f t="shared" si="335"/>
        <v>0</v>
      </c>
      <c r="K1537" s="4" t="e">
        <f t="shared" si="338"/>
        <v>#N/A</v>
      </c>
      <c r="L1537" t="e">
        <f t="shared" si="339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40">bd_campaign</f>
        <v>0</v>
      </c>
      <c r="B1538">
        <f t="shared" ref="B1538:B1601" si="341">bd_site</f>
        <v>0</v>
      </c>
      <c r="C1538">
        <f t="shared" ref="C1538:C1601" si="342">bd_placement</f>
        <v>0</v>
      </c>
      <c r="D1538">
        <f t="shared" ref="D1538:D1601" si="343">bd_placementID</f>
        <v>0</v>
      </c>
      <c r="E1538" t="e">
        <f t="shared" ref="E1538:E1601" si="344">VLOOKUP(CONCATENATE(bd_adtype,"_",bd_creativetype),tabela,2,FALSE)</f>
        <v>#N/A</v>
      </c>
      <c r="F1538">
        <f t="shared" ref="F1538:F1601" si="345">bd_ad</f>
        <v>0</v>
      </c>
      <c r="G1538">
        <f t="shared" ref="G1538:G1601" si="346">bd_adid</f>
        <v>0</v>
      </c>
      <c r="H1538">
        <f t="shared" ref="H1538:H1601" si="347">bd_creativetype</f>
        <v>0</v>
      </c>
      <c r="I1538">
        <f t="shared" ref="I1538:I1601" si="348">bd_impression</f>
        <v>0</v>
      </c>
      <c r="J1538">
        <f t="shared" ref="J1538:J1601" si="349">bd_clicks</f>
        <v>0</v>
      </c>
      <c r="K1538" s="4" t="e">
        <f t="shared" si="338"/>
        <v>#N/A</v>
      </c>
      <c r="L1538" t="e">
        <f t="shared" si="339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40"/>
        <v>0</v>
      </c>
      <c r="B1539">
        <f t="shared" si="341"/>
        <v>0</v>
      </c>
      <c r="C1539">
        <f t="shared" si="342"/>
        <v>0</v>
      </c>
      <c r="D1539">
        <f t="shared" si="343"/>
        <v>0</v>
      </c>
      <c r="E1539" t="e">
        <f t="shared" si="344"/>
        <v>#N/A</v>
      </c>
      <c r="F1539">
        <f t="shared" si="345"/>
        <v>0</v>
      </c>
      <c r="G1539">
        <f t="shared" si="346"/>
        <v>0</v>
      </c>
      <c r="H1539">
        <f t="shared" si="347"/>
        <v>0</v>
      </c>
      <c r="I1539">
        <f t="shared" si="348"/>
        <v>0</v>
      </c>
      <c r="J1539">
        <f t="shared" si="349"/>
        <v>0</v>
      </c>
      <c r="K1539" s="4" t="e">
        <f t="shared" si="338"/>
        <v>#N/A</v>
      </c>
      <c r="L1539" t="e">
        <f t="shared" si="339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40"/>
        <v>0</v>
      </c>
      <c r="B1540">
        <f t="shared" si="341"/>
        <v>0</v>
      </c>
      <c r="C1540">
        <f t="shared" si="342"/>
        <v>0</v>
      </c>
      <c r="D1540">
        <f t="shared" si="343"/>
        <v>0</v>
      </c>
      <c r="E1540" t="e">
        <f t="shared" si="344"/>
        <v>#N/A</v>
      </c>
      <c r="F1540">
        <f t="shared" si="345"/>
        <v>0</v>
      </c>
      <c r="G1540">
        <f t="shared" si="346"/>
        <v>0</v>
      </c>
      <c r="H1540">
        <f t="shared" si="347"/>
        <v>0</v>
      </c>
      <c r="I1540">
        <f t="shared" si="348"/>
        <v>0</v>
      </c>
      <c r="J1540">
        <f t="shared" si="349"/>
        <v>0</v>
      </c>
      <c r="K1540" s="4" t="e">
        <f t="shared" si="338"/>
        <v>#N/A</v>
      </c>
      <c r="L1540" t="e">
        <f t="shared" si="339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40"/>
        <v>0</v>
      </c>
      <c r="B1541">
        <f t="shared" si="341"/>
        <v>0</v>
      </c>
      <c r="C1541">
        <f t="shared" si="342"/>
        <v>0</v>
      </c>
      <c r="D1541">
        <f t="shared" si="343"/>
        <v>0</v>
      </c>
      <c r="E1541" t="e">
        <f t="shared" si="344"/>
        <v>#N/A</v>
      </c>
      <c r="F1541">
        <f t="shared" si="345"/>
        <v>0</v>
      </c>
      <c r="G1541">
        <f t="shared" si="346"/>
        <v>0</v>
      </c>
      <c r="H1541">
        <f t="shared" si="347"/>
        <v>0</v>
      </c>
      <c r="I1541">
        <f t="shared" si="348"/>
        <v>0</v>
      </c>
      <c r="J1541">
        <f t="shared" si="349"/>
        <v>0</v>
      </c>
      <c r="K1541" s="4" t="e">
        <f t="shared" si="338"/>
        <v>#N/A</v>
      </c>
      <c r="L1541" t="e">
        <f t="shared" si="339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40"/>
        <v>0</v>
      </c>
      <c r="B1542">
        <f t="shared" si="341"/>
        <v>0</v>
      </c>
      <c r="C1542">
        <f t="shared" si="342"/>
        <v>0</v>
      </c>
      <c r="D1542">
        <f t="shared" si="343"/>
        <v>0</v>
      </c>
      <c r="E1542" t="e">
        <f t="shared" si="344"/>
        <v>#N/A</v>
      </c>
      <c r="F1542">
        <f t="shared" si="345"/>
        <v>0</v>
      </c>
      <c r="G1542">
        <f t="shared" si="346"/>
        <v>0</v>
      </c>
      <c r="H1542">
        <f t="shared" si="347"/>
        <v>0</v>
      </c>
      <c r="I1542">
        <f t="shared" si="348"/>
        <v>0</v>
      </c>
      <c r="J1542">
        <f t="shared" si="349"/>
        <v>0</v>
      </c>
      <c r="K1542" s="4" t="e">
        <f t="shared" si="338"/>
        <v>#N/A</v>
      </c>
      <c r="L1542" t="e">
        <f t="shared" si="339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40"/>
        <v>0</v>
      </c>
      <c r="B1543">
        <f t="shared" si="341"/>
        <v>0</v>
      </c>
      <c r="C1543">
        <f t="shared" si="342"/>
        <v>0</v>
      </c>
      <c r="D1543">
        <f t="shared" si="343"/>
        <v>0</v>
      </c>
      <c r="E1543" t="e">
        <f t="shared" si="344"/>
        <v>#N/A</v>
      </c>
      <c r="F1543">
        <f t="shared" si="345"/>
        <v>0</v>
      </c>
      <c r="G1543">
        <f t="shared" si="346"/>
        <v>0</v>
      </c>
      <c r="H1543">
        <f t="shared" si="347"/>
        <v>0</v>
      </c>
      <c r="I1543">
        <f t="shared" si="348"/>
        <v>0</v>
      </c>
      <c r="J1543">
        <f t="shared" si="349"/>
        <v>0</v>
      </c>
      <c r="K1543" s="4" t="e">
        <f t="shared" si="338"/>
        <v>#N/A</v>
      </c>
      <c r="L1543" t="e">
        <f t="shared" si="339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40"/>
        <v>0</v>
      </c>
      <c r="B1544">
        <f t="shared" si="341"/>
        <v>0</v>
      </c>
      <c r="C1544">
        <f t="shared" si="342"/>
        <v>0</v>
      </c>
      <c r="D1544">
        <f t="shared" si="343"/>
        <v>0</v>
      </c>
      <c r="E1544" t="e">
        <f t="shared" si="344"/>
        <v>#N/A</v>
      </c>
      <c r="F1544">
        <f t="shared" si="345"/>
        <v>0</v>
      </c>
      <c r="G1544">
        <f t="shared" si="346"/>
        <v>0</v>
      </c>
      <c r="H1544">
        <f t="shared" si="347"/>
        <v>0</v>
      </c>
      <c r="I1544">
        <f t="shared" si="348"/>
        <v>0</v>
      </c>
      <c r="J1544">
        <f t="shared" si="349"/>
        <v>0</v>
      </c>
      <c r="K1544" s="4" t="e">
        <f t="shared" si="338"/>
        <v>#N/A</v>
      </c>
      <c r="L1544" t="e">
        <f t="shared" si="339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40"/>
        <v>0</v>
      </c>
      <c r="B1545">
        <f t="shared" si="341"/>
        <v>0</v>
      </c>
      <c r="C1545">
        <f t="shared" si="342"/>
        <v>0</v>
      </c>
      <c r="D1545">
        <f t="shared" si="343"/>
        <v>0</v>
      </c>
      <c r="E1545" t="e">
        <f t="shared" si="344"/>
        <v>#N/A</v>
      </c>
      <c r="F1545">
        <f t="shared" si="345"/>
        <v>0</v>
      </c>
      <c r="G1545">
        <f t="shared" si="346"/>
        <v>0</v>
      </c>
      <c r="H1545">
        <f t="shared" si="347"/>
        <v>0</v>
      </c>
      <c r="I1545">
        <f t="shared" si="348"/>
        <v>0</v>
      </c>
      <c r="J1545">
        <f t="shared" si="349"/>
        <v>0</v>
      </c>
      <c r="K1545" s="4" t="e">
        <f t="shared" si="338"/>
        <v>#N/A</v>
      </c>
      <c r="L1545" t="e">
        <f t="shared" si="339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40"/>
        <v>0</v>
      </c>
      <c r="B1546">
        <f t="shared" si="341"/>
        <v>0</v>
      </c>
      <c r="C1546">
        <f t="shared" si="342"/>
        <v>0</v>
      </c>
      <c r="D1546">
        <f t="shared" si="343"/>
        <v>0</v>
      </c>
      <c r="E1546" t="e">
        <f t="shared" si="344"/>
        <v>#N/A</v>
      </c>
      <c r="F1546">
        <f t="shared" si="345"/>
        <v>0</v>
      </c>
      <c r="G1546">
        <f t="shared" si="346"/>
        <v>0</v>
      </c>
      <c r="H1546">
        <f t="shared" si="347"/>
        <v>0</v>
      </c>
      <c r="I1546">
        <f t="shared" si="348"/>
        <v>0</v>
      </c>
      <c r="J1546">
        <f t="shared" si="349"/>
        <v>0</v>
      </c>
      <c r="K1546" s="4" t="e">
        <f t="shared" si="338"/>
        <v>#N/A</v>
      </c>
      <c r="L1546" t="e">
        <f t="shared" si="339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40"/>
        <v>0</v>
      </c>
      <c r="B1547">
        <f t="shared" si="341"/>
        <v>0</v>
      </c>
      <c r="C1547">
        <f t="shared" si="342"/>
        <v>0</v>
      </c>
      <c r="D1547">
        <f t="shared" si="343"/>
        <v>0</v>
      </c>
      <c r="E1547" t="e">
        <f t="shared" si="344"/>
        <v>#N/A</v>
      </c>
      <c r="F1547">
        <f t="shared" si="345"/>
        <v>0</v>
      </c>
      <c r="G1547">
        <f t="shared" si="346"/>
        <v>0</v>
      </c>
      <c r="H1547">
        <f t="shared" si="347"/>
        <v>0</v>
      </c>
      <c r="I1547">
        <f t="shared" si="348"/>
        <v>0</v>
      </c>
      <c r="J1547">
        <f t="shared" si="349"/>
        <v>0</v>
      </c>
      <c r="K1547" s="4" t="e">
        <f t="shared" si="338"/>
        <v>#N/A</v>
      </c>
      <c r="L1547" t="e">
        <f t="shared" si="339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40"/>
        <v>0</v>
      </c>
      <c r="B1548">
        <f t="shared" si="341"/>
        <v>0</v>
      </c>
      <c r="C1548">
        <f t="shared" si="342"/>
        <v>0</v>
      </c>
      <c r="D1548">
        <f t="shared" si="343"/>
        <v>0</v>
      </c>
      <c r="E1548" t="e">
        <f t="shared" si="344"/>
        <v>#N/A</v>
      </c>
      <c r="F1548">
        <f t="shared" si="345"/>
        <v>0</v>
      </c>
      <c r="G1548">
        <f t="shared" si="346"/>
        <v>0</v>
      </c>
      <c r="H1548">
        <f t="shared" si="347"/>
        <v>0</v>
      </c>
      <c r="I1548">
        <f t="shared" si="348"/>
        <v>0</v>
      </c>
      <c r="J1548">
        <f t="shared" si="349"/>
        <v>0</v>
      </c>
      <c r="K1548" s="4" t="e">
        <f t="shared" si="338"/>
        <v>#N/A</v>
      </c>
      <c r="L1548" t="e">
        <f t="shared" si="339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40"/>
        <v>0</v>
      </c>
      <c r="B1549">
        <f t="shared" si="341"/>
        <v>0</v>
      </c>
      <c r="C1549">
        <f t="shared" si="342"/>
        <v>0</v>
      </c>
      <c r="D1549">
        <f t="shared" si="343"/>
        <v>0</v>
      </c>
      <c r="E1549" t="e">
        <f t="shared" si="344"/>
        <v>#N/A</v>
      </c>
      <c r="F1549">
        <f t="shared" si="345"/>
        <v>0</v>
      </c>
      <c r="G1549">
        <f t="shared" si="346"/>
        <v>0</v>
      </c>
      <c r="H1549">
        <f t="shared" si="347"/>
        <v>0</v>
      </c>
      <c r="I1549">
        <f t="shared" si="348"/>
        <v>0</v>
      </c>
      <c r="J1549">
        <f t="shared" si="349"/>
        <v>0</v>
      </c>
      <c r="K1549" s="4" t="e">
        <f t="shared" si="338"/>
        <v>#N/A</v>
      </c>
      <c r="L1549" t="e">
        <f t="shared" si="339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40"/>
        <v>0</v>
      </c>
      <c r="B1550">
        <f t="shared" si="341"/>
        <v>0</v>
      </c>
      <c r="C1550">
        <f t="shared" si="342"/>
        <v>0</v>
      </c>
      <c r="D1550">
        <f t="shared" si="343"/>
        <v>0</v>
      </c>
      <c r="E1550" t="e">
        <f t="shared" si="344"/>
        <v>#N/A</v>
      </c>
      <c r="F1550">
        <f t="shared" si="345"/>
        <v>0</v>
      </c>
      <c r="G1550">
        <f t="shared" si="346"/>
        <v>0</v>
      </c>
      <c r="H1550">
        <f t="shared" si="347"/>
        <v>0</v>
      </c>
      <c r="I1550">
        <f t="shared" si="348"/>
        <v>0</v>
      </c>
      <c r="J1550">
        <f t="shared" si="349"/>
        <v>0</v>
      </c>
      <c r="K1550" s="4" t="e">
        <f t="shared" si="338"/>
        <v>#N/A</v>
      </c>
      <c r="L1550" t="e">
        <f t="shared" si="339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40"/>
        <v>0</v>
      </c>
      <c r="B1551">
        <f t="shared" si="341"/>
        <v>0</v>
      </c>
      <c r="C1551">
        <f t="shared" si="342"/>
        <v>0</v>
      </c>
      <c r="D1551">
        <f t="shared" si="343"/>
        <v>0</v>
      </c>
      <c r="E1551" t="e">
        <f t="shared" si="344"/>
        <v>#N/A</v>
      </c>
      <c r="F1551">
        <f t="shared" si="345"/>
        <v>0</v>
      </c>
      <c r="G1551">
        <f t="shared" si="346"/>
        <v>0</v>
      </c>
      <c r="H1551">
        <f t="shared" si="347"/>
        <v>0</v>
      </c>
      <c r="I1551">
        <f t="shared" si="348"/>
        <v>0</v>
      </c>
      <c r="J1551">
        <f t="shared" si="349"/>
        <v>0</v>
      </c>
      <c r="K1551" s="4" t="e">
        <f t="shared" si="338"/>
        <v>#N/A</v>
      </c>
      <c r="L1551" t="e">
        <f t="shared" si="339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40"/>
        <v>0</v>
      </c>
      <c r="B1552">
        <f t="shared" si="341"/>
        <v>0</v>
      </c>
      <c r="C1552">
        <f t="shared" si="342"/>
        <v>0</v>
      </c>
      <c r="D1552">
        <f t="shared" si="343"/>
        <v>0</v>
      </c>
      <c r="E1552" t="e">
        <f t="shared" si="344"/>
        <v>#N/A</v>
      </c>
      <c r="F1552">
        <f t="shared" si="345"/>
        <v>0</v>
      </c>
      <c r="G1552">
        <f t="shared" si="346"/>
        <v>0</v>
      </c>
      <c r="H1552">
        <f t="shared" si="347"/>
        <v>0</v>
      </c>
      <c r="I1552">
        <f t="shared" si="348"/>
        <v>0</v>
      </c>
      <c r="J1552">
        <f t="shared" si="349"/>
        <v>0</v>
      </c>
      <c r="K1552" s="4" t="e">
        <f t="shared" si="338"/>
        <v>#N/A</v>
      </c>
      <c r="L1552" t="e">
        <f t="shared" si="339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40"/>
        <v>0</v>
      </c>
      <c r="B1553">
        <f t="shared" si="341"/>
        <v>0</v>
      </c>
      <c r="C1553">
        <f t="shared" si="342"/>
        <v>0</v>
      </c>
      <c r="D1553">
        <f t="shared" si="343"/>
        <v>0</v>
      </c>
      <c r="E1553" t="e">
        <f t="shared" si="344"/>
        <v>#N/A</v>
      </c>
      <c r="F1553">
        <f t="shared" si="345"/>
        <v>0</v>
      </c>
      <c r="G1553">
        <f t="shared" si="346"/>
        <v>0</v>
      </c>
      <c r="H1553">
        <f t="shared" si="347"/>
        <v>0</v>
      </c>
      <c r="I1553">
        <f t="shared" si="348"/>
        <v>0</v>
      </c>
      <c r="J1553">
        <f t="shared" si="349"/>
        <v>0</v>
      </c>
      <c r="K1553" s="4" t="e">
        <f t="shared" si="338"/>
        <v>#N/A</v>
      </c>
      <c r="L1553" t="e">
        <f t="shared" si="339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40"/>
        <v>0</v>
      </c>
      <c r="B1554">
        <f t="shared" si="341"/>
        <v>0</v>
      </c>
      <c r="C1554">
        <f t="shared" si="342"/>
        <v>0</v>
      </c>
      <c r="D1554">
        <f t="shared" si="343"/>
        <v>0</v>
      </c>
      <c r="E1554" t="e">
        <f t="shared" si="344"/>
        <v>#N/A</v>
      </c>
      <c r="F1554">
        <f t="shared" si="345"/>
        <v>0</v>
      </c>
      <c r="G1554">
        <f t="shared" si="346"/>
        <v>0</v>
      </c>
      <c r="H1554">
        <f t="shared" si="347"/>
        <v>0</v>
      </c>
      <c r="I1554">
        <f t="shared" si="348"/>
        <v>0</v>
      </c>
      <c r="J1554">
        <f t="shared" si="349"/>
        <v>0</v>
      </c>
      <c r="K1554" s="4" t="e">
        <f t="shared" si="338"/>
        <v>#N/A</v>
      </c>
      <c r="L1554" t="e">
        <f t="shared" si="339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40"/>
        <v>0</v>
      </c>
      <c r="B1555">
        <f t="shared" si="341"/>
        <v>0</v>
      </c>
      <c r="C1555">
        <f t="shared" si="342"/>
        <v>0</v>
      </c>
      <c r="D1555">
        <f t="shared" si="343"/>
        <v>0</v>
      </c>
      <c r="E1555" t="e">
        <f t="shared" si="344"/>
        <v>#N/A</v>
      </c>
      <c r="F1555">
        <f t="shared" si="345"/>
        <v>0</v>
      </c>
      <c r="G1555">
        <f t="shared" si="346"/>
        <v>0</v>
      </c>
      <c r="H1555">
        <f t="shared" si="347"/>
        <v>0</v>
      </c>
      <c r="I1555">
        <f t="shared" si="348"/>
        <v>0</v>
      </c>
      <c r="J1555">
        <f t="shared" si="349"/>
        <v>0</v>
      </c>
      <c r="K1555" s="4" t="e">
        <f t="shared" si="338"/>
        <v>#N/A</v>
      </c>
      <c r="L1555" t="e">
        <f t="shared" si="339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40"/>
        <v>0</v>
      </c>
      <c r="B1556">
        <f t="shared" si="341"/>
        <v>0</v>
      </c>
      <c r="C1556">
        <f t="shared" si="342"/>
        <v>0</v>
      </c>
      <c r="D1556">
        <f t="shared" si="343"/>
        <v>0</v>
      </c>
      <c r="E1556" t="e">
        <f t="shared" si="344"/>
        <v>#N/A</v>
      </c>
      <c r="F1556">
        <f t="shared" si="345"/>
        <v>0</v>
      </c>
      <c r="G1556">
        <f t="shared" si="346"/>
        <v>0</v>
      </c>
      <c r="H1556">
        <f t="shared" si="347"/>
        <v>0</v>
      </c>
      <c r="I1556">
        <f t="shared" si="348"/>
        <v>0</v>
      </c>
      <c r="J1556">
        <f t="shared" si="349"/>
        <v>0</v>
      </c>
      <c r="K1556" s="4" t="e">
        <f t="shared" si="338"/>
        <v>#N/A</v>
      </c>
      <c r="L1556" t="e">
        <f t="shared" si="339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40"/>
        <v>0</v>
      </c>
      <c r="B1557">
        <f t="shared" si="341"/>
        <v>0</v>
      </c>
      <c r="C1557">
        <f t="shared" si="342"/>
        <v>0</v>
      </c>
      <c r="D1557">
        <f t="shared" si="343"/>
        <v>0</v>
      </c>
      <c r="E1557" t="e">
        <f t="shared" si="344"/>
        <v>#N/A</v>
      </c>
      <c r="F1557">
        <f t="shared" si="345"/>
        <v>0</v>
      </c>
      <c r="G1557">
        <f t="shared" si="346"/>
        <v>0</v>
      </c>
      <c r="H1557">
        <f t="shared" si="347"/>
        <v>0</v>
      </c>
      <c r="I1557">
        <f t="shared" si="348"/>
        <v>0</v>
      </c>
      <c r="J1557">
        <f t="shared" si="349"/>
        <v>0</v>
      </c>
      <c r="K1557" s="4" t="e">
        <f t="shared" si="338"/>
        <v>#N/A</v>
      </c>
      <c r="L1557" t="e">
        <f t="shared" si="339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40"/>
        <v>0</v>
      </c>
      <c r="B1558">
        <f t="shared" si="341"/>
        <v>0</v>
      </c>
      <c r="C1558">
        <f t="shared" si="342"/>
        <v>0</v>
      </c>
      <c r="D1558">
        <f t="shared" si="343"/>
        <v>0</v>
      </c>
      <c r="E1558" t="e">
        <f t="shared" si="344"/>
        <v>#N/A</v>
      </c>
      <c r="F1558">
        <f t="shared" si="345"/>
        <v>0</v>
      </c>
      <c r="G1558">
        <f t="shared" si="346"/>
        <v>0</v>
      </c>
      <c r="H1558">
        <f t="shared" si="347"/>
        <v>0</v>
      </c>
      <c r="I1558">
        <f t="shared" si="348"/>
        <v>0</v>
      </c>
      <c r="J1558">
        <f t="shared" si="349"/>
        <v>0</v>
      </c>
      <c r="K1558" s="4" t="e">
        <f t="shared" si="338"/>
        <v>#N/A</v>
      </c>
      <c r="L1558" t="e">
        <f t="shared" si="339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40"/>
        <v>0</v>
      </c>
      <c r="B1559">
        <f t="shared" si="341"/>
        <v>0</v>
      </c>
      <c r="C1559">
        <f t="shared" si="342"/>
        <v>0</v>
      </c>
      <c r="D1559">
        <f t="shared" si="343"/>
        <v>0</v>
      </c>
      <c r="E1559" t="e">
        <f t="shared" si="344"/>
        <v>#N/A</v>
      </c>
      <c r="F1559">
        <f t="shared" si="345"/>
        <v>0</v>
      </c>
      <c r="G1559">
        <f t="shared" si="346"/>
        <v>0</v>
      </c>
      <c r="H1559">
        <f t="shared" si="347"/>
        <v>0</v>
      </c>
      <c r="I1559">
        <f t="shared" si="348"/>
        <v>0</v>
      </c>
      <c r="J1559">
        <f t="shared" si="349"/>
        <v>0</v>
      </c>
      <c r="K1559" s="4" t="e">
        <f t="shared" si="338"/>
        <v>#N/A</v>
      </c>
      <c r="L1559" t="e">
        <f t="shared" si="339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40"/>
        <v>0</v>
      </c>
      <c r="B1560">
        <f t="shared" si="341"/>
        <v>0</v>
      </c>
      <c r="C1560">
        <f t="shared" si="342"/>
        <v>0</v>
      </c>
      <c r="D1560">
        <f t="shared" si="343"/>
        <v>0</v>
      </c>
      <c r="E1560" t="e">
        <f t="shared" si="344"/>
        <v>#N/A</v>
      </c>
      <c r="F1560">
        <f t="shared" si="345"/>
        <v>0</v>
      </c>
      <c r="G1560">
        <f t="shared" si="346"/>
        <v>0</v>
      </c>
      <c r="H1560">
        <f t="shared" si="347"/>
        <v>0</v>
      </c>
      <c r="I1560">
        <f t="shared" si="348"/>
        <v>0</v>
      </c>
      <c r="J1560">
        <f t="shared" si="349"/>
        <v>0</v>
      </c>
      <c r="K1560" s="4" t="e">
        <f t="shared" si="338"/>
        <v>#N/A</v>
      </c>
      <c r="L1560" t="e">
        <f t="shared" si="339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40"/>
        <v>0</v>
      </c>
      <c r="B1561">
        <f t="shared" si="341"/>
        <v>0</v>
      </c>
      <c r="C1561">
        <f t="shared" si="342"/>
        <v>0</v>
      </c>
      <c r="D1561">
        <f t="shared" si="343"/>
        <v>0</v>
      </c>
      <c r="E1561" t="e">
        <f t="shared" si="344"/>
        <v>#N/A</v>
      </c>
      <c r="F1561">
        <f t="shared" si="345"/>
        <v>0</v>
      </c>
      <c r="G1561">
        <f t="shared" si="346"/>
        <v>0</v>
      </c>
      <c r="H1561">
        <f t="shared" si="347"/>
        <v>0</v>
      </c>
      <c r="I1561">
        <f t="shared" si="348"/>
        <v>0</v>
      </c>
      <c r="J1561">
        <f t="shared" si="349"/>
        <v>0</v>
      </c>
      <c r="K1561" s="4" t="e">
        <f t="shared" si="338"/>
        <v>#N/A</v>
      </c>
      <c r="L1561" t="e">
        <f t="shared" si="339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40"/>
        <v>0</v>
      </c>
      <c r="B1562">
        <f t="shared" si="341"/>
        <v>0</v>
      </c>
      <c r="C1562">
        <f t="shared" si="342"/>
        <v>0</v>
      </c>
      <c r="D1562">
        <f t="shared" si="343"/>
        <v>0</v>
      </c>
      <c r="E1562" t="e">
        <f t="shared" si="344"/>
        <v>#N/A</v>
      </c>
      <c r="F1562">
        <f t="shared" si="345"/>
        <v>0</v>
      </c>
      <c r="G1562">
        <f t="shared" si="346"/>
        <v>0</v>
      </c>
      <c r="H1562">
        <f t="shared" si="347"/>
        <v>0</v>
      </c>
      <c r="I1562">
        <f t="shared" si="348"/>
        <v>0</v>
      </c>
      <c r="J1562">
        <f t="shared" si="349"/>
        <v>0</v>
      </c>
      <c r="K1562" s="4" t="e">
        <f t="shared" si="338"/>
        <v>#N/A</v>
      </c>
      <c r="L1562" t="e">
        <f t="shared" si="339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40"/>
        <v>0</v>
      </c>
      <c r="B1563">
        <f t="shared" si="341"/>
        <v>0</v>
      </c>
      <c r="C1563">
        <f t="shared" si="342"/>
        <v>0</v>
      </c>
      <c r="D1563">
        <f t="shared" si="343"/>
        <v>0</v>
      </c>
      <c r="E1563" t="e">
        <f t="shared" si="344"/>
        <v>#N/A</v>
      </c>
      <c r="F1563">
        <f t="shared" si="345"/>
        <v>0</v>
      </c>
      <c r="G1563">
        <f t="shared" si="346"/>
        <v>0</v>
      </c>
      <c r="H1563">
        <f t="shared" si="347"/>
        <v>0</v>
      </c>
      <c r="I1563">
        <f t="shared" si="348"/>
        <v>0</v>
      </c>
      <c r="J1563">
        <f t="shared" si="349"/>
        <v>0</v>
      </c>
      <c r="K1563" s="4" t="e">
        <f t="shared" si="338"/>
        <v>#N/A</v>
      </c>
      <c r="L1563" t="e">
        <f t="shared" si="339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40"/>
        <v>0</v>
      </c>
      <c r="B1564">
        <f t="shared" si="341"/>
        <v>0</v>
      </c>
      <c r="C1564">
        <f t="shared" si="342"/>
        <v>0</v>
      </c>
      <c r="D1564">
        <f t="shared" si="343"/>
        <v>0</v>
      </c>
      <c r="E1564" t="e">
        <f t="shared" si="344"/>
        <v>#N/A</v>
      </c>
      <c r="F1564">
        <f t="shared" si="345"/>
        <v>0</v>
      </c>
      <c r="G1564">
        <f t="shared" si="346"/>
        <v>0</v>
      </c>
      <c r="H1564">
        <f t="shared" si="347"/>
        <v>0</v>
      </c>
      <c r="I1564">
        <f t="shared" si="348"/>
        <v>0</v>
      </c>
      <c r="J1564">
        <f t="shared" si="349"/>
        <v>0</v>
      </c>
      <c r="K1564" s="4" t="e">
        <f t="shared" si="338"/>
        <v>#N/A</v>
      </c>
      <c r="L1564" t="e">
        <f t="shared" si="339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40"/>
        <v>0</v>
      </c>
      <c r="B1565">
        <f t="shared" si="341"/>
        <v>0</v>
      </c>
      <c r="C1565">
        <f t="shared" si="342"/>
        <v>0</v>
      </c>
      <c r="D1565">
        <f t="shared" si="343"/>
        <v>0</v>
      </c>
      <c r="E1565" t="e">
        <f t="shared" si="344"/>
        <v>#N/A</v>
      </c>
      <c r="F1565">
        <f t="shared" si="345"/>
        <v>0</v>
      </c>
      <c r="G1565">
        <f t="shared" si="346"/>
        <v>0</v>
      </c>
      <c r="H1565">
        <f t="shared" si="347"/>
        <v>0</v>
      </c>
      <c r="I1565">
        <f t="shared" si="348"/>
        <v>0</v>
      </c>
      <c r="J1565">
        <f t="shared" si="349"/>
        <v>0</v>
      </c>
      <c r="K1565" s="4" t="e">
        <f t="shared" si="338"/>
        <v>#N/A</v>
      </c>
      <c r="L1565" t="e">
        <f t="shared" si="339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40"/>
        <v>0</v>
      </c>
      <c r="B1566">
        <f t="shared" si="341"/>
        <v>0</v>
      </c>
      <c r="C1566">
        <f t="shared" si="342"/>
        <v>0</v>
      </c>
      <c r="D1566">
        <f t="shared" si="343"/>
        <v>0</v>
      </c>
      <c r="E1566" t="e">
        <f t="shared" si="344"/>
        <v>#N/A</v>
      </c>
      <c r="F1566">
        <f t="shared" si="345"/>
        <v>0</v>
      </c>
      <c r="G1566">
        <f t="shared" si="346"/>
        <v>0</v>
      </c>
      <c r="H1566">
        <f t="shared" si="347"/>
        <v>0</v>
      </c>
      <c r="I1566">
        <f t="shared" si="348"/>
        <v>0</v>
      </c>
      <c r="J1566">
        <f t="shared" si="349"/>
        <v>0</v>
      </c>
      <c r="K1566" s="4" t="e">
        <f t="shared" si="338"/>
        <v>#N/A</v>
      </c>
      <c r="L1566" t="e">
        <f t="shared" si="339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40"/>
        <v>0</v>
      </c>
      <c r="B1567">
        <f t="shared" si="341"/>
        <v>0</v>
      </c>
      <c r="C1567">
        <f t="shared" si="342"/>
        <v>0</v>
      </c>
      <c r="D1567">
        <f t="shared" si="343"/>
        <v>0</v>
      </c>
      <c r="E1567" t="e">
        <f t="shared" si="344"/>
        <v>#N/A</v>
      </c>
      <c r="F1567">
        <f t="shared" si="345"/>
        <v>0</v>
      </c>
      <c r="G1567">
        <f t="shared" si="346"/>
        <v>0</v>
      </c>
      <c r="H1567">
        <f t="shared" si="347"/>
        <v>0</v>
      </c>
      <c r="I1567">
        <f t="shared" si="348"/>
        <v>0</v>
      </c>
      <c r="J1567">
        <f t="shared" si="349"/>
        <v>0</v>
      </c>
      <c r="K1567" s="4" t="e">
        <f t="shared" si="338"/>
        <v>#N/A</v>
      </c>
      <c r="L1567" t="e">
        <f t="shared" si="339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40"/>
        <v>0</v>
      </c>
      <c r="B1568">
        <f t="shared" si="341"/>
        <v>0</v>
      </c>
      <c r="C1568">
        <f t="shared" si="342"/>
        <v>0</v>
      </c>
      <c r="D1568">
        <f t="shared" si="343"/>
        <v>0</v>
      </c>
      <c r="E1568" t="e">
        <f t="shared" si="344"/>
        <v>#N/A</v>
      </c>
      <c r="F1568">
        <f t="shared" si="345"/>
        <v>0</v>
      </c>
      <c r="G1568">
        <f t="shared" si="346"/>
        <v>0</v>
      </c>
      <c r="H1568">
        <f t="shared" si="347"/>
        <v>0</v>
      </c>
      <c r="I1568">
        <f t="shared" si="348"/>
        <v>0</v>
      </c>
      <c r="J1568">
        <f t="shared" si="349"/>
        <v>0</v>
      </c>
      <c r="K1568" s="4" t="e">
        <f t="shared" si="338"/>
        <v>#N/A</v>
      </c>
      <c r="L1568" t="e">
        <f t="shared" si="339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40"/>
        <v>0</v>
      </c>
      <c r="B1569">
        <f t="shared" si="341"/>
        <v>0</v>
      </c>
      <c r="C1569">
        <f t="shared" si="342"/>
        <v>0</v>
      </c>
      <c r="D1569">
        <f t="shared" si="343"/>
        <v>0</v>
      </c>
      <c r="E1569" t="e">
        <f t="shared" si="344"/>
        <v>#N/A</v>
      </c>
      <c r="F1569">
        <f t="shared" si="345"/>
        <v>0</v>
      </c>
      <c r="G1569">
        <f t="shared" si="346"/>
        <v>0</v>
      </c>
      <c r="H1569">
        <f t="shared" si="347"/>
        <v>0</v>
      </c>
      <c r="I1569">
        <f t="shared" si="348"/>
        <v>0</v>
      </c>
      <c r="J1569">
        <f t="shared" si="349"/>
        <v>0</v>
      </c>
      <c r="K1569" s="4" t="e">
        <f t="shared" si="338"/>
        <v>#N/A</v>
      </c>
      <c r="L1569" t="e">
        <f t="shared" si="339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40"/>
        <v>0</v>
      </c>
      <c r="B1570">
        <f t="shared" si="341"/>
        <v>0</v>
      </c>
      <c r="C1570">
        <f t="shared" si="342"/>
        <v>0</v>
      </c>
      <c r="D1570">
        <f t="shared" si="343"/>
        <v>0</v>
      </c>
      <c r="E1570" t="e">
        <f t="shared" si="344"/>
        <v>#N/A</v>
      </c>
      <c r="F1570">
        <f t="shared" si="345"/>
        <v>0</v>
      </c>
      <c r="G1570">
        <f t="shared" si="346"/>
        <v>0</v>
      </c>
      <c r="H1570">
        <f t="shared" si="347"/>
        <v>0</v>
      </c>
      <c r="I1570">
        <f t="shared" si="348"/>
        <v>0</v>
      </c>
      <c r="J1570">
        <f t="shared" si="349"/>
        <v>0</v>
      </c>
      <c r="K1570" s="4" t="e">
        <f t="shared" si="338"/>
        <v>#N/A</v>
      </c>
      <c r="L1570" t="e">
        <f t="shared" si="339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40"/>
        <v>0</v>
      </c>
      <c r="B1571">
        <f t="shared" si="341"/>
        <v>0</v>
      </c>
      <c r="C1571">
        <f t="shared" si="342"/>
        <v>0</v>
      </c>
      <c r="D1571">
        <f t="shared" si="343"/>
        <v>0</v>
      </c>
      <c r="E1571" t="e">
        <f t="shared" si="344"/>
        <v>#N/A</v>
      </c>
      <c r="F1571">
        <f t="shared" si="345"/>
        <v>0</v>
      </c>
      <c r="G1571">
        <f t="shared" si="346"/>
        <v>0</v>
      </c>
      <c r="H1571">
        <f t="shared" si="347"/>
        <v>0</v>
      </c>
      <c r="I1571">
        <f t="shared" si="348"/>
        <v>0</v>
      </c>
      <c r="J1571">
        <f t="shared" si="349"/>
        <v>0</v>
      </c>
      <c r="K1571" s="4" t="e">
        <f t="shared" si="338"/>
        <v>#N/A</v>
      </c>
      <c r="L1571" t="e">
        <f t="shared" si="339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40"/>
        <v>0</v>
      </c>
      <c r="B1572">
        <f t="shared" si="341"/>
        <v>0</v>
      </c>
      <c r="C1572">
        <f t="shared" si="342"/>
        <v>0</v>
      </c>
      <c r="D1572">
        <f t="shared" si="343"/>
        <v>0</v>
      </c>
      <c r="E1572" t="e">
        <f t="shared" si="344"/>
        <v>#N/A</v>
      </c>
      <c r="F1572">
        <f t="shared" si="345"/>
        <v>0</v>
      </c>
      <c r="G1572">
        <f t="shared" si="346"/>
        <v>0</v>
      </c>
      <c r="H1572">
        <f t="shared" si="347"/>
        <v>0</v>
      </c>
      <c r="I1572">
        <f t="shared" si="348"/>
        <v>0</v>
      </c>
      <c r="J1572">
        <f t="shared" si="349"/>
        <v>0</v>
      </c>
      <c r="K1572" s="4" t="e">
        <f t="shared" si="338"/>
        <v>#N/A</v>
      </c>
      <c r="L1572" t="e">
        <f t="shared" si="339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40"/>
        <v>0</v>
      </c>
      <c r="B1573">
        <f t="shared" si="341"/>
        <v>0</v>
      </c>
      <c r="C1573">
        <f t="shared" si="342"/>
        <v>0</v>
      </c>
      <c r="D1573">
        <f t="shared" si="343"/>
        <v>0</v>
      </c>
      <c r="E1573" t="e">
        <f t="shared" si="344"/>
        <v>#N/A</v>
      </c>
      <c r="F1573">
        <f t="shared" si="345"/>
        <v>0</v>
      </c>
      <c r="G1573">
        <f t="shared" si="346"/>
        <v>0</v>
      </c>
      <c r="H1573">
        <f t="shared" si="347"/>
        <v>0</v>
      </c>
      <c r="I1573">
        <f t="shared" si="348"/>
        <v>0</v>
      </c>
      <c r="J1573">
        <f t="shared" si="349"/>
        <v>0</v>
      </c>
      <c r="K1573" s="4" t="e">
        <f t="shared" si="338"/>
        <v>#N/A</v>
      </c>
      <c r="L1573" t="e">
        <f t="shared" si="339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40"/>
        <v>0</v>
      </c>
      <c r="B1574">
        <f t="shared" si="341"/>
        <v>0</v>
      </c>
      <c r="C1574">
        <f t="shared" si="342"/>
        <v>0</v>
      </c>
      <c r="D1574">
        <f t="shared" si="343"/>
        <v>0</v>
      </c>
      <c r="E1574" t="e">
        <f t="shared" si="344"/>
        <v>#N/A</v>
      </c>
      <c r="F1574">
        <f t="shared" si="345"/>
        <v>0</v>
      </c>
      <c r="G1574">
        <f t="shared" si="346"/>
        <v>0</v>
      </c>
      <c r="H1574">
        <f t="shared" si="347"/>
        <v>0</v>
      </c>
      <c r="I1574">
        <f t="shared" si="348"/>
        <v>0</v>
      </c>
      <c r="J1574">
        <f t="shared" si="349"/>
        <v>0</v>
      </c>
      <c r="K1574" s="4" t="e">
        <f t="shared" si="338"/>
        <v>#N/A</v>
      </c>
      <c r="L1574" t="e">
        <f t="shared" si="339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40"/>
        <v>0</v>
      </c>
      <c r="B1575">
        <f t="shared" si="341"/>
        <v>0</v>
      </c>
      <c r="C1575">
        <f t="shared" si="342"/>
        <v>0</v>
      </c>
      <c r="D1575">
        <f t="shared" si="343"/>
        <v>0</v>
      </c>
      <c r="E1575" t="e">
        <f t="shared" si="344"/>
        <v>#N/A</v>
      </c>
      <c r="F1575">
        <f t="shared" si="345"/>
        <v>0</v>
      </c>
      <c r="G1575">
        <f t="shared" si="346"/>
        <v>0</v>
      </c>
      <c r="H1575">
        <f t="shared" si="347"/>
        <v>0</v>
      </c>
      <c r="I1575">
        <f t="shared" si="348"/>
        <v>0</v>
      </c>
      <c r="J1575">
        <f t="shared" si="349"/>
        <v>0</v>
      </c>
      <c r="K1575" s="4" t="e">
        <f t="shared" si="338"/>
        <v>#N/A</v>
      </c>
      <c r="L1575" t="e">
        <f t="shared" si="339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40"/>
        <v>0</v>
      </c>
      <c r="B1576">
        <f t="shared" si="341"/>
        <v>0</v>
      </c>
      <c r="C1576">
        <f t="shared" si="342"/>
        <v>0</v>
      </c>
      <c r="D1576">
        <f t="shared" si="343"/>
        <v>0</v>
      </c>
      <c r="E1576" t="e">
        <f t="shared" si="344"/>
        <v>#N/A</v>
      </c>
      <c r="F1576">
        <f t="shared" si="345"/>
        <v>0</v>
      </c>
      <c r="G1576">
        <f t="shared" si="346"/>
        <v>0</v>
      </c>
      <c r="H1576">
        <f t="shared" si="347"/>
        <v>0</v>
      </c>
      <c r="I1576">
        <f t="shared" si="348"/>
        <v>0</v>
      </c>
      <c r="J1576">
        <f t="shared" si="349"/>
        <v>0</v>
      </c>
      <c r="K1576" s="4" t="e">
        <f t="shared" si="338"/>
        <v>#N/A</v>
      </c>
      <c r="L1576" t="e">
        <f t="shared" si="339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40"/>
        <v>0</v>
      </c>
      <c r="B1577">
        <f t="shared" si="341"/>
        <v>0</v>
      </c>
      <c r="C1577">
        <f t="shared" si="342"/>
        <v>0</v>
      </c>
      <c r="D1577">
        <f t="shared" si="343"/>
        <v>0</v>
      </c>
      <c r="E1577" t="e">
        <f t="shared" si="344"/>
        <v>#N/A</v>
      </c>
      <c r="F1577">
        <f t="shared" si="345"/>
        <v>0</v>
      </c>
      <c r="G1577">
        <f t="shared" si="346"/>
        <v>0</v>
      </c>
      <c r="H1577">
        <f t="shared" si="347"/>
        <v>0</v>
      </c>
      <c r="I1577">
        <f t="shared" si="348"/>
        <v>0</v>
      </c>
      <c r="J1577">
        <f t="shared" si="349"/>
        <v>0</v>
      </c>
      <c r="K1577" s="4" t="e">
        <f t="shared" si="338"/>
        <v>#N/A</v>
      </c>
      <c r="L1577" t="e">
        <f t="shared" si="339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40"/>
        <v>0</v>
      </c>
      <c r="B1578">
        <f t="shared" si="341"/>
        <v>0</v>
      </c>
      <c r="C1578">
        <f t="shared" si="342"/>
        <v>0</v>
      </c>
      <c r="D1578">
        <f t="shared" si="343"/>
        <v>0</v>
      </c>
      <c r="E1578" t="e">
        <f t="shared" si="344"/>
        <v>#N/A</v>
      </c>
      <c r="F1578">
        <f t="shared" si="345"/>
        <v>0</v>
      </c>
      <c r="G1578">
        <f t="shared" si="346"/>
        <v>0</v>
      </c>
      <c r="H1578">
        <f t="shared" si="347"/>
        <v>0</v>
      </c>
      <c r="I1578">
        <f t="shared" si="348"/>
        <v>0</v>
      </c>
      <c r="J1578">
        <f t="shared" si="349"/>
        <v>0</v>
      </c>
      <c r="K1578" s="4" t="e">
        <f t="shared" si="338"/>
        <v>#N/A</v>
      </c>
      <c r="L1578" t="e">
        <f t="shared" si="339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40"/>
        <v>0</v>
      </c>
      <c r="B1579">
        <f t="shared" si="341"/>
        <v>0</v>
      </c>
      <c r="C1579">
        <f t="shared" si="342"/>
        <v>0</v>
      </c>
      <c r="D1579">
        <f t="shared" si="343"/>
        <v>0</v>
      </c>
      <c r="E1579" t="e">
        <f t="shared" si="344"/>
        <v>#N/A</v>
      </c>
      <c r="F1579">
        <f t="shared" si="345"/>
        <v>0</v>
      </c>
      <c r="G1579">
        <f t="shared" si="346"/>
        <v>0</v>
      </c>
      <c r="H1579">
        <f t="shared" si="347"/>
        <v>0</v>
      </c>
      <c r="I1579">
        <f t="shared" si="348"/>
        <v>0</v>
      </c>
      <c r="J1579">
        <f t="shared" si="349"/>
        <v>0</v>
      </c>
      <c r="K1579" s="4" t="e">
        <f t="shared" si="338"/>
        <v>#N/A</v>
      </c>
      <c r="L1579" t="e">
        <f t="shared" si="339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40"/>
        <v>0</v>
      </c>
      <c r="B1580">
        <f t="shared" si="341"/>
        <v>0</v>
      </c>
      <c r="C1580">
        <f t="shared" si="342"/>
        <v>0</v>
      </c>
      <c r="D1580">
        <f t="shared" si="343"/>
        <v>0</v>
      </c>
      <c r="E1580" t="e">
        <f t="shared" si="344"/>
        <v>#N/A</v>
      </c>
      <c r="F1580">
        <f t="shared" si="345"/>
        <v>0</v>
      </c>
      <c r="G1580">
        <f t="shared" si="346"/>
        <v>0</v>
      </c>
      <c r="H1580">
        <f t="shared" si="347"/>
        <v>0</v>
      </c>
      <c r="I1580">
        <f t="shared" si="348"/>
        <v>0</v>
      </c>
      <c r="J1580">
        <f t="shared" si="349"/>
        <v>0</v>
      </c>
      <c r="K1580" s="4" t="e">
        <f t="shared" ref="K1580:K1643" si="352">IF(LEFT(B1580,3)="DBM",0,VLOOKUP(E1580,tabela,2,FALSE))</f>
        <v>#N/A</v>
      </c>
      <c r="L1580" t="e">
        <f t="shared" ref="L1580:L1643" si="353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40"/>
        <v>0</v>
      </c>
      <c r="B1581">
        <f t="shared" si="341"/>
        <v>0</v>
      </c>
      <c r="C1581">
        <f t="shared" si="342"/>
        <v>0</v>
      </c>
      <c r="D1581">
        <f t="shared" si="343"/>
        <v>0</v>
      </c>
      <c r="E1581" t="e">
        <f t="shared" si="344"/>
        <v>#N/A</v>
      </c>
      <c r="F1581">
        <f t="shared" si="345"/>
        <v>0</v>
      </c>
      <c r="G1581">
        <f t="shared" si="346"/>
        <v>0</v>
      </c>
      <c r="H1581">
        <f t="shared" si="347"/>
        <v>0</v>
      </c>
      <c r="I1581">
        <f t="shared" si="348"/>
        <v>0</v>
      </c>
      <c r="J1581">
        <f t="shared" si="349"/>
        <v>0</v>
      </c>
      <c r="K1581" s="4" t="e">
        <f t="shared" si="352"/>
        <v>#N/A</v>
      </c>
      <c r="L1581" t="e">
        <f t="shared" si="353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40"/>
        <v>0</v>
      </c>
      <c r="B1582">
        <f t="shared" si="341"/>
        <v>0</v>
      </c>
      <c r="C1582">
        <f t="shared" si="342"/>
        <v>0</v>
      </c>
      <c r="D1582">
        <f t="shared" si="343"/>
        <v>0</v>
      </c>
      <c r="E1582" t="e">
        <f t="shared" si="344"/>
        <v>#N/A</v>
      </c>
      <c r="F1582">
        <f t="shared" si="345"/>
        <v>0</v>
      </c>
      <c r="G1582">
        <f t="shared" si="346"/>
        <v>0</v>
      </c>
      <c r="H1582">
        <f t="shared" si="347"/>
        <v>0</v>
      </c>
      <c r="I1582">
        <f t="shared" si="348"/>
        <v>0</v>
      </c>
      <c r="J1582">
        <f t="shared" si="349"/>
        <v>0</v>
      </c>
      <c r="K1582" s="4" t="e">
        <f t="shared" si="352"/>
        <v>#N/A</v>
      </c>
      <c r="L1582" t="e">
        <f t="shared" si="353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40"/>
        <v>0</v>
      </c>
      <c r="B1583">
        <f t="shared" si="341"/>
        <v>0</v>
      </c>
      <c r="C1583">
        <f t="shared" si="342"/>
        <v>0</v>
      </c>
      <c r="D1583">
        <f t="shared" si="343"/>
        <v>0</v>
      </c>
      <c r="E1583" t="e">
        <f t="shared" si="344"/>
        <v>#N/A</v>
      </c>
      <c r="F1583">
        <f t="shared" si="345"/>
        <v>0</v>
      </c>
      <c r="G1583">
        <f t="shared" si="346"/>
        <v>0</v>
      </c>
      <c r="H1583">
        <f t="shared" si="347"/>
        <v>0</v>
      </c>
      <c r="I1583">
        <f t="shared" si="348"/>
        <v>0</v>
      </c>
      <c r="J1583">
        <f t="shared" si="349"/>
        <v>0</v>
      </c>
      <c r="K1583" s="4" t="e">
        <f t="shared" si="352"/>
        <v>#N/A</v>
      </c>
      <c r="L1583" t="e">
        <f t="shared" si="353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40"/>
        <v>0</v>
      </c>
      <c r="B1584">
        <f t="shared" si="341"/>
        <v>0</v>
      </c>
      <c r="C1584">
        <f t="shared" si="342"/>
        <v>0</v>
      </c>
      <c r="D1584">
        <f t="shared" si="343"/>
        <v>0</v>
      </c>
      <c r="E1584" t="e">
        <f t="shared" si="344"/>
        <v>#N/A</v>
      </c>
      <c r="F1584">
        <f t="shared" si="345"/>
        <v>0</v>
      </c>
      <c r="G1584">
        <f t="shared" si="346"/>
        <v>0</v>
      </c>
      <c r="H1584">
        <f t="shared" si="347"/>
        <v>0</v>
      </c>
      <c r="I1584">
        <f t="shared" si="348"/>
        <v>0</v>
      </c>
      <c r="J1584">
        <f t="shared" si="349"/>
        <v>0</v>
      </c>
      <c r="K1584" s="4" t="e">
        <f t="shared" si="352"/>
        <v>#N/A</v>
      </c>
      <c r="L1584" t="e">
        <f t="shared" si="353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40"/>
        <v>0</v>
      </c>
      <c r="B1585">
        <f t="shared" si="341"/>
        <v>0</v>
      </c>
      <c r="C1585">
        <f t="shared" si="342"/>
        <v>0</v>
      </c>
      <c r="D1585">
        <f t="shared" si="343"/>
        <v>0</v>
      </c>
      <c r="E1585" t="e">
        <f t="shared" si="344"/>
        <v>#N/A</v>
      </c>
      <c r="F1585">
        <f t="shared" si="345"/>
        <v>0</v>
      </c>
      <c r="G1585">
        <f t="shared" si="346"/>
        <v>0</v>
      </c>
      <c r="H1585">
        <f t="shared" si="347"/>
        <v>0</v>
      </c>
      <c r="I1585">
        <f t="shared" si="348"/>
        <v>0</v>
      </c>
      <c r="J1585">
        <f t="shared" si="349"/>
        <v>0</v>
      </c>
      <c r="K1585" s="4" t="e">
        <f t="shared" si="352"/>
        <v>#N/A</v>
      </c>
      <c r="L1585" t="e">
        <f t="shared" si="353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40"/>
        <v>0</v>
      </c>
      <c r="B1586">
        <f t="shared" si="341"/>
        <v>0</v>
      </c>
      <c r="C1586">
        <f t="shared" si="342"/>
        <v>0</v>
      </c>
      <c r="D1586">
        <f t="shared" si="343"/>
        <v>0</v>
      </c>
      <c r="E1586" t="e">
        <f t="shared" si="344"/>
        <v>#N/A</v>
      </c>
      <c r="F1586">
        <f t="shared" si="345"/>
        <v>0</v>
      </c>
      <c r="G1586">
        <f t="shared" si="346"/>
        <v>0</v>
      </c>
      <c r="H1586">
        <f t="shared" si="347"/>
        <v>0</v>
      </c>
      <c r="I1586">
        <f t="shared" si="348"/>
        <v>0</v>
      </c>
      <c r="J1586">
        <f t="shared" si="349"/>
        <v>0</v>
      </c>
      <c r="K1586" s="4" t="e">
        <f t="shared" si="352"/>
        <v>#N/A</v>
      </c>
      <c r="L1586" t="e">
        <f t="shared" si="353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40"/>
        <v>0</v>
      </c>
      <c r="B1587">
        <f t="shared" si="341"/>
        <v>0</v>
      </c>
      <c r="C1587">
        <f t="shared" si="342"/>
        <v>0</v>
      </c>
      <c r="D1587">
        <f t="shared" si="343"/>
        <v>0</v>
      </c>
      <c r="E1587" t="e">
        <f t="shared" si="344"/>
        <v>#N/A</v>
      </c>
      <c r="F1587">
        <f t="shared" si="345"/>
        <v>0</v>
      </c>
      <c r="G1587">
        <f t="shared" si="346"/>
        <v>0</v>
      </c>
      <c r="H1587">
        <f t="shared" si="347"/>
        <v>0</v>
      </c>
      <c r="I1587">
        <f t="shared" si="348"/>
        <v>0</v>
      </c>
      <c r="J1587">
        <f t="shared" si="349"/>
        <v>0</v>
      </c>
      <c r="K1587" s="4" t="e">
        <f t="shared" si="352"/>
        <v>#N/A</v>
      </c>
      <c r="L1587" t="e">
        <f t="shared" si="353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40"/>
        <v>0</v>
      </c>
      <c r="B1588">
        <f t="shared" si="341"/>
        <v>0</v>
      </c>
      <c r="C1588">
        <f t="shared" si="342"/>
        <v>0</v>
      </c>
      <c r="D1588">
        <f t="shared" si="343"/>
        <v>0</v>
      </c>
      <c r="E1588" t="e">
        <f t="shared" si="344"/>
        <v>#N/A</v>
      </c>
      <c r="F1588">
        <f t="shared" si="345"/>
        <v>0</v>
      </c>
      <c r="G1588">
        <f t="shared" si="346"/>
        <v>0</v>
      </c>
      <c r="H1588">
        <f t="shared" si="347"/>
        <v>0</v>
      </c>
      <c r="I1588">
        <f t="shared" si="348"/>
        <v>0</v>
      </c>
      <c r="J1588">
        <f t="shared" si="349"/>
        <v>0</v>
      </c>
      <c r="K1588" s="4" t="e">
        <f t="shared" si="352"/>
        <v>#N/A</v>
      </c>
      <c r="L1588" t="e">
        <f t="shared" si="353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40"/>
        <v>0</v>
      </c>
      <c r="B1589">
        <f t="shared" si="341"/>
        <v>0</v>
      </c>
      <c r="C1589">
        <f t="shared" si="342"/>
        <v>0</v>
      </c>
      <c r="D1589">
        <f t="shared" si="343"/>
        <v>0</v>
      </c>
      <c r="E1589" t="e">
        <f t="shared" si="344"/>
        <v>#N/A</v>
      </c>
      <c r="F1589">
        <f t="shared" si="345"/>
        <v>0</v>
      </c>
      <c r="G1589">
        <f t="shared" si="346"/>
        <v>0</v>
      </c>
      <c r="H1589">
        <f t="shared" si="347"/>
        <v>0</v>
      </c>
      <c r="I1589">
        <f t="shared" si="348"/>
        <v>0</v>
      </c>
      <c r="J1589">
        <f t="shared" si="349"/>
        <v>0</v>
      </c>
      <c r="K1589" s="4" t="e">
        <f t="shared" si="352"/>
        <v>#N/A</v>
      </c>
      <c r="L1589" t="e">
        <f t="shared" si="353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40"/>
        <v>0</v>
      </c>
      <c r="B1590">
        <f t="shared" si="341"/>
        <v>0</v>
      </c>
      <c r="C1590">
        <f t="shared" si="342"/>
        <v>0</v>
      </c>
      <c r="D1590">
        <f t="shared" si="343"/>
        <v>0</v>
      </c>
      <c r="E1590" t="e">
        <f t="shared" si="344"/>
        <v>#N/A</v>
      </c>
      <c r="F1590">
        <f t="shared" si="345"/>
        <v>0</v>
      </c>
      <c r="G1590">
        <f t="shared" si="346"/>
        <v>0</v>
      </c>
      <c r="H1590">
        <f t="shared" si="347"/>
        <v>0</v>
      </c>
      <c r="I1590">
        <f t="shared" si="348"/>
        <v>0</v>
      </c>
      <c r="J1590">
        <f t="shared" si="349"/>
        <v>0</v>
      </c>
      <c r="K1590" s="4" t="e">
        <f t="shared" si="352"/>
        <v>#N/A</v>
      </c>
      <c r="L1590" t="e">
        <f t="shared" si="353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40"/>
        <v>0</v>
      </c>
      <c r="B1591">
        <f t="shared" si="341"/>
        <v>0</v>
      </c>
      <c r="C1591">
        <f t="shared" si="342"/>
        <v>0</v>
      </c>
      <c r="D1591">
        <f t="shared" si="343"/>
        <v>0</v>
      </c>
      <c r="E1591" t="e">
        <f t="shared" si="344"/>
        <v>#N/A</v>
      </c>
      <c r="F1591">
        <f t="shared" si="345"/>
        <v>0</v>
      </c>
      <c r="G1591">
        <f t="shared" si="346"/>
        <v>0</v>
      </c>
      <c r="H1591">
        <f t="shared" si="347"/>
        <v>0</v>
      </c>
      <c r="I1591">
        <f t="shared" si="348"/>
        <v>0</v>
      </c>
      <c r="J1591">
        <f t="shared" si="349"/>
        <v>0</v>
      </c>
      <c r="K1591" s="4" t="e">
        <f t="shared" si="352"/>
        <v>#N/A</v>
      </c>
      <c r="L1591" t="e">
        <f t="shared" si="353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40"/>
        <v>0</v>
      </c>
      <c r="B1592">
        <f t="shared" si="341"/>
        <v>0</v>
      </c>
      <c r="C1592">
        <f t="shared" si="342"/>
        <v>0</v>
      </c>
      <c r="D1592">
        <f t="shared" si="343"/>
        <v>0</v>
      </c>
      <c r="E1592" t="e">
        <f t="shared" si="344"/>
        <v>#N/A</v>
      </c>
      <c r="F1592">
        <f t="shared" si="345"/>
        <v>0</v>
      </c>
      <c r="G1592">
        <f t="shared" si="346"/>
        <v>0</v>
      </c>
      <c r="H1592">
        <f t="shared" si="347"/>
        <v>0</v>
      </c>
      <c r="I1592">
        <f t="shared" si="348"/>
        <v>0</v>
      </c>
      <c r="J1592">
        <f t="shared" si="349"/>
        <v>0</v>
      </c>
      <c r="K1592" s="4" t="e">
        <f t="shared" si="352"/>
        <v>#N/A</v>
      </c>
      <c r="L1592" t="e">
        <f t="shared" si="353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40"/>
        <v>0</v>
      </c>
      <c r="B1593">
        <f t="shared" si="341"/>
        <v>0</v>
      </c>
      <c r="C1593">
        <f t="shared" si="342"/>
        <v>0</v>
      </c>
      <c r="D1593">
        <f t="shared" si="343"/>
        <v>0</v>
      </c>
      <c r="E1593" t="e">
        <f t="shared" si="344"/>
        <v>#N/A</v>
      </c>
      <c r="F1593">
        <f t="shared" si="345"/>
        <v>0</v>
      </c>
      <c r="G1593">
        <f t="shared" si="346"/>
        <v>0</v>
      </c>
      <c r="H1593">
        <f t="shared" si="347"/>
        <v>0</v>
      </c>
      <c r="I1593">
        <f t="shared" si="348"/>
        <v>0</v>
      </c>
      <c r="J1593">
        <f t="shared" si="349"/>
        <v>0</v>
      </c>
      <c r="K1593" s="4" t="e">
        <f t="shared" si="352"/>
        <v>#N/A</v>
      </c>
      <c r="L1593" t="e">
        <f t="shared" si="353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40"/>
        <v>0</v>
      </c>
      <c r="B1594">
        <f t="shared" si="341"/>
        <v>0</v>
      </c>
      <c r="C1594">
        <f t="shared" si="342"/>
        <v>0</v>
      </c>
      <c r="D1594">
        <f t="shared" si="343"/>
        <v>0</v>
      </c>
      <c r="E1594" t="e">
        <f t="shared" si="344"/>
        <v>#N/A</v>
      </c>
      <c r="F1594">
        <f t="shared" si="345"/>
        <v>0</v>
      </c>
      <c r="G1594">
        <f t="shared" si="346"/>
        <v>0</v>
      </c>
      <c r="H1594">
        <f t="shared" si="347"/>
        <v>0</v>
      </c>
      <c r="I1594">
        <f t="shared" si="348"/>
        <v>0</v>
      </c>
      <c r="J1594">
        <f t="shared" si="349"/>
        <v>0</v>
      </c>
      <c r="K1594" s="4" t="e">
        <f t="shared" si="352"/>
        <v>#N/A</v>
      </c>
      <c r="L1594" t="e">
        <f t="shared" si="353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40"/>
        <v>0</v>
      </c>
      <c r="B1595">
        <f t="shared" si="341"/>
        <v>0</v>
      </c>
      <c r="C1595">
        <f t="shared" si="342"/>
        <v>0</v>
      </c>
      <c r="D1595">
        <f t="shared" si="343"/>
        <v>0</v>
      </c>
      <c r="E1595" t="e">
        <f t="shared" si="344"/>
        <v>#N/A</v>
      </c>
      <c r="F1595">
        <f t="shared" si="345"/>
        <v>0</v>
      </c>
      <c r="G1595">
        <f t="shared" si="346"/>
        <v>0</v>
      </c>
      <c r="H1595">
        <f t="shared" si="347"/>
        <v>0</v>
      </c>
      <c r="I1595">
        <f t="shared" si="348"/>
        <v>0</v>
      </c>
      <c r="J1595">
        <f t="shared" si="349"/>
        <v>0</v>
      </c>
      <c r="K1595" s="4" t="e">
        <f t="shared" si="352"/>
        <v>#N/A</v>
      </c>
      <c r="L1595" t="e">
        <f t="shared" si="353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40"/>
        <v>0</v>
      </c>
      <c r="B1596">
        <f t="shared" si="341"/>
        <v>0</v>
      </c>
      <c r="C1596">
        <f t="shared" si="342"/>
        <v>0</v>
      </c>
      <c r="D1596">
        <f t="shared" si="343"/>
        <v>0</v>
      </c>
      <c r="E1596" t="e">
        <f t="shared" si="344"/>
        <v>#N/A</v>
      </c>
      <c r="F1596">
        <f t="shared" si="345"/>
        <v>0</v>
      </c>
      <c r="G1596">
        <f t="shared" si="346"/>
        <v>0</v>
      </c>
      <c r="H1596">
        <f t="shared" si="347"/>
        <v>0</v>
      </c>
      <c r="I1596">
        <f t="shared" si="348"/>
        <v>0</v>
      </c>
      <c r="J1596">
        <f t="shared" si="349"/>
        <v>0</v>
      </c>
      <c r="K1596" s="4" t="e">
        <f t="shared" si="352"/>
        <v>#N/A</v>
      </c>
      <c r="L1596" t="e">
        <f t="shared" si="353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40"/>
        <v>0</v>
      </c>
      <c r="B1597">
        <f t="shared" si="341"/>
        <v>0</v>
      </c>
      <c r="C1597">
        <f t="shared" si="342"/>
        <v>0</v>
      </c>
      <c r="D1597">
        <f t="shared" si="343"/>
        <v>0</v>
      </c>
      <c r="E1597" t="e">
        <f t="shared" si="344"/>
        <v>#N/A</v>
      </c>
      <c r="F1597">
        <f t="shared" si="345"/>
        <v>0</v>
      </c>
      <c r="G1597">
        <f t="shared" si="346"/>
        <v>0</v>
      </c>
      <c r="H1597">
        <f t="shared" si="347"/>
        <v>0</v>
      </c>
      <c r="I1597">
        <f t="shared" si="348"/>
        <v>0</v>
      </c>
      <c r="J1597">
        <f t="shared" si="349"/>
        <v>0</v>
      </c>
      <c r="K1597" s="4" t="e">
        <f t="shared" si="352"/>
        <v>#N/A</v>
      </c>
      <c r="L1597" t="e">
        <f t="shared" si="353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40"/>
        <v>0</v>
      </c>
      <c r="B1598">
        <f t="shared" si="341"/>
        <v>0</v>
      </c>
      <c r="C1598">
        <f t="shared" si="342"/>
        <v>0</v>
      </c>
      <c r="D1598">
        <f t="shared" si="343"/>
        <v>0</v>
      </c>
      <c r="E1598" t="e">
        <f t="shared" si="344"/>
        <v>#N/A</v>
      </c>
      <c r="F1598">
        <f t="shared" si="345"/>
        <v>0</v>
      </c>
      <c r="G1598">
        <f t="shared" si="346"/>
        <v>0</v>
      </c>
      <c r="H1598">
        <f t="shared" si="347"/>
        <v>0</v>
      </c>
      <c r="I1598">
        <f t="shared" si="348"/>
        <v>0</v>
      </c>
      <c r="J1598">
        <f t="shared" si="349"/>
        <v>0</v>
      </c>
      <c r="K1598" s="4" t="e">
        <f t="shared" si="352"/>
        <v>#N/A</v>
      </c>
      <c r="L1598" t="e">
        <f t="shared" si="353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40"/>
        <v>0</v>
      </c>
      <c r="B1599">
        <f t="shared" si="341"/>
        <v>0</v>
      </c>
      <c r="C1599">
        <f t="shared" si="342"/>
        <v>0</v>
      </c>
      <c r="D1599">
        <f t="shared" si="343"/>
        <v>0</v>
      </c>
      <c r="E1599" t="e">
        <f t="shared" si="344"/>
        <v>#N/A</v>
      </c>
      <c r="F1599">
        <f t="shared" si="345"/>
        <v>0</v>
      </c>
      <c r="G1599">
        <f t="shared" si="346"/>
        <v>0</v>
      </c>
      <c r="H1599">
        <f t="shared" si="347"/>
        <v>0</v>
      </c>
      <c r="I1599">
        <f t="shared" si="348"/>
        <v>0</v>
      </c>
      <c r="J1599">
        <f t="shared" si="349"/>
        <v>0</v>
      </c>
      <c r="K1599" s="4" t="e">
        <f t="shared" si="352"/>
        <v>#N/A</v>
      </c>
      <c r="L1599" t="e">
        <f t="shared" si="353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40"/>
        <v>0</v>
      </c>
      <c r="B1600">
        <f t="shared" si="341"/>
        <v>0</v>
      </c>
      <c r="C1600">
        <f t="shared" si="342"/>
        <v>0</v>
      </c>
      <c r="D1600">
        <f t="shared" si="343"/>
        <v>0</v>
      </c>
      <c r="E1600" t="e">
        <f t="shared" si="344"/>
        <v>#N/A</v>
      </c>
      <c r="F1600">
        <f t="shared" si="345"/>
        <v>0</v>
      </c>
      <c r="G1600">
        <f t="shared" si="346"/>
        <v>0</v>
      </c>
      <c r="H1600">
        <f t="shared" si="347"/>
        <v>0</v>
      </c>
      <c r="I1600">
        <f t="shared" si="348"/>
        <v>0</v>
      </c>
      <c r="J1600">
        <f t="shared" si="349"/>
        <v>0</v>
      </c>
      <c r="K1600" s="4" t="e">
        <f t="shared" si="352"/>
        <v>#N/A</v>
      </c>
      <c r="L1600" t="e">
        <f t="shared" si="353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40"/>
        <v>0</v>
      </c>
      <c r="B1601">
        <f t="shared" si="341"/>
        <v>0</v>
      </c>
      <c r="C1601">
        <f t="shared" si="342"/>
        <v>0</v>
      </c>
      <c r="D1601">
        <f t="shared" si="343"/>
        <v>0</v>
      </c>
      <c r="E1601" t="e">
        <f t="shared" si="344"/>
        <v>#N/A</v>
      </c>
      <c r="F1601">
        <f t="shared" si="345"/>
        <v>0</v>
      </c>
      <c r="G1601">
        <f t="shared" si="346"/>
        <v>0</v>
      </c>
      <c r="H1601">
        <f t="shared" si="347"/>
        <v>0</v>
      </c>
      <c r="I1601">
        <f t="shared" si="348"/>
        <v>0</v>
      </c>
      <c r="J1601">
        <f t="shared" si="349"/>
        <v>0</v>
      </c>
      <c r="K1601" s="4" t="e">
        <f t="shared" si="352"/>
        <v>#N/A</v>
      </c>
      <c r="L1601" t="e">
        <f t="shared" si="353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4">bd_campaign</f>
        <v>0</v>
      </c>
      <c r="B1602">
        <f t="shared" ref="B1602:B1665" si="355">bd_site</f>
        <v>0</v>
      </c>
      <c r="C1602">
        <f t="shared" ref="C1602:C1665" si="356">bd_placement</f>
        <v>0</v>
      </c>
      <c r="D1602">
        <f t="shared" ref="D1602:D1665" si="357">bd_placementID</f>
        <v>0</v>
      </c>
      <c r="E1602" t="e">
        <f t="shared" ref="E1602:E1665" si="358">VLOOKUP(CONCATENATE(bd_adtype,"_",bd_creativetype),tabela,2,FALSE)</f>
        <v>#N/A</v>
      </c>
      <c r="F1602">
        <f t="shared" ref="F1602:F1665" si="359">bd_ad</f>
        <v>0</v>
      </c>
      <c r="G1602">
        <f t="shared" ref="G1602:G1665" si="360">bd_adid</f>
        <v>0</v>
      </c>
      <c r="H1602">
        <f t="shared" ref="H1602:H1665" si="361">bd_creativetype</f>
        <v>0</v>
      </c>
      <c r="I1602">
        <f t="shared" ref="I1602:I1665" si="362">bd_impression</f>
        <v>0</v>
      </c>
      <c r="J1602">
        <f t="shared" ref="J1602:J1665" si="363">bd_clicks</f>
        <v>0</v>
      </c>
      <c r="K1602" s="4" t="e">
        <f t="shared" si="352"/>
        <v>#N/A</v>
      </c>
      <c r="L1602" t="e">
        <f t="shared" si="353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4"/>
        <v>0</v>
      </c>
      <c r="B1603">
        <f t="shared" si="355"/>
        <v>0</v>
      </c>
      <c r="C1603">
        <f t="shared" si="356"/>
        <v>0</v>
      </c>
      <c r="D1603">
        <f t="shared" si="357"/>
        <v>0</v>
      </c>
      <c r="E1603" t="e">
        <f t="shared" si="358"/>
        <v>#N/A</v>
      </c>
      <c r="F1603">
        <f t="shared" si="359"/>
        <v>0</v>
      </c>
      <c r="G1603">
        <f t="shared" si="360"/>
        <v>0</v>
      </c>
      <c r="H1603">
        <f t="shared" si="361"/>
        <v>0</v>
      </c>
      <c r="I1603">
        <f t="shared" si="362"/>
        <v>0</v>
      </c>
      <c r="J1603">
        <f t="shared" si="363"/>
        <v>0</v>
      </c>
      <c r="K1603" s="4" t="e">
        <f t="shared" si="352"/>
        <v>#N/A</v>
      </c>
      <c r="L1603" t="e">
        <f t="shared" si="353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4"/>
        <v>0</v>
      </c>
      <c r="B1604">
        <f t="shared" si="355"/>
        <v>0</v>
      </c>
      <c r="C1604">
        <f t="shared" si="356"/>
        <v>0</v>
      </c>
      <c r="D1604">
        <f t="shared" si="357"/>
        <v>0</v>
      </c>
      <c r="E1604" t="e">
        <f t="shared" si="358"/>
        <v>#N/A</v>
      </c>
      <c r="F1604">
        <f t="shared" si="359"/>
        <v>0</v>
      </c>
      <c r="G1604">
        <f t="shared" si="360"/>
        <v>0</v>
      </c>
      <c r="H1604">
        <f t="shared" si="361"/>
        <v>0</v>
      </c>
      <c r="I1604">
        <f t="shared" si="362"/>
        <v>0</v>
      </c>
      <c r="J1604">
        <f t="shared" si="363"/>
        <v>0</v>
      </c>
      <c r="K1604" s="4" t="e">
        <f t="shared" si="352"/>
        <v>#N/A</v>
      </c>
      <c r="L1604" t="e">
        <f t="shared" si="353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4"/>
        <v>0</v>
      </c>
      <c r="B1605">
        <f t="shared" si="355"/>
        <v>0</v>
      </c>
      <c r="C1605">
        <f t="shared" si="356"/>
        <v>0</v>
      </c>
      <c r="D1605">
        <f t="shared" si="357"/>
        <v>0</v>
      </c>
      <c r="E1605" t="e">
        <f t="shared" si="358"/>
        <v>#N/A</v>
      </c>
      <c r="F1605">
        <f t="shared" si="359"/>
        <v>0</v>
      </c>
      <c r="G1605">
        <f t="shared" si="360"/>
        <v>0</v>
      </c>
      <c r="H1605">
        <f t="shared" si="361"/>
        <v>0</v>
      </c>
      <c r="I1605">
        <f t="shared" si="362"/>
        <v>0</v>
      </c>
      <c r="J1605">
        <f t="shared" si="363"/>
        <v>0</v>
      </c>
      <c r="K1605" s="4" t="e">
        <f t="shared" si="352"/>
        <v>#N/A</v>
      </c>
      <c r="L1605" t="e">
        <f t="shared" si="353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4"/>
        <v>0</v>
      </c>
      <c r="B1606">
        <f t="shared" si="355"/>
        <v>0</v>
      </c>
      <c r="C1606">
        <f t="shared" si="356"/>
        <v>0</v>
      </c>
      <c r="D1606">
        <f t="shared" si="357"/>
        <v>0</v>
      </c>
      <c r="E1606" t="e">
        <f t="shared" si="358"/>
        <v>#N/A</v>
      </c>
      <c r="F1606">
        <f t="shared" si="359"/>
        <v>0</v>
      </c>
      <c r="G1606">
        <f t="shared" si="360"/>
        <v>0</v>
      </c>
      <c r="H1606">
        <f t="shared" si="361"/>
        <v>0</v>
      </c>
      <c r="I1606">
        <f t="shared" si="362"/>
        <v>0</v>
      </c>
      <c r="J1606">
        <f t="shared" si="363"/>
        <v>0</v>
      </c>
      <c r="K1606" s="4" t="e">
        <f t="shared" si="352"/>
        <v>#N/A</v>
      </c>
      <c r="L1606" t="e">
        <f t="shared" si="353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4"/>
        <v>0</v>
      </c>
      <c r="B1607">
        <f t="shared" si="355"/>
        <v>0</v>
      </c>
      <c r="C1607">
        <f t="shared" si="356"/>
        <v>0</v>
      </c>
      <c r="D1607">
        <f t="shared" si="357"/>
        <v>0</v>
      </c>
      <c r="E1607" t="e">
        <f t="shared" si="358"/>
        <v>#N/A</v>
      </c>
      <c r="F1607">
        <f t="shared" si="359"/>
        <v>0</v>
      </c>
      <c r="G1607">
        <f t="shared" si="360"/>
        <v>0</v>
      </c>
      <c r="H1607">
        <f t="shared" si="361"/>
        <v>0</v>
      </c>
      <c r="I1607">
        <f t="shared" si="362"/>
        <v>0</v>
      </c>
      <c r="J1607">
        <f t="shared" si="363"/>
        <v>0</v>
      </c>
      <c r="K1607" s="4" t="e">
        <f t="shared" si="352"/>
        <v>#N/A</v>
      </c>
      <c r="L1607" t="e">
        <f t="shared" si="353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4"/>
        <v>0</v>
      </c>
      <c r="B1608">
        <f t="shared" si="355"/>
        <v>0</v>
      </c>
      <c r="C1608">
        <f t="shared" si="356"/>
        <v>0</v>
      </c>
      <c r="D1608">
        <f t="shared" si="357"/>
        <v>0</v>
      </c>
      <c r="E1608" t="e">
        <f t="shared" si="358"/>
        <v>#N/A</v>
      </c>
      <c r="F1608">
        <f t="shared" si="359"/>
        <v>0</v>
      </c>
      <c r="G1608">
        <f t="shared" si="360"/>
        <v>0</v>
      </c>
      <c r="H1608">
        <f t="shared" si="361"/>
        <v>0</v>
      </c>
      <c r="I1608">
        <f t="shared" si="362"/>
        <v>0</v>
      </c>
      <c r="J1608">
        <f t="shared" si="363"/>
        <v>0</v>
      </c>
      <c r="K1608" s="4" t="e">
        <f t="shared" si="352"/>
        <v>#N/A</v>
      </c>
      <c r="L1608" t="e">
        <f t="shared" si="353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4"/>
        <v>0</v>
      </c>
      <c r="B1609">
        <f t="shared" si="355"/>
        <v>0</v>
      </c>
      <c r="C1609">
        <f t="shared" si="356"/>
        <v>0</v>
      </c>
      <c r="D1609">
        <f t="shared" si="357"/>
        <v>0</v>
      </c>
      <c r="E1609" t="e">
        <f t="shared" si="358"/>
        <v>#N/A</v>
      </c>
      <c r="F1609">
        <f t="shared" si="359"/>
        <v>0</v>
      </c>
      <c r="G1609">
        <f t="shared" si="360"/>
        <v>0</v>
      </c>
      <c r="H1609">
        <f t="shared" si="361"/>
        <v>0</v>
      </c>
      <c r="I1609">
        <f t="shared" si="362"/>
        <v>0</v>
      </c>
      <c r="J1609">
        <f t="shared" si="363"/>
        <v>0</v>
      </c>
      <c r="K1609" s="4" t="e">
        <f t="shared" si="352"/>
        <v>#N/A</v>
      </c>
      <c r="L1609" t="e">
        <f t="shared" si="353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4"/>
        <v>0</v>
      </c>
      <c r="B1610">
        <f t="shared" si="355"/>
        <v>0</v>
      </c>
      <c r="C1610">
        <f t="shared" si="356"/>
        <v>0</v>
      </c>
      <c r="D1610">
        <f t="shared" si="357"/>
        <v>0</v>
      </c>
      <c r="E1610" t="e">
        <f t="shared" si="358"/>
        <v>#N/A</v>
      </c>
      <c r="F1610">
        <f t="shared" si="359"/>
        <v>0</v>
      </c>
      <c r="G1610">
        <f t="shared" si="360"/>
        <v>0</v>
      </c>
      <c r="H1610">
        <f t="shared" si="361"/>
        <v>0</v>
      </c>
      <c r="I1610">
        <f t="shared" si="362"/>
        <v>0</v>
      </c>
      <c r="J1610">
        <f t="shared" si="363"/>
        <v>0</v>
      </c>
      <c r="K1610" s="4" t="e">
        <f t="shared" si="352"/>
        <v>#N/A</v>
      </c>
      <c r="L1610" t="e">
        <f t="shared" si="353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4"/>
        <v>0</v>
      </c>
      <c r="B1611">
        <f t="shared" si="355"/>
        <v>0</v>
      </c>
      <c r="C1611">
        <f t="shared" si="356"/>
        <v>0</v>
      </c>
      <c r="D1611">
        <f t="shared" si="357"/>
        <v>0</v>
      </c>
      <c r="E1611" t="e">
        <f t="shared" si="358"/>
        <v>#N/A</v>
      </c>
      <c r="F1611">
        <f t="shared" si="359"/>
        <v>0</v>
      </c>
      <c r="G1611">
        <f t="shared" si="360"/>
        <v>0</v>
      </c>
      <c r="H1611">
        <f t="shared" si="361"/>
        <v>0</v>
      </c>
      <c r="I1611">
        <f t="shared" si="362"/>
        <v>0</v>
      </c>
      <c r="J1611">
        <f t="shared" si="363"/>
        <v>0</v>
      </c>
      <c r="K1611" s="4" t="e">
        <f t="shared" si="352"/>
        <v>#N/A</v>
      </c>
      <c r="L1611" t="e">
        <f t="shared" si="353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4"/>
        <v>0</v>
      </c>
      <c r="B1612">
        <f t="shared" si="355"/>
        <v>0</v>
      </c>
      <c r="C1612">
        <f t="shared" si="356"/>
        <v>0</v>
      </c>
      <c r="D1612">
        <f t="shared" si="357"/>
        <v>0</v>
      </c>
      <c r="E1612" t="e">
        <f t="shared" si="358"/>
        <v>#N/A</v>
      </c>
      <c r="F1612">
        <f t="shared" si="359"/>
        <v>0</v>
      </c>
      <c r="G1612">
        <f t="shared" si="360"/>
        <v>0</v>
      </c>
      <c r="H1612">
        <f t="shared" si="361"/>
        <v>0</v>
      </c>
      <c r="I1612">
        <f t="shared" si="362"/>
        <v>0</v>
      </c>
      <c r="J1612">
        <f t="shared" si="363"/>
        <v>0</v>
      </c>
      <c r="K1612" s="4" t="e">
        <f t="shared" si="352"/>
        <v>#N/A</v>
      </c>
      <c r="L1612" t="e">
        <f t="shared" si="353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4"/>
        <v>0</v>
      </c>
      <c r="B1613">
        <f t="shared" si="355"/>
        <v>0</v>
      </c>
      <c r="C1613">
        <f t="shared" si="356"/>
        <v>0</v>
      </c>
      <c r="D1613">
        <f t="shared" si="357"/>
        <v>0</v>
      </c>
      <c r="E1613" t="e">
        <f t="shared" si="358"/>
        <v>#N/A</v>
      </c>
      <c r="F1613">
        <f t="shared" si="359"/>
        <v>0</v>
      </c>
      <c r="G1613">
        <f t="shared" si="360"/>
        <v>0</v>
      </c>
      <c r="H1613">
        <f t="shared" si="361"/>
        <v>0</v>
      </c>
      <c r="I1613">
        <f t="shared" si="362"/>
        <v>0</v>
      </c>
      <c r="J1613">
        <f t="shared" si="363"/>
        <v>0</v>
      </c>
      <c r="K1613" s="4" t="e">
        <f t="shared" si="352"/>
        <v>#N/A</v>
      </c>
      <c r="L1613" t="e">
        <f t="shared" si="353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4"/>
        <v>0</v>
      </c>
      <c r="B1614">
        <f t="shared" si="355"/>
        <v>0</v>
      </c>
      <c r="C1614">
        <f t="shared" si="356"/>
        <v>0</v>
      </c>
      <c r="D1614">
        <f t="shared" si="357"/>
        <v>0</v>
      </c>
      <c r="E1614" t="e">
        <f t="shared" si="358"/>
        <v>#N/A</v>
      </c>
      <c r="F1614">
        <f t="shared" si="359"/>
        <v>0</v>
      </c>
      <c r="G1614">
        <f t="shared" si="360"/>
        <v>0</v>
      </c>
      <c r="H1614">
        <f t="shared" si="361"/>
        <v>0</v>
      </c>
      <c r="I1614">
        <f t="shared" si="362"/>
        <v>0</v>
      </c>
      <c r="J1614">
        <f t="shared" si="363"/>
        <v>0</v>
      </c>
      <c r="K1614" s="4" t="e">
        <f t="shared" si="352"/>
        <v>#N/A</v>
      </c>
      <c r="L1614" t="e">
        <f t="shared" si="353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4"/>
        <v>0</v>
      </c>
      <c r="B1615">
        <f t="shared" si="355"/>
        <v>0</v>
      </c>
      <c r="C1615">
        <f t="shared" si="356"/>
        <v>0</v>
      </c>
      <c r="D1615">
        <f t="shared" si="357"/>
        <v>0</v>
      </c>
      <c r="E1615" t="e">
        <f t="shared" si="358"/>
        <v>#N/A</v>
      </c>
      <c r="F1615">
        <f t="shared" si="359"/>
        <v>0</v>
      </c>
      <c r="G1615">
        <f t="shared" si="360"/>
        <v>0</v>
      </c>
      <c r="H1615">
        <f t="shared" si="361"/>
        <v>0</v>
      </c>
      <c r="I1615">
        <f t="shared" si="362"/>
        <v>0</v>
      </c>
      <c r="J1615">
        <f t="shared" si="363"/>
        <v>0</v>
      </c>
      <c r="K1615" s="4" t="e">
        <f t="shared" si="352"/>
        <v>#N/A</v>
      </c>
      <c r="L1615" t="e">
        <f t="shared" si="353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4"/>
        <v>0</v>
      </c>
      <c r="B1616">
        <f t="shared" si="355"/>
        <v>0</v>
      </c>
      <c r="C1616">
        <f t="shared" si="356"/>
        <v>0</v>
      </c>
      <c r="D1616">
        <f t="shared" si="357"/>
        <v>0</v>
      </c>
      <c r="E1616" t="e">
        <f t="shared" si="358"/>
        <v>#N/A</v>
      </c>
      <c r="F1616">
        <f t="shared" si="359"/>
        <v>0</v>
      </c>
      <c r="G1616">
        <f t="shared" si="360"/>
        <v>0</v>
      </c>
      <c r="H1616">
        <f t="shared" si="361"/>
        <v>0</v>
      </c>
      <c r="I1616">
        <f t="shared" si="362"/>
        <v>0</v>
      </c>
      <c r="J1616">
        <f t="shared" si="363"/>
        <v>0</v>
      </c>
      <c r="K1616" s="4" t="e">
        <f t="shared" si="352"/>
        <v>#N/A</v>
      </c>
      <c r="L1616" t="e">
        <f t="shared" si="353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4"/>
        <v>0</v>
      </c>
      <c r="B1617">
        <f t="shared" si="355"/>
        <v>0</v>
      </c>
      <c r="C1617">
        <f t="shared" si="356"/>
        <v>0</v>
      </c>
      <c r="D1617">
        <f t="shared" si="357"/>
        <v>0</v>
      </c>
      <c r="E1617" t="e">
        <f t="shared" si="358"/>
        <v>#N/A</v>
      </c>
      <c r="F1617">
        <f t="shared" si="359"/>
        <v>0</v>
      </c>
      <c r="G1617">
        <f t="shared" si="360"/>
        <v>0</v>
      </c>
      <c r="H1617">
        <f t="shared" si="361"/>
        <v>0</v>
      </c>
      <c r="I1617">
        <f t="shared" si="362"/>
        <v>0</v>
      </c>
      <c r="J1617">
        <f t="shared" si="363"/>
        <v>0</v>
      </c>
      <c r="K1617" s="4" t="e">
        <f t="shared" si="352"/>
        <v>#N/A</v>
      </c>
      <c r="L1617" t="e">
        <f t="shared" si="353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4"/>
        <v>0</v>
      </c>
      <c r="B1618">
        <f t="shared" si="355"/>
        <v>0</v>
      </c>
      <c r="C1618">
        <f t="shared" si="356"/>
        <v>0</v>
      </c>
      <c r="D1618">
        <f t="shared" si="357"/>
        <v>0</v>
      </c>
      <c r="E1618" t="e">
        <f t="shared" si="358"/>
        <v>#N/A</v>
      </c>
      <c r="F1618">
        <f t="shared" si="359"/>
        <v>0</v>
      </c>
      <c r="G1618">
        <f t="shared" si="360"/>
        <v>0</v>
      </c>
      <c r="H1618">
        <f t="shared" si="361"/>
        <v>0</v>
      </c>
      <c r="I1618">
        <f t="shared" si="362"/>
        <v>0</v>
      </c>
      <c r="J1618">
        <f t="shared" si="363"/>
        <v>0</v>
      </c>
      <c r="K1618" s="4" t="e">
        <f t="shared" si="352"/>
        <v>#N/A</v>
      </c>
      <c r="L1618" t="e">
        <f t="shared" si="353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4"/>
        <v>0</v>
      </c>
      <c r="B1619">
        <f t="shared" si="355"/>
        <v>0</v>
      </c>
      <c r="C1619">
        <f t="shared" si="356"/>
        <v>0</v>
      </c>
      <c r="D1619">
        <f t="shared" si="357"/>
        <v>0</v>
      </c>
      <c r="E1619" t="e">
        <f t="shared" si="358"/>
        <v>#N/A</v>
      </c>
      <c r="F1619">
        <f t="shared" si="359"/>
        <v>0</v>
      </c>
      <c r="G1619">
        <f t="shared" si="360"/>
        <v>0</v>
      </c>
      <c r="H1619">
        <f t="shared" si="361"/>
        <v>0</v>
      </c>
      <c r="I1619">
        <f t="shared" si="362"/>
        <v>0</v>
      </c>
      <c r="J1619">
        <f t="shared" si="363"/>
        <v>0</v>
      </c>
      <c r="K1619" s="4" t="e">
        <f t="shared" si="352"/>
        <v>#N/A</v>
      </c>
      <c r="L1619" t="e">
        <f t="shared" si="353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4"/>
        <v>0</v>
      </c>
      <c r="B1620">
        <f t="shared" si="355"/>
        <v>0</v>
      </c>
      <c r="C1620">
        <f t="shared" si="356"/>
        <v>0</v>
      </c>
      <c r="D1620">
        <f t="shared" si="357"/>
        <v>0</v>
      </c>
      <c r="E1620" t="e">
        <f t="shared" si="358"/>
        <v>#N/A</v>
      </c>
      <c r="F1620">
        <f t="shared" si="359"/>
        <v>0</v>
      </c>
      <c r="G1620">
        <f t="shared" si="360"/>
        <v>0</v>
      </c>
      <c r="H1620">
        <f t="shared" si="361"/>
        <v>0</v>
      </c>
      <c r="I1620">
        <f t="shared" si="362"/>
        <v>0</v>
      </c>
      <c r="J1620">
        <f t="shared" si="363"/>
        <v>0</v>
      </c>
      <c r="K1620" s="4" t="e">
        <f t="shared" si="352"/>
        <v>#N/A</v>
      </c>
      <c r="L1620" t="e">
        <f t="shared" si="353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4"/>
        <v>0</v>
      </c>
      <c r="B1621">
        <f t="shared" si="355"/>
        <v>0</v>
      </c>
      <c r="C1621">
        <f t="shared" si="356"/>
        <v>0</v>
      </c>
      <c r="D1621">
        <f t="shared" si="357"/>
        <v>0</v>
      </c>
      <c r="E1621" t="e">
        <f t="shared" si="358"/>
        <v>#N/A</v>
      </c>
      <c r="F1621">
        <f t="shared" si="359"/>
        <v>0</v>
      </c>
      <c r="G1621">
        <f t="shared" si="360"/>
        <v>0</v>
      </c>
      <c r="H1621">
        <f t="shared" si="361"/>
        <v>0</v>
      </c>
      <c r="I1621">
        <f t="shared" si="362"/>
        <v>0</v>
      </c>
      <c r="J1621">
        <f t="shared" si="363"/>
        <v>0</v>
      </c>
      <c r="K1621" s="4" t="e">
        <f t="shared" si="352"/>
        <v>#N/A</v>
      </c>
      <c r="L1621" t="e">
        <f t="shared" si="353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4"/>
        <v>0</v>
      </c>
      <c r="B1622">
        <f t="shared" si="355"/>
        <v>0</v>
      </c>
      <c r="C1622">
        <f t="shared" si="356"/>
        <v>0</v>
      </c>
      <c r="D1622">
        <f t="shared" si="357"/>
        <v>0</v>
      </c>
      <c r="E1622" t="e">
        <f t="shared" si="358"/>
        <v>#N/A</v>
      </c>
      <c r="F1622">
        <f t="shared" si="359"/>
        <v>0</v>
      </c>
      <c r="G1622">
        <f t="shared" si="360"/>
        <v>0</v>
      </c>
      <c r="H1622">
        <f t="shared" si="361"/>
        <v>0</v>
      </c>
      <c r="I1622">
        <f t="shared" si="362"/>
        <v>0</v>
      </c>
      <c r="J1622">
        <f t="shared" si="363"/>
        <v>0</v>
      </c>
      <c r="K1622" s="4" t="e">
        <f t="shared" si="352"/>
        <v>#N/A</v>
      </c>
      <c r="L1622" t="e">
        <f t="shared" si="353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4"/>
        <v>0</v>
      </c>
      <c r="B1623">
        <f t="shared" si="355"/>
        <v>0</v>
      </c>
      <c r="C1623">
        <f t="shared" si="356"/>
        <v>0</v>
      </c>
      <c r="D1623">
        <f t="shared" si="357"/>
        <v>0</v>
      </c>
      <c r="E1623" t="e">
        <f t="shared" si="358"/>
        <v>#N/A</v>
      </c>
      <c r="F1623">
        <f t="shared" si="359"/>
        <v>0</v>
      </c>
      <c r="G1623">
        <f t="shared" si="360"/>
        <v>0</v>
      </c>
      <c r="H1623">
        <f t="shared" si="361"/>
        <v>0</v>
      </c>
      <c r="I1623">
        <f t="shared" si="362"/>
        <v>0</v>
      </c>
      <c r="J1623">
        <f t="shared" si="363"/>
        <v>0</v>
      </c>
      <c r="K1623" s="4" t="e">
        <f t="shared" si="352"/>
        <v>#N/A</v>
      </c>
      <c r="L1623" t="e">
        <f t="shared" si="353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4"/>
        <v>0</v>
      </c>
      <c r="B1624">
        <f t="shared" si="355"/>
        <v>0</v>
      </c>
      <c r="C1624">
        <f t="shared" si="356"/>
        <v>0</v>
      </c>
      <c r="D1624">
        <f t="shared" si="357"/>
        <v>0</v>
      </c>
      <c r="E1624" t="e">
        <f t="shared" si="358"/>
        <v>#N/A</v>
      </c>
      <c r="F1624">
        <f t="shared" si="359"/>
        <v>0</v>
      </c>
      <c r="G1624">
        <f t="shared" si="360"/>
        <v>0</v>
      </c>
      <c r="H1624">
        <f t="shared" si="361"/>
        <v>0</v>
      </c>
      <c r="I1624">
        <f t="shared" si="362"/>
        <v>0</v>
      </c>
      <c r="J1624">
        <f t="shared" si="363"/>
        <v>0</v>
      </c>
      <c r="K1624" s="4" t="e">
        <f t="shared" si="352"/>
        <v>#N/A</v>
      </c>
      <c r="L1624" t="e">
        <f t="shared" si="353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4"/>
        <v>0</v>
      </c>
      <c r="B1625">
        <f t="shared" si="355"/>
        <v>0</v>
      </c>
      <c r="C1625">
        <f t="shared" si="356"/>
        <v>0</v>
      </c>
      <c r="D1625">
        <f t="shared" si="357"/>
        <v>0</v>
      </c>
      <c r="E1625" t="e">
        <f t="shared" si="358"/>
        <v>#N/A</v>
      </c>
      <c r="F1625">
        <f t="shared" si="359"/>
        <v>0</v>
      </c>
      <c r="G1625">
        <f t="shared" si="360"/>
        <v>0</v>
      </c>
      <c r="H1625">
        <f t="shared" si="361"/>
        <v>0</v>
      </c>
      <c r="I1625">
        <f t="shared" si="362"/>
        <v>0</v>
      </c>
      <c r="J1625">
        <f t="shared" si="363"/>
        <v>0</v>
      </c>
      <c r="K1625" s="4" t="e">
        <f t="shared" si="352"/>
        <v>#N/A</v>
      </c>
      <c r="L1625" t="e">
        <f t="shared" si="353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4"/>
        <v>0</v>
      </c>
      <c r="B1626">
        <f t="shared" si="355"/>
        <v>0</v>
      </c>
      <c r="C1626">
        <f t="shared" si="356"/>
        <v>0</v>
      </c>
      <c r="D1626">
        <f t="shared" si="357"/>
        <v>0</v>
      </c>
      <c r="E1626" t="e">
        <f t="shared" si="358"/>
        <v>#N/A</v>
      </c>
      <c r="F1626">
        <f t="shared" si="359"/>
        <v>0</v>
      </c>
      <c r="G1626">
        <f t="shared" si="360"/>
        <v>0</v>
      </c>
      <c r="H1626">
        <f t="shared" si="361"/>
        <v>0</v>
      </c>
      <c r="I1626">
        <f t="shared" si="362"/>
        <v>0</v>
      </c>
      <c r="J1626">
        <f t="shared" si="363"/>
        <v>0</v>
      </c>
      <c r="K1626" s="4" t="e">
        <f t="shared" si="352"/>
        <v>#N/A</v>
      </c>
      <c r="L1626" t="e">
        <f t="shared" si="353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4"/>
        <v>0</v>
      </c>
      <c r="B1627">
        <f t="shared" si="355"/>
        <v>0</v>
      </c>
      <c r="C1627">
        <f t="shared" si="356"/>
        <v>0</v>
      </c>
      <c r="D1627">
        <f t="shared" si="357"/>
        <v>0</v>
      </c>
      <c r="E1627" t="e">
        <f t="shared" si="358"/>
        <v>#N/A</v>
      </c>
      <c r="F1627">
        <f t="shared" si="359"/>
        <v>0</v>
      </c>
      <c r="G1627">
        <f t="shared" si="360"/>
        <v>0</v>
      </c>
      <c r="H1627">
        <f t="shared" si="361"/>
        <v>0</v>
      </c>
      <c r="I1627">
        <f t="shared" si="362"/>
        <v>0</v>
      </c>
      <c r="J1627">
        <f t="shared" si="363"/>
        <v>0</v>
      </c>
      <c r="K1627" s="4" t="e">
        <f t="shared" si="352"/>
        <v>#N/A</v>
      </c>
      <c r="L1627" t="e">
        <f t="shared" si="353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4"/>
        <v>0</v>
      </c>
      <c r="B1628">
        <f t="shared" si="355"/>
        <v>0</v>
      </c>
      <c r="C1628">
        <f t="shared" si="356"/>
        <v>0</v>
      </c>
      <c r="D1628">
        <f t="shared" si="357"/>
        <v>0</v>
      </c>
      <c r="E1628" t="e">
        <f t="shared" si="358"/>
        <v>#N/A</v>
      </c>
      <c r="F1628">
        <f t="shared" si="359"/>
        <v>0</v>
      </c>
      <c r="G1628">
        <f t="shared" si="360"/>
        <v>0</v>
      </c>
      <c r="H1628">
        <f t="shared" si="361"/>
        <v>0</v>
      </c>
      <c r="I1628">
        <f t="shared" si="362"/>
        <v>0</v>
      </c>
      <c r="J1628">
        <f t="shared" si="363"/>
        <v>0</v>
      </c>
      <c r="K1628" s="4" t="e">
        <f t="shared" si="352"/>
        <v>#N/A</v>
      </c>
      <c r="L1628" t="e">
        <f t="shared" si="353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4"/>
        <v>0</v>
      </c>
      <c r="B1629">
        <f t="shared" si="355"/>
        <v>0</v>
      </c>
      <c r="C1629">
        <f t="shared" si="356"/>
        <v>0</v>
      </c>
      <c r="D1629">
        <f t="shared" si="357"/>
        <v>0</v>
      </c>
      <c r="E1629" t="e">
        <f t="shared" si="358"/>
        <v>#N/A</v>
      </c>
      <c r="F1629">
        <f t="shared" si="359"/>
        <v>0</v>
      </c>
      <c r="G1629">
        <f t="shared" si="360"/>
        <v>0</v>
      </c>
      <c r="H1629">
        <f t="shared" si="361"/>
        <v>0</v>
      </c>
      <c r="I1629">
        <f t="shared" si="362"/>
        <v>0</v>
      </c>
      <c r="J1629">
        <f t="shared" si="363"/>
        <v>0</v>
      </c>
      <c r="K1629" s="4" t="e">
        <f t="shared" si="352"/>
        <v>#N/A</v>
      </c>
      <c r="L1629" t="e">
        <f t="shared" si="353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4"/>
        <v>0</v>
      </c>
      <c r="B1630">
        <f t="shared" si="355"/>
        <v>0</v>
      </c>
      <c r="C1630">
        <f t="shared" si="356"/>
        <v>0</v>
      </c>
      <c r="D1630">
        <f t="shared" si="357"/>
        <v>0</v>
      </c>
      <c r="E1630" t="e">
        <f t="shared" si="358"/>
        <v>#N/A</v>
      </c>
      <c r="F1630">
        <f t="shared" si="359"/>
        <v>0</v>
      </c>
      <c r="G1630">
        <f t="shared" si="360"/>
        <v>0</v>
      </c>
      <c r="H1630">
        <f t="shared" si="361"/>
        <v>0</v>
      </c>
      <c r="I1630">
        <f t="shared" si="362"/>
        <v>0</v>
      </c>
      <c r="J1630">
        <f t="shared" si="363"/>
        <v>0</v>
      </c>
      <c r="K1630" s="4" t="e">
        <f t="shared" si="352"/>
        <v>#N/A</v>
      </c>
      <c r="L1630" t="e">
        <f t="shared" si="353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4"/>
        <v>0</v>
      </c>
      <c r="B1631">
        <f t="shared" si="355"/>
        <v>0</v>
      </c>
      <c r="C1631">
        <f t="shared" si="356"/>
        <v>0</v>
      </c>
      <c r="D1631">
        <f t="shared" si="357"/>
        <v>0</v>
      </c>
      <c r="E1631" t="e">
        <f t="shared" si="358"/>
        <v>#N/A</v>
      </c>
      <c r="F1631">
        <f t="shared" si="359"/>
        <v>0</v>
      </c>
      <c r="G1631">
        <f t="shared" si="360"/>
        <v>0</v>
      </c>
      <c r="H1631">
        <f t="shared" si="361"/>
        <v>0</v>
      </c>
      <c r="I1631">
        <f t="shared" si="362"/>
        <v>0</v>
      </c>
      <c r="J1631">
        <f t="shared" si="363"/>
        <v>0</v>
      </c>
      <c r="K1631" s="4" t="e">
        <f t="shared" si="352"/>
        <v>#N/A</v>
      </c>
      <c r="L1631" t="e">
        <f t="shared" si="353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4"/>
        <v>0</v>
      </c>
      <c r="B1632">
        <f t="shared" si="355"/>
        <v>0</v>
      </c>
      <c r="C1632">
        <f t="shared" si="356"/>
        <v>0</v>
      </c>
      <c r="D1632">
        <f t="shared" si="357"/>
        <v>0</v>
      </c>
      <c r="E1632" t="e">
        <f t="shared" si="358"/>
        <v>#N/A</v>
      </c>
      <c r="F1632">
        <f t="shared" si="359"/>
        <v>0</v>
      </c>
      <c r="G1632">
        <f t="shared" si="360"/>
        <v>0</v>
      </c>
      <c r="H1632">
        <f t="shared" si="361"/>
        <v>0</v>
      </c>
      <c r="I1632">
        <f t="shared" si="362"/>
        <v>0</v>
      </c>
      <c r="J1632">
        <f t="shared" si="363"/>
        <v>0</v>
      </c>
      <c r="K1632" s="4" t="e">
        <f t="shared" si="352"/>
        <v>#N/A</v>
      </c>
      <c r="L1632" t="e">
        <f t="shared" si="353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4"/>
        <v>0</v>
      </c>
      <c r="B1633">
        <f t="shared" si="355"/>
        <v>0</v>
      </c>
      <c r="C1633">
        <f t="shared" si="356"/>
        <v>0</v>
      </c>
      <c r="D1633">
        <f t="shared" si="357"/>
        <v>0</v>
      </c>
      <c r="E1633" t="e">
        <f t="shared" si="358"/>
        <v>#N/A</v>
      </c>
      <c r="F1633">
        <f t="shared" si="359"/>
        <v>0</v>
      </c>
      <c r="G1633">
        <f t="shared" si="360"/>
        <v>0</v>
      </c>
      <c r="H1633">
        <f t="shared" si="361"/>
        <v>0</v>
      </c>
      <c r="I1633">
        <f t="shared" si="362"/>
        <v>0</v>
      </c>
      <c r="J1633">
        <f t="shared" si="363"/>
        <v>0</v>
      </c>
      <c r="K1633" s="4" t="e">
        <f t="shared" si="352"/>
        <v>#N/A</v>
      </c>
      <c r="L1633" t="e">
        <f t="shared" si="353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4"/>
        <v>0</v>
      </c>
      <c r="B1634">
        <f t="shared" si="355"/>
        <v>0</v>
      </c>
      <c r="C1634">
        <f t="shared" si="356"/>
        <v>0</v>
      </c>
      <c r="D1634">
        <f t="shared" si="357"/>
        <v>0</v>
      </c>
      <c r="E1634" t="e">
        <f t="shared" si="358"/>
        <v>#N/A</v>
      </c>
      <c r="F1634">
        <f t="shared" si="359"/>
        <v>0</v>
      </c>
      <c r="G1634">
        <f t="shared" si="360"/>
        <v>0</v>
      </c>
      <c r="H1634">
        <f t="shared" si="361"/>
        <v>0</v>
      </c>
      <c r="I1634">
        <f t="shared" si="362"/>
        <v>0</v>
      </c>
      <c r="J1634">
        <f t="shared" si="363"/>
        <v>0</v>
      </c>
      <c r="K1634" s="4" t="e">
        <f t="shared" si="352"/>
        <v>#N/A</v>
      </c>
      <c r="L1634" t="e">
        <f t="shared" si="353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4"/>
        <v>0</v>
      </c>
      <c r="B1635">
        <f t="shared" si="355"/>
        <v>0</v>
      </c>
      <c r="C1635">
        <f t="shared" si="356"/>
        <v>0</v>
      </c>
      <c r="D1635">
        <f t="shared" si="357"/>
        <v>0</v>
      </c>
      <c r="E1635" t="e">
        <f t="shared" si="358"/>
        <v>#N/A</v>
      </c>
      <c r="F1635">
        <f t="shared" si="359"/>
        <v>0</v>
      </c>
      <c r="G1635">
        <f t="shared" si="360"/>
        <v>0</v>
      </c>
      <c r="H1635">
        <f t="shared" si="361"/>
        <v>0</v>
      </c>
      <c r="I1635">
        <f t="shared" si="362"/>
        <v>0</v>
      </c>
      <c r="J1635">
        <f t="shared" si="363"/>
        <v>0</v>
      </c>
      <c r="K1635" s="4" t="e">
        <f t="shared" si="352"/>
        <v>#N/A</v>
      </c>
      <c r="L1635" t="e">
        <f t="shared" si="353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4"/>
        <v>0</v>
      </c>
      <c r="B1636">
        <f t="shared" si="355"/>
        <v>0</v>
      </c>
      <c r="C1636">
        <f t="shared" si="356"/>
        <v>0</v>
      </c>
      <c r="D1636">
        <f t="shared" si="357"/>
        <v>0</v>
      </c>
      <c r="E1636" t="e">
        <f t="shared" si="358"/>
        <v>#N/A</v>
      </c>
      <c r="F1636">
        <f t="shared" si="359"/>
        <v>0</v>
      </c>
      <c r="G1636">
        <f t="shared" si="360"/>
        <v>0</v>
      </c>
      <c r="H1636">
        <f t="shared" si="361"/>
        <v>0</v>
      </c>
      <c r="I1636">
        <f t="shared" si="362"/>
        <v>0</v>
      </c>
      <c r="J1636">
        <f t="shared" si="363"/>
        <v>0</v>
      </c>
      <c r="K1636" s="4" t="e">
        <f t="shared" si="352"/>
        <v>#N/A</v>
      </c>
      <c r="L1636" t="e">
        <f t="shared" si="353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4"/>
        <v>0</v>
      </c>
      <c r="B1637">
        <f t="shared" si="355"/>
        <v>0</v>
      </c>
      <c r="C1637">
        <f t="shared" si="356"/>
        <v>0</v>
      </c>
      <c r="D1637">
        <f t="shared" si="357"/>
        <v>0</v>
      </c>
      <c r="E1637" t="e">
        <f t="shared" si="358"/>
        <v>#N/A</v>
      </c>
      <c r="F1637">
        <f t="shared" si="359"/>
        <v>0</v>
      </c>
      <c r="G1637">
        <f t="shared" si="360"/>
        <v>0</v>
      </c>
      <c r="H1637">
        <f t="shared" si="361"/>
        <v>0</v>
      </c>
      <c r="I1637">
        <f t="shared" si="362"/>
        <v>0</v>
      </c>
      <c r="J1637">
        <f t="shared" si="363"/>
        <v>0</v>
      </c>
      <c r="K1637" s="4" t="e">
        <f t="shared" si="352"/>
        <v>#N/A</v>
      </c>
      <c r="L1637" t="e">
        <f t="shared" si="353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4"/>
        <v>0</v>
      </c>
      <c r="B1638">
        <f t="shared" si="355"/>
        <v>0</v>
      </c>
      <c r="C1638">
        <f t="shared" si="356"/>
        <v>0</v>
      </c>
      <c r="D1638">
        <f t="shared" si="357"/>
        <v>0</v>
      </c>
      <c r="E1638" t="e">
        <f t="shared" si="358"/>
        <v>#N/A</v>
      </c>
      <c r="F1638">
        <f t="shared" si="359"/>
        <v>0</v>
      </c>
      <c r="G1638">
        <f t="shared" si="360"/>
        <v>0</v>
      </c>
      <c r="H1638">
        <f t="shared" si="361"/>
        <v>0</v>
      </c>
      <c r="I1638">
        <f t="shared" si="362"/>
        <v>0</v>
      </c>
      <c r="J1638">
        <f t="shared" si="363"/>
        <v>0</v>
      </c>
      <c r="K1638" s="4" t="e">
        <f t="shared" si="352"/>
        <v>#N/A</v>
      </c>
      <c r="L1638" t="e">
        <f t="shared" si="353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4"/>
        <v>0</v>
      </c>
      <c r="B1639">
        <f t="shared" si="355"/>
        <v>0</v>
      </c>
      <c r="C1639">
        <f t="shared" si="356"/>
        <v>0</v>
      </c>
      <c r="D1639">
        <f t="shared" si="357"/>
        <v>0</v>
      </c>
      <c r="E1639" t="e">
        <f t="shared" si="358"/>
        <v>#N/A</v>
      </c>
      <c r="F1639">
        <f t="shared" si="359"/>
        <v>0</v>
      </c>
      <c r="G1639">
        <f t="shared" si="360"/>
        <v>0</v>
      </c>
      <c r="H1639">
        <f t="shared" si="361"/>
        <v>0</v>
      </c>
      <c r="I1639">
        <f t="shared" si="362"/>
        <v>0</v>
      </c>
      <c r="J1639">
        <f t="shared" si="363"/>
        <v>0</v>
      </c>
      <c r="K1639" s="4" t="e">
        <f t="shared" si="352"/>
        <v>#N/A</v>
      </c>
      <c r="L1639" t="e">
        <f t="shared" si="353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4"/>
        <v>0</v>
      </c>
      <c r="B1640">
        <f t="shared" si="355"/>
        <v>0</v>
      </c>
      <c r="C1640">
        <f t="shared" si="356"/>
        <v>0</v>
      </c>
      <c r="D1640">
        <f t="shared" si="357"/>
        <v>0</v>
      </c>
      <c r="E1640" t="e">
        <f t="shared" si="358"/>
        <v>#N/A</v>
      </c>
      <c r="F1640">
        <f t="shared" si="359"/>
        <v>0</v>
      </c>
      <c r="G1640">
        <f t="shared" si="360"/>
        <v>0</v>
      </c>
      <c r="H1640">
        <f t="shared" si="361"/>
        <v>0</v>
      </c>
      <c r="I1640">
        <f t="shared" si="362"/>
        <v>0</v>
      </c>
      <c r="J1640">
        <f t="shared" si="363"/>
        <v>0</v>
      </c>
      <c r="K1640" s="4" t="e">
        <f t="shared" si="352"/>
        <v>#N/A</v>
      </c>
      <c r="L1640" t="e">
        <f t="shared" si="353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4"/>
        <v>0</v>
      </c>
      <c r="B1641">
        <f t="shared" si="355"/>
        <v>0</v>
      </c>
      <c r="C1641">
        <f t="shared" si="356"/>
        <v>0</v>
      </c>
      <c r="D1641">
        <f t="shared" si="357"/>
        <v>0</v>
      </c>
      <c r="E1641" t="e">
        <f t="shared" si="358"/>
        <v>#N/A</v>
      </c>
      <c r="F1641">
        <f t="shared" si="359"/>
        <v>0</v>
      </c>
      <c r="G1641">
        <f t="shared" si="360"/>
        <v>0</v>
      </c>
      <c r="H1641">
        <f t="shared" si="361"/>
        <v>0</v>
      </c>
      <c r="I1641">
        <f t="shared" si="362"/>
        <v>0</v>
      </c>
      <c r="J1641">
        <f t="shared" si="363"/>
        <v>0</v>
      </c>
      <c r="K1641" s="4" t="e">
        <f t="shared" si="352"/>
        <v>#N/A</v>
      </c>
      <c r="L1641" t="e">
        <f t="shared" si="353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4"/>
        <v>0</v>
      </c>
      <c r="B1642">
        <f t="shared" si="355"/>
        <v>0</v>
      </c>
      <c r="C1642">
        <f t="shared" si="356"/>
        <v>0</v>
      </c>
      <c r="D1642">
        <f t="shared" si="357"/>
        <v>0</v>
      </c>
      <c r="E1642" t="e">
        <f t="shared" si="358"/>
        <v>#N/A</v>
      </c>
      <c r="F1642">
        <f t="shared" si="359"/>
        <v>0</v>
      </c>
      <c r="G1642">
        <f t="shared" si="360"/>
        <v>0</v>
      </c>
      <c r="H1642">
        <f t="shared" si="361"/>
        <v>0</v>
      </c>
      <c r="I1642">
        <f t="shared" si="362"/>
        <v>0</v>
      </c>
      <c r="J1642">
        <f t="shared" si="363"/>
        <v>0</v>
      </c>
      <c r="K1642" s="4" t="e">
        <f t="shared" si="352"/>
        <v>#N/A</v>
      </c>
      <c r="L1642" t="e">
        <f t="shared" si="353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4"/>
        <v>0</v>
      </c>
      <c r="B1643">
        <f t="shared" si="355"/>
        <v>0</v>
      </c>
      <c r="C1643">
        <f t="shared" si="356"/>
        <v>0</v>
      </c>
      <c r="D1643">
        <f t="shared" si="357"/>
        <v>0</v>
      </c>
      <c r="E1643" t="e">
        <f t="shared" si="358"/>
        <v>#N/A</v>
      </c>
      <c r="F1643">
        <f t="shared" si="359"/>
        <v>0</v>
      </c>
      <c r="G1643">
        <f t="shared" si="360"/>
        <v>0</v>
      </c>
      <c r="H1643">
        <f t="shared" si="361"/>
        <v>0</v>
      </c>
      <c r="I1643">
        <f t="shared" si="362"/>
        <v>0</v>
      </c>
      <c r="J1643">
        <f t="shared" si="363"/>
        <v>0</v>
      </c>
      <c r="K1643" s="4" t="e">
        <f t="shared" si="352"/>
        <v>#N/A</v>
      </c>
      <c r="L1643" t="e">
        <f t="shared" si="353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4"/>
        <v>0</v>
      </c>
      <c r="B1644">
        <f t="shared" si="355"/>
        <v>0</v>
      </c>
      <c r="C1644">
        <f t="shared" si="356"/>
        <v>0</v>
      </c>
      <c r="D1644">
        <f t="shared" si="357"/>
        <v>0</v>
      </c>
      <c r="E1644" t="e">
        <f t="shared" si="358"/>
        <v>#N/A</v>
      </c>
      <c r="F1644">
        <f t="shared" si="359"/>
        <v>0</v>
      </c>
      <c r="G1644">
        <f t="shared" si="360"/>
        <v>0</v>
      </c>
      <c r="H1644">
        <f t="shared" si="361"/>
        <v>0</v>
      </c>
      <c r="I1644">
        <f t="shared" si="362"/>
        <v>0</v>
      </c>
      <c r="J1644">
        <f t="shared" si="363"/>
        <v>0</v>
      </c>
      <c r="K1644" s="4" t="e">
        <f t="shared" ref="K1644:K1707" si="366">IF(LEFT(B1644,3)="DBM",0,VLOOKUP(E1644,tabela,2,FALSE))</f>
        <v>#N/A</v>
      </c>
      <c r="L1644" t="e">
        <f t="shared" ref="L1644:L1707" si="367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4"/>
        <v>0</v>
      </c>
      <c r="B1645">
        <f t="shared" si="355"/>
        <v>0</v>
      </c>
      <c r="C1645">
        <f t="shared" si="356"/>
        <v>0</v>
      </c>
      <c r="D1645">
        <f t="shared" si="357"/>
        <v>0</v>
      </c>
      <c r="E1645" t="e">
        <f t="shared" si="358"/>
        <v>#N/A</v>
      </c>
      <c r="F1645">
        <f t="shared" si="359"/>
        <v>0</v>
      </c>
      <c r="G1645">
        <f t="shared" si="360"/>
        <v>0</v>
      </c>
      <c r="H1645">
        <f t="shared" si="361"/>
        <v>0</v>
      </c>
      <c r="I1645">
        <f t="shared" si="362"/>
        <v>0</v>
      </c>
      <c r="J1645">
        <f t="shared" si="363"/>
        <v>0</v>
      </c>
      <c r="K1645" s="4" t="e">
        <f t="shared" si="366"/>
        <v>#N/A</v>
      </c>
      <c r="L1645" t="e">
        <f t="shared" si="367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4"/>
        <v>0</v>
      </c>
      <c r="B1646">
        <f t="shared" si="355"/>
        <v>0</v>
      </c>
      <c r="C1646">
        <f t="shared" si="356"/>
        <v>0</v>
      </c>
      <c r="D1646">
        <f t="shared" si="357"/>
        <v>0</v>
      </c>
      <c r="E1646" t="e">
        <f t="shared" si="358"/>
        <v>#N/A</v>
      </c>
      <c r="F1646">
        <f t="shared" si="359"/>
        <v>0</v>
      </c>
      <c r="G1646">
        <f t="shared" si="360"/>
        <v>0</v>
      </c>
      <c r="H1646">
        <f t="shared" si="361"/>
        <v>0</v>
      </c>
      <c r="I1646">
        <f t="shared" si="362"/>
        <v>0</v>
      </c>
      <c r="J1646">
        <f t="shared" si="363"/>
        <v>0</v>
      </c>
      <c r="K1646" s="4" t="e">
        <f t="shared" si="366"/>
        <v>#N/A</v>
      </c>
      <c r="L1646" t="e">
        <f t="shared" si="367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4"/>
        <v>0</v>
      </c>
      <c r="B1647">
        <f t="shared" si="355"/>
        <v>0</v>
      </c>
      <c r="C1647">
        <f t="shared" si="356"/>
        <v>0</v>
      </c>
      <c r="D1647">
        <f t="shared" si="357"/>
        <v>0</v>
      </c>
      <c r="E1647" t="e">
        <f t="shared" si="358"/>
        <v>#N/A</v>
      </c>
      <c r="F1647">
        <f t="shared" si="359"/>
        <v>0</v>
      </c>
      <c r="G1647">
        <f t="shared" si="360"/>
        <v>0</v>
      </c>
      <c r="H1647">
        <f t="shared" si="361"/>
        <v>0</v>
      </c>
      <c r="I1647">
        <f t="shared" si="362"/>
        <v>0</v>
      </c>
      <c r="J1647">
        <f t="shared" si="363"/>
        <v>0</v>
      </c>
      <c r="K1647" s="4" t="e">
        <f t="shared" si="366"/>
        <v>#N/A</v>
      </c>
      <c r="L1647" t="e">
        <f t="shared" si="367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4"/>
        <v>0</v>
      </c>
      <c r="B1648">
        <f t="shared" si="355"/>
        <v>0</v>
      </c>
      <c r="C1648">
        <f t="shared" si="356"/>
        <v>0</v>
      </c>
      <c r="D1648">
        <f t="shared" si="357"/>
        <v>0</v>
      </c>
      <c r="E1648" t="e">
        <f t="shared" si="358"/>
        <v>#N/A</v>
      </c>
      <c r="F1648">
        <f t="shared" si="359"/>
        <v>0</v>
      </c>
      <c r="G1648">
        <f t="shared" si="360"/>
        <v>0</v>
      </c>
      <c r="H1648">
        <f t="shared" si="361"/>
        <v>0</v>
      </c>
      <c r="I1648">
        <f t="shared" si="362"/>
        <v>0</v>
      </c>
      <c r="J1648">
        <f t="shared" si="363"/>
        <v>0</v>
      </c>
      <c r="K1648" s="4" t="e">
        <f t="shared" si="366"/>
        <v>#N/A</v>
      </c>
      <c r="L1648" t="e">
        <f t="shared" si="367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4"/>
        <v>0</v>
      </c>
      <c r="B1649">
        <f t="shared" si="355"/>
        <v>0</v>
      </c>
      <c r="C1649">
        <f t="shared" si="356"/>
        <v>0</v>
      </c>
      <c r="D1649">
        <f t="shared" si="357"/>
        <v>0</v>
      </c>
      <c r="E1649" t="e">
        <f t="shared" si="358"/>
        <v>#N/A</v>
      </c>
      <c r="F1649">
        <f t="shared" si="359"/>
        <v>0</v>
      </c>
      <c r="G1649">
        <f t="shared" si="360"/>
        <v>0</v>
      </c>
      <c r="H1649">
        <f t="shared" si="361"/>
        <v>0</v>
      </c>
      <c r="I1649">
        <f t="shared" si="362"/>
        <v>0</v>
      </c>
      <c r="J1649">
        <f t="shared" si="363"/>
        <v>0</v>
      </c>
      <c r="K1649" s="4" t="e">
        <f t="shared" si="366"/>
        <v>#N/A</v>
      </c>
      <c r="L1649" t="e">
        <f t="shared" si="367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4"/>
        <v>0</v>
      </c>
      <c r="B1650">
        <f t="shared" si="355"/>
        <v>0</v>
      </c>
      <c r="C1650">
        <f t="shared" si="356"/>
        <v>0</v>
      </c>
      <c r="D1650">
        <f t="shared" si="357"/>
        <v>0</v>
      </c>
      <c r="E1650" t="e">
        <f t="shared" si="358"/>
        <v>#N/A</v>
      </c>
      <c r="F1650">
        <f t="shared" si="359"/>
        <v>0</v>
      </c>
      <c r="G1650">
        <f t="shared" si="360"/>
        <v>0</v>
      </c>
      <c r="H1650">
        <f t="shared" si="361"/>
        <v>0</v>
      </c>
      <c r="I1650">
        <f t="shared" si="362"/>
        <v>0</v>
      </c>
      <c r="J1650">
        <f t="shared" si="363"/>
        <v>0</v>
      </c>
      <c r="K1650" s="4" t="e">
        <f t="shared" si="366"/>
        <v>#N/A</v>
      </c>
      <c r="L1650" t="e">
        <f t="shared" si="367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4"/>
        <v>0</v>
      </c>
      <c r="B1651">
        <f t="shared" si="355"/>
        <v>0</v>
      </c>
      <c r="C1651">
        <f t="shared" si="356"/>
        <v>0</v>
      </c>
      <c r="D1651">
        <f t="shared" si="357"/>
        <v>0</v>
      </c>
      <c r="E1651" t="e">
        <f t="shared" si="358"/>
        <v>#N/A</v>
      </c>
      <c r="F1651">
        <f t="shared" si="359"/>
        <v>0</v>
      </c>
      <c r="G1651">
        <f t="shared" si="360"/>
        <v>0</v>
      </c>
      <c r="H1651">
        <f t="shared" si="361"/>
        <v>0</v>
      </c>
      <c r="I1651">
        <f t="shared" si="362"/>
        <v>0</v>
      </c>
      <c r="J1651">
        <f t="shared" si="363"/>
        <v>0</v>
      </c>
      <c r="K1651" s="4" t="e">
        <f t="shared" si="366"/>
        <v>#N/A</v>
      </c>
      <c r="L1651" t="e">
        <f t="shared" si="367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4"/>
        <v>0</v>
      </c>
      <c r="B1652">
        <f t="shared" si="355"/>
        <v>0</v>
      </c>
      <c r="C1652">
        <f t="shared" si="356"/>
        <v>0</v>
      </c>
      <c r="D1652">
        <f t="shared" si="357"/>
        <v>0</v>
      </c>
      <c r="E1652" t="e">
        <f t="shared" si="358"/>
        <v>#N/A</v>
      </c>
      <c r="F1652">
        <f t="shared" si="359"/>
        <v>0</v>
      </c>
      <c r="G1652">
        <f t="shared" si="360"/>
        <v>0</v>
      </c>
      <c r="H1652">
        <f t="shared" si="361"/>
        <v>0</v>
      </c>
      <c r="I1652">
        <f t="shared" si="362"/>
        <v>0</v>
      </c>
      <c r="J1652">
        <f t="shared" si="363"/>
        <v>0</v>
      </c>
      <c r="K1652" s="4" t="e">
        <f t="shared" si="366"/>
        <v>#N/A</v>
      </c>
      <c r="L1652" t="e">
        <f t="shared" si="367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4"/>
        <v>0</v>
      </c>
      <c r="B1653">
        <f t="shared" si="355"/>
        <v>0</v>
      </c>
      <c r="C1653">
        <f t="shared" si="356"/>
        <v>0</v>
      </c>
      <c r="D1653">
        <f t="shared" si="357"/>
        <v>0</v>
      </c>
      <c r="E1653" t="e">
        <f t="shared" si="358"/>
        <v>#N/A</v>
      </c>
      <c r="F1653">
        <f t="shared" si="359"/>
        <v>0</v>
      </c>
      <c r="G1653">
        <f t="shared" si="360"/>
        <v>0</v>
      </c>
      <c r="H1653">
        <f t="shared" si="361"/>
        <v>0</v>
      </c>
      <c r="I1653">
        <f t="shared" si="362"/>
        <v>0</v>
      </c>
      <c r="J1653">
        <f t="shared" si="363"/>
        <v>0</v>
      </c>
      <c r="K1653" s="4" t="e">
        <f t="shared" si="366"/>
        <v>#N/A</v>
      </c>
      <c r="L1653" t="e">
        <f t="shared" si="367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4"/>
        <v>0</v>
      </c>
      <c r="B1654">
        <f t="shared" si="355"/>
        <v>0</v>
      </c>
      <c r="C1654">
        <f t="shared" si="356"/>
        <v>0</v>
      </c>
      <c r="D1654">
        <f t="shared" si="357"/>
        <v>0</v>
      </c>
      <c r="E1654" t="e">
        <f t="shared" si="358"/>
        <v>#N/A</v>
      </c>
      <c r="F1654">
        <f t="shared" si="359"/>
        <v>0</v>
      </c>
      <c r="G1654">
        <f t="shared" si="360"/>
        <v>0</v>
      </c>
      <c r="H1654">
        <f t="shared" si="361"/>
        <v>0</v>
      </c>
      <c r="I1654">
        <f t="shared" si="362"/>
        <v>0</v>
      </c>
      <c r="J1654">
        <f t="shared" si="363"/>
        <v>0</v>
      </c>
      <c r="K1654" s="4" t="e">
        <f t="shared" si="366"/>
        <v>#N/A</v>
      </c>
      <c r="L1654" t="e">
        <f t="shared" si="367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4"/>
        <v>0</v>
      </c>
      <c r="B1655">
        <f t="shared" si="355"/>
        <v>0</v>
      </c>
      <c r="C1655">
        <f t="shared" si="356"/>
        <v>0</v>
      </c>
      <c r="D1655">
        <f t="shared" si="357"/>
        <v>0</v>
      </c>
      <c r="E1655" t="e">
        <f t="shared" si="358"/>
        <v>#N/A</v>
      </c>
      <c r="F1655">
        <f t="shared" si="359"/>
        <v>0</v>
      </c>
      <c r="G1655">
        <f t="shared" si="360"/>
        <v>0</v>
      </c>
      <c r="H1655">
        <f t="shared" si="361"/>
        <v>0</v>
      </c>
      <c r="I1655">
        <f t="shared" si="362"/>
        <v>0</v>
      </c>
      <c r="J1655">
        <f t="shared" si="363"/>
        <v>0</v>
      </c>
      <c r="K1655" s="4" t="e">
        <f t="shared" si="366"/>
        <v>#N/A</v>
      </c>
      <c r="L1655" t="e">
        <f t="shared" si="367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4"/>
        <v>0</v>
      </c>
      <c r="B1656">
        <f t="shared" si="355"/>
        <v>0</v>
      </c>
      <c r="C1656">
        <f t="shared" si="356"/>
        <v>0</v>
      </c>
      <c r="D1656">
        <f t="shared" si="357"/>
        <v>0</v>
      </c>
      <c r="E1656" t="e">
        <f t="shared" si="358"/>
        <v>#N/A</v>
      </c>
      <c r="F1656">
        <f t="shared" si="359"/>
        <v>0</v>
      </c>
      <c r="G1656">
        <f t="shared" si="360"/>
        <v>0</v>
      </c>
      <c r="H1656">
        <f t="shared" si="361"/>
        <v>0</v>
      </c>
      <c r="I1656">
        <f t="shared" si="362"/>
        <v>0</v>
      </c>
      <c r="J1656">
        <f t="shared" si="363"/>
        <v>0</v>
      </c>
      <c r="K1656" s="4" t="e">
        <f t="shared" si="366"/>
        <v>#N/A</v>
      </c>
      <c r="L1656" t="e">
        <f t="shared" si="367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4"/>
        <v>0</v>
      </c>
      <c r="B1657">
        <f t="shared" si="355"/>
        <v>0</v>
      </c>
      <c r="C1657">
        <f t="shared" si="356"/>
        <v>0</v>
      </c>
      <c r="D1657">
        <f t="shared" si="357"/>
        <v>0</v>
      </c>
      <c r="E1657" t="e">
        <f t="shared" si="358"/>
        <v>#N/A</v>
      </c>
      <c r="F1657">
        <f t="shared" si="359"/>
        <v>0</v>
      </c>
      <c r="G1657">
        <f t="shared" si="360"/>
        <v>0</v>
      </c>
      <c r="H1657">
        <f t="shared" si="361"/>
        <v>0</v>
      </c>
      <c r="I1657">
        <f t="shared" si="362"/>
        <v>0</v>
      </c>
      <c r="J1657">
        <f t="shared" si="363"/>
        <v>0</v>
      </c>
      <c r="K1657" s="4" t="e">
        <f t="shared" si="366"/>
        <v>#N/A</v>
      </c>
      <c r="L1657" t="e">
        <f t="shared" si="367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4"/>
        <v>0</v>
      </c>
      <c r="B1658">
        <f t="shared" si="355"/>
        <v>0</v>
      </c>
      <c r="C1658">
        <f t="shared" si="356"/>
        <v>0</v>
      </c>
      <c r="D1658">
        <f t="shared" si="357"/>
        <v>0</v>
      </c>
      <c r="E1658" t="e">
        <f t="shared" si="358"/>
        <v>#N/A</v>
      </c>
      <c r="F1658">
        <f t="shared" si="359"/>
        <v>0</v>
      </c>
      <c r="G1658">
        <f t="shared" si="360"/>
        <v>0</v>
      </c>
      <c r="H1658">
        <f t="shared" si="361"/>
        <v>0</v>
      </c>
      <c r="I1658">
        <f t="shared" si="362"/>
        <v>0</v>
      </c>
      <c r="J1658">
        <f t="shared" si="363"/>
        <v>0</v>
      </c>
      <c r="K1658" s="4" t="e">
        <f t="shared" si="366"/>
        <v>#N/A</v>
      </c>
      <c r="L1658" t="e">
        <f t="shared" si="367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4"/>
        <v>0</v>
      </c>
      <c r="B1659">
        <f t="shared" si="355"/>
        <v>0</v>
      </c>
      <c r="C1659">
        <f t="shared" si="356"/>
        <v>0</v>
      </c>
      <c r="D1659">
        <f t="shared" si="357"/>
        <v>0</v>
      </c>
      <c r="E1659" t="e">
        <f t="shared" si="358"/>
        <v>#N/A</v>
      </c>
      <c r="F1659">
        <f t="shared" si="359"/>
        <v>0</v>
      </c>
      <c r="G1659">
        <f t="shared" si="360"/>
        <v>0</v>
      </c>
      <c r="H1659">
        <f t="shared" si="361"/>
        <v>0</v>
      </c>
      <c r="I1659">
        <f t="shared" si="362"/>
        <v>0</v>
      </c>
      <c r="J1659">
        <f t="shared" si="363"/>
        <v>0</v>
      </c>
      <c r="K1659" s="4" t="e">
        <f t="shared" si="366"/>
        <v>#N/A</v>
      </c>
      <c r="L1659" t="e">
        <f t="shared" si="367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4"/>
        <v>0</v>
      </c>
      <c r="B1660">
        <f t="shared" si="355"/>
        <v>0</v>
      </c>
      <c r="C1660">
        <f t="shared" si="356"/>
        <v>0</v>
      </c>
      <c r="D1660">
        <f t="shared" si="357"/>
        <v>0</v>
      </c>
      <c r="E1660" t="e">
        <f t="shared" si="358"/>
        <v>#N/A</v>
      </c>
      <c r="F1660">
        <f t="shared" si="359"/>
        <v>0</v>
      </c>
      <c r="G1660">
        <f t="shared" si="360"/>
        <v>0</v>
      </c>
      <c r="H1660">
        <f t="shared" si="361"/>
        <v>0</v>
      </c>
      <c r="I1660">
        <f t="shared" si="362"/>
        <v>0</v>
      </c>
      <c r="J1660">
        <f t="shared" si="363"/>
        <v>0</v>
      </c>
      <c r="K1660" s="4" t="e">
        <f t="shared" si="366"/>
        <v>#N/A</v>
      </c>
      <c r="L1660" t="e">
        <f t="shared" si="367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4"/>
        <v>0</v>
      </c>
      <c r="B1661">
        <f t="shared" si="355"/>
        <v>0</v>
      </c>
      <c r="C1661">
        <f t="shared" si="356"/>
        <v>0</v>
      </c>
      <c r="D1661">
        <f t="shared" si="357"/>
        <v>0</v>
      </c>
      <c r="E1661" t="e">
        <f t="shared" si="358"/>
        <v>#N/A</v>
      </c>
      <c r="F1661">
        <f t="shared" si="359"/>
        <v>0</v>
      </c>
      <c r="G1661">
        <f t="shared" si="360"/>
        <v>0</v>
      </c>
      <c r="H1661">
        <f t="shared" si="361"/>
        <v>0</v>
      </c>
      <c r="I1661">
        <f t="shared" si="362"/>
        <v>0</v>
      </c>
      <c r="J1661">
        <f t="shared" si="363"/>
        <v>0</v>
      </c>
      <c r="K1661" s="4" t="e">
        <f t="shared" si="366"/>
        <v>#N/A</v>
      </c>
      <c r="L1661" t="e">
        <f t="shared" si="367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4"/>
        <v>0</v>
      </c>
      <c r="B1662">
        <f t="shared" si="355"/>
        <v>0</v>
      </c>
      <c r="C1662">
        <f t="shared" si="356"/>
        <v>0</v>
      </c>
      <c r="D1662">
        <f t="shared" si="357"/>
        <v>0</v>
      </c>
      <c r="E1662" t="e">
        <f t="shared" si="358"/>
        <v>#N/A</v>
      </c>
      <c r="F1662">
        <f t="shared" si="359"/>
        <v>0</v>
      </c>
      <c r="G1662">
        <f t="shared" si="360"/>
        <v>0</v>
      </c>
      <c r="H1662">
        <f t="shared" si="361"/>
        <v>0</v>
      </c>
      <c r="I1662">
        <f t="shared" si="362"/>
        <v>0</v>
      </c>
      <c r="J1662">
        <f t="shared" si="363"/>
        <v>0</v>
      </c>
      <c r="K1662" s="4" t="e">
        <f t="shared" si="366"/>
        <v>#N/A</v>
      </c>
      <c r="L1662" t="e">
        <f t="shared" si="367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4"/>
        <v>0</v>
      </c>
      <c r="B1663">
        <f t="shared" si="355"/>
        <v>0</v>
      </c>
      <c r="C1663">
        <f t="shared" si="356"/>
        <v>0</v>
      </c>
      <c r="D1663">
        <f t="shared" si="357"/>
        <v>0</v>
      </c>
      <c r="E1663" t="e">
        <f t="shared" si="358"/>
        <v>#N/A</v>
      </c>
      <c r="F1663">
        <f t="shared" si="359"/>
        <v>0</v>
      </c>
      <c r="G1663">
        <f t="shared" si="360"/>
        <v>0</v>
      </c>
      <c r="H1663">
        <f t="shared" si="361"/>
        <v>0</v>
      </c>
      <c r="I1663">
        <f t="shared" si="362"/>
        <v>0</v>
      </c>
      <c r="J1663">
        <f t="shared" si="363"/>
        <v>0</v>
      </c>
      <c r="K1663" s="4" t="e">
        <f t="shared" si="366"/>
        <v>#N/A</v>
      </c>
      <c r="L1663" t="e">
        <f t="shared" si="367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4"/>
        <v>0</v>
      </c>
      <c r="B1664">
        <f t="shared" si="355"/>
        <v>0</v>
      </c>
      <c r="C1664">
        <f t="shared" si="356"/>
        <v>0</v>
      </c>
      <c r="D1664">
        <f t="shared" si="357"/>
        <v>0</v>
      </c>
      <c r="E1664" t="e">
        <f t="shared" si="358"/>
        <v>#N/A</v>
      </c>
      <c r="F1664">
        <f t="shared" si="359"/>
        <v>0</v>
      </c>
      <c r="G1664">
        <f t="shared" si="360"/>
        <v>0</v>
      </c>
      <c r="H1664">
        <f t="shared" si="361"/>
        <v>0</v>
      </c>
      <c r="I1664">
        <f t="shared" si="362"/>
        <v>0</v>
      </c>
      <c r="J1664">
        <f t="shared" si="363"/>
        <v>0</v>
      </c>
      <c r="K1664" s="4" t="e">
        <f t="shared" si="366"/>
        <v>#N/A</v>
      </c>
      <c r="L1664" t="e">
        <f t="shared" si="367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4"/>
        <v>0</v>
      </c>
      <c r="B1665">
        <f t="shared" si="355"/>
        <v>0</v>
      </c>
      <c r="C1665">
        <f t="shared" si="356"/>
        <v>0</v>
      </c>
      <c r="D1665">
        <f t="shared" si="357"/>
        <v>0</v>
      </c>
      <c r="E1665" t="e">
        <f t="shared" si="358"/>
        <v>#N/A</v>
      </c>
      <c r="F1665">
        <f t="shared" si="359"/>
        <v>0</v>
      </c>
      <c r="G1665">
        <f t="shared" si="360"/>
        <v>0</v>
      </c>
      <c r="H1665">
        <f t="shared" si="361"/>
        <v>0</v>
      </c>
      <c r="I1665">
        <f t="shared" si="362"/>
        <v>0</v>
      </c>
      <c r="J1665">
        <f t="shared" si="363"/>
        <v>0</v>
      </c>
      <c r="K1665" s="4" t="e">
        <f t="shared" si="366"/>
        <v>#N/A</v>
      </c>
      <c r="L1665" t="e">
        <f t="shared" si="367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8">bd_campaign</f>
        <v>0</v>
      </c>
      <c r="B1666">
        <f t="shared" ref="B1666:B1729" si="369">bd_site</f>
        <v>0</v>
      </c>
      <c r="C1666">
        <f t="shared" ref="C1666:C1729" si="370">bd_placement</f>
        <v>0</v>
      </c>
      <c r="D1666">
        <f t="shared" ref="D1666:D1729" si="371">bd_placementID</f>
        <v>0</v>
      </c>
      <c r="E1666" t="e">
        <f t="shared" ref="E1666:E1729" si="372">VLOOKUP(CONCATENATE(bd_adtype,"_",bd_creativetype),tabela,2,FALSE)</f>
        <v>#N/A</v>
      </c>
      <c r="F1666">
        <f t="shared" ref="F1666:F1729" si="373">bd_ad</f>
        <v>0</v>
      </c>
      <c r="G1666">
        <f t="shared" ref="G1666:G1729" si="374">bd_adid</f>
        <v>0</v>
      </c>
      <c r="H1666">
        <f t="shared" ref="H1666:H1729" si="375">bd_creativetype</f>
        <v>0</v>
      </c>
      <c r="I1666">
        <f t="shared" ref="I1666:I1729" si="376">bd_impression</f>
        <v>0</v>
      </c>
      <c r="J1666">
        <f t="shared" ref="J1666:J1729" si="377">bd_clicks</f>
        <v>0</v>
      </c>
      <c r="K1666" s="4" t="e">
        <f t="shared" si="366"/>
        <v>#N/A</v>
      </c>
      <c r="L1666" t="e">
        <f t="shared" si="367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8"/>
        <v>0</v>
      </c>
      <c r="B1667">
        <f t="shared" si="369"/>
        <v>0</v>
      </c>
      <c r="C1667">
        <f t="shared" si="370"/>
        <v>0</v>
      </c>
      <c r="D1667">
        <f t="shared" si="371"/>
        <v>0</v>
      </c>
      <c r="E1667" t="e">
        <f t="shared" si="372"/>
        <v>#N/A</v>
      </c>
      <c r="F1667">
        <f t="shared" si="373"/>
        <v>0</v>
      </c>
      <c r="G1667">
        <f t="shared" si="374"/>
        <v>0</v>
      </c>
      <c r="H1667">
        <f t="shared" si="375"/>
        <v>0</v>
      </c>
      <c r="I1667">
        <f t="shared" si="376"/>
        <v>0</v>
      </c>
      <c r="J1667">
        <f t="shared" si="377"/>
        <v>0</v>
      </c>
      <c r="K1667" s="4" t="e">
        <f t="shared" si="366"/>
        <v>#N/A</v>
      </c>
      <c r="L1667" t="e">
        <f t="shared" si="367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8"/>
        <v>0</v>
      </c>
      <c r="B1668">
        <f t="shared" si="369"/>
        <v>0</v>
      </c>
      <c r="C1668">
        <f t="shared" si="370"/>
        <v>0</v>
      </c>
      <c r="D1668">
        <f t="shared" si="371"/>
        <v>0</v>
      </c>
      <c r="E1668" t="e">
        <f t="shared" si="372"/>
        <v>#N/A</v>
      </c>
      <c r="F1668">
        <f t="shared" si="373"/>
        <v>0</v>
      </c>
      <c r="G1668">
        <f t="shared" si="374"/>
        <v>0</v>
      </c>
      <c r="H1668">
        <f t="shared" si="375"/>
        <v>0</v>
      </c>
      <c r="I1668">
        <f t="shared" si="376"/>
        <v>0</v>
      </c>
      <c r="J1668">
        <f t="shared" si="377"/>
        <v>0</v>
      </c>
      <c r="K1668" s="4" t="e">
        <f t="shared" si="366"/>
        <v>#N/A</v>
      </c>
      <c r="L1668" t="e">
        <f t="shared" si="367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8"/>
        <v>0</v>
      </c>
      <c r="B1669">
        <f t="shared" si="369"/>
        <v>0</v>
      </c>
      <c r="C1669">
        <f t="shared" si="370"/>
        <v>0</v>
      </c>
      <c r="D1669">
        <f t="shared" si="371"/>
        <v>0</v>
      </c>
      <c r="E1669" t="e">
        <f t="shared" si="372"/>
        <v>#N/A</v>
      </c>
      <c r="F1669">
        <f t="shared" si="373"/>
        <v>0</v>
      </c>
      <c r="G1669">
        <f t="shared" si="374"/>
        <v>0</v>
      </c>
      <c r="H1669">
        <f t="shared" si="375"/>
        <v>0</v>
      </c>
      <c r="I1669">
        <f t="shared" si="376"/>
        <v>0</v>
      </c>
      <c r="J1669">
        <f t="shared" si="377"/>
        <v>0</v>
      </c>
      <c r="K1669" s="4" t="e">
        <f t="shared" si="366"/>
        <v>#N/A</v>
      </c>
      <c r="L1669" t="e">
        <f t="shared" si="367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8"/>
        <v>0</v>
      </c>
      <c r="B1670">
        <f t="shared" si="369"/>
        <v>0</v>
      </c>
      <c r="C1670">
        <f t="shared" si="370"/>
        <v>0</v>
      </c>
      <c r="D1670">
        <f t="shared" si="371"/>
        <v>0</v>
      </c>
      <c r="E1670" t="e">
        <f t="shared" si="372"/>
        <v>#N/A</v>
      </c>
      <c r="F1670">
        <f t="shared" si="373"/>
        <v>0</v>
      </c>
      <c r="G1670">
        <f t="shared" si="374"/>
        <v>0</v>
      </c>
      <c r="H1670">
        <f t="shared" si="375"/>
        <v>0</v>
      </c>
      <c r="I1670">
        <f t="shared" si="376"/>
        <v>0</v>
      </c>
      <c r="J1670">
        <f t="shared" si="377"/>
        <v>0</v>
      </c>
      <c r="K1670" s="4" t="e">
        <f t="shared" si="366"/>
        <v>#N/A</v>
      </c>
      <c r="L1670" t="e">
        <f t="shared" si="367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8"/>
        <v>0</v>
      </c>
      <c r="B1671">
        <f t="shared" si="369"/>
        <v>0</v>
      </c>
      <c r="C1671">
        <f t="shared" si="370"/>
        <v>0</v>
      </c>
      <c r="D1671">
        <f t="shared" si="371"/>
        <v>0</v>
      </c>
      <c r="E1671" t="e">
        <f t="shared" si="372"/>
        <v>#N/A</v>
      </c>
      <c r="F1671">
        <f t="shared" si="373"/>
        <v>0</v>
      </c>
      <c r="G1671">
        <f t="shared" si="374"/>
        <v>0</v>
      </c>
      <c r="H1671">
        <f t="shared" si="375"/>
        <v>0</v>
      </c>
      <c r="I1671">
        <f t="shared" si="376"/>
        <v>0</v>
      </c>
      <c r="J1671">
        <f t="shared" si="377"/>
        <v>0</v>
      </c>
      <c r="K1671" s="4" t="e">
        <f t="shared" si="366"/>
        <v>#N/A</v>
      </c>
      <c r="L1671" t="e">
        <f t="shared" si="367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8"/>
        <v>0</v>
      </c>
      <c r="B1672">
        <f t="shared" si="369"/>
        <v>0</v>
      </c>
      <c r="C1672">
        <f t="shared" si="370"/>
        <v>0</v>
      </c>
      <c r="D1672">
        <f t="shared" si="371"/>
        <v>0</v>
      </c>
      <c r="E1672" t="e">
        <f t="shared" si="372"/>
        <v>#N/A</v>
      </c>
      <c r="F1672">
        <f t="shared" si="373"/>
        <v>0</v>
      </c>
      <c r="G1672">
        <f t="shared" si="374"/>
        <v>0</v>
      </c>
      <c r="H1672">
        <f t="shared" si="375"/>
        <v>0</v>
      </c>
      <c r="I1672">
        <f t="shared" si="376"/>
        <v>0</v>
      </c>
      <c r="J1672">
        <f t="shared" si="377"/>
        <v>0</v>
      </c>
      <c r="K1672" s="4" t="e">
        <f t="shared" si="366"/>
        <v>#N/A</v>
      </c>
      <c r="L1672" t="e">
        <f t="shared" si="367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8"/>
        <v>0</v>
      </c>
      <c r="B1673">
        <f t="shared" si="369"/>
        <v>0</v>
      </c>
      <c r="C1673">
        <f t="shared" si="370"/>
        <v>0</v>
      </c>
      <c r="D1673">
        <f t="shared" si="371"/>
        <v>0</v>
      </c>
      <c r="E1673" t="e">
        <f t="shared" si="372"/>
        <v>#N/A</v>
      </c>
      <c r="F1673">
        <f t="shared" si="373"/>
        <v>0</v>
      </c>
      <c r="G1673">
        <f t="shared" si="374"/>
        <v>0</v>
      </c>
      <c r="H1673">
        <f t="shared" si="375"/>
        <v>0</v>
      </c>
      <c r="I1673">
        <f t="shared" si="376"/>
        <v>0</v>
      </c>
      <c r="J1673">
        <f t="shared" si="377"/>
        <v>0</v>
      </c>
      <c r="K1673" s="4" t="e">
        <f t="shared" si="366"/>
        <v>#N/A</v>
      </c>
      <c r="L1673" t="e">
        <f t="shared" si="367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8"/>
        <v>0</v>
      </c>
      <c r="B1674">
        <f t="shared" si="369"/>
        <v>0</v>
      </c>
      <c r="C1674">
        <f t="shared" si="370"/>
        <v>0</v>
      </c>
      <c r="D1674">
        <f t="shared" si="371"/>
        <v>0</v>
      </c>
      <c r="E1674" t="e">
        <f t="shared" si="372"/>
        <v>#N/A</v>
      </c>
      <c r="F1674">
        <f t="shared" si="373"/>
        <v>0</v>
      </c>
      <c r="G1674">
        <f t="shared" si="374"/>
        <v>0</v>
      </c>
      <c r="H1674">
        <f t="shared" si="375"/>
        <v>0</v>
      </c>
      <c r="I1674">
        <f t="shared" si="376"/>
        <v>0</v>
      </c>
      <c r="J1674">
        <f t="shared" si="377"/>
        <v>0</v>
      </c>
      <c r="K1674" s="4" t="e">
        <f t="shared" si="366"/>
        <v>#N/A</v>
      </c>
      <c r="L1674" t="e">
        <f t="shared" si="367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8"/>
        <v>0</v>
      </c>
      <c r="B1675">
        <f t="shared" si="369"/>
        <v>0</v>
      </c>
      <c r="C1675">
        <f t="shared" si="370"/>
        <v>0</v>
      </c>
      <c r="D1675">
        <f t="shared" si="371"/>
        <v>0</v>
      </c>
      <c r="E1675" t="e">
        <f t="shared" si="372"/>
        <v>#N/A</v>
      </c>
      <c r="F1675">
        <f t="shared" si="373"/>
        <v>0</v>
      </c>
      <c r="G1675">
        <f t="shared" si="374"/>
        <v>0</v>
      </c>
      <c r="H1675">
        <f t="shared" si="375"/>
        <v>0</v>
      </c>
      <c r="I1675">
        <f t="shared" si="376"/>
        <v>0</v>
      </c>
      <c r="J1675">
        <f t="shared" si="377"/>
        <v>0</v>
      </c>
      <c r="K1675" s="4" t="e">
        <f t="shared" si="366"/>
        <v>#N/A</v>
      </c>
      <c r="L1675" t="e">
        <f t="shared" si="367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8"/>
        <v>0</v>
      </c>
      <c r="B1676">
        <f t="shared" si="369"/>
        <v>0</v>
      </c>
      <c r="C1676">
        <f t="shared" si="370"/>
        <v>0</v>
      </c>
      <c r="D1676">
        <f t="shared" si="371"/>
        <v>0</v>
      </c>
      <c r="E1676" t="e">
        <f t="shared" si="372"/>
        <v>#N/A</v>
      </c>
      <c r="F1676">
        <f t="shared" si="373"/>
        <v>0</v>
      </c>
      <c r="G1676">
        <f t="shared" si="374"/>
        <v>0</v>
      </c>
      <c r="H1676">
        <f t="shared" si="375"/>
        <v>0</v>
      </c>
      <c r="I1676">
        <f t="shared" si="376"/>
        <v>0</v>
      </c>
      <c r="J1676">
        <f t="shared" si="377"/>
        <v>0</v>
      </c>
      <c r="K1676" s="4" t="e">
        <f t="shared" si="366"/>
        <v>#N/A</v>
      </c>
      <c r="L1676" t="e">
        <f t="shared" si="367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8"/>
        <v>0</v>
      </c>
      <c r="B1677">
        <f t="shared" si="369"/>
        <v>0</v>
      </c>
      <c r="C1677">
        <f t="shared" si="370"/>
        <v>0</v>
      </c>
      <c r="D1677">
        <f t="shared" si="371"/>
        <v>0</v>
      </c>
      <c r="E1677" t="e">
        <f t="shared" si="372"/>
        <v>#N/A</v>
      </c>
      <c r="F1677">
        <f t="shared" si="373"/>
        <v>0</v>
      </c>
      <c r="G1677">
        <f t="shared" si="374"/>
        <v>0</v>
      </c>
      <c r="H1677">
        <f t="shared" si="375"/>
        <v>0</v>
      </c>
      <c r="I1677">
        <f t="shared" si="376"/>
        <v>0</v>
      </c>
      <c r="J1677">
        <f t="shared" si="377"/>
        <v>0</v>
      </c>
      <c r="K1677" s="4" t="e">
        <f t="shared" si="366"/>
        <v>#N/A</v>
      </c>
      <c r="L1677" t="e">
        <f t="shared" si="367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8"/>
        <v>0</v>
      </c>
      <c r="B1678">
        <f t="shared" si="369"/>
        <v>0</v>
      </c>
      <c r="C1678">
        <f t="shared" si="370"/>
        <v>0</v>
      </c>
      <c r="D1678">
        <f t="shared" si="371"/>
        <v>0</v>
      </c>
      <c r="E1678" t="e">
        <f t="shared" si="372"/>
        <v>#N/A</v>
      </c>
      <c r="F1678">
        <f t="shared" si="373"/>
        <v>0</v>
      </c>
      <c r="G1678">
        <f t="shared" si="374"/>
        <v>0</v>
      </c>
      <c r="H1678">
        <f t="shared" si="375"/>
        <v>0</v>
      </c>
      <c r="I1678">
        <f t="shared" si="376"/>
        <v>0</v>
      </c>
      <c r="J1678">
        <f t="shared" si="377"/>
        <v>0</v>
      </c>
      <c r="K1678" s="4" t="e">
        <f t="shared" si="366"/>
        <v>#N/A</v>
      </c>
      <c r="L1678" t="e">
        <f t="shared" si="367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8"/>
        <v>0</v>
      </c>
      <c r="B1679">
        <f t="shared" si="369"/>
        <v>0</v>
      </c>
      <c r="C1679">
        <f t="shared" si="370"/>
        <v>0</v>
      </c>
      <c r="D1679">
        <f t="shared" si="371"/>
        <v>0</v>
      </c>
      <c r="E1679" t="e">
        <f t="shared" si="372"/>
        <v>#N/A</v>
      </c>
      <c r="F1679">
        <f t="shared" si="373"/>
        <v>0</v>
      </c>
      <c r="G1679">
        <f t="shared" si="374"/>
        <v>0</v>
      </c>
      <c r="H1679">
        <f t="shared" si="375"/>
        <v>0</v>
      </c>
      <c r="I1679">
        <f t="shared" si="376"/>
        <v>0</v>
      </c>
      <c r="J1679">
        <f t="shared" si="377"/>
        <v>0</v>
      </c>
      <c r="K1679" s="4" t="e">
        <f t="shared" si="366"/>
        <v>#N/A</v>
      </c>
      <c r="L1679" t="e">
        <f t="shared" si="367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8"/>
        <v>0</v>
      </c>
      <c r="B1680">
        <f t="shared" si="369"/>
        <v>0</v>
      </c>
      <c r="C1680">
        <f t="shared" si="370"/>
        <v>0</v>
      </c>
      <c r="D1680">
        <f t="shared" si="371"/>
        <v>0</v>
      </c>
      <c r="E1680" t="e">
        <f t="shared" si="372"/>
        <v>#N/A</v>
      </c>
      <c r="F1680">
        <f t="shared" si="373"/>
        <v>0</v>
      </c>
      <c r="G1680">
        <f t="shared" si="374"/>
        <v>0</v>
      </c>
      <c r="H1680">
        <f t="shared" si="375"/>
        <v>0</v>
      </c>
      <c r="I1680">
        <f t="shared" si="376"/>
        <v>0</v>
      </c>
      <c r="J1680">
        <f t="shared" si="377"/>
        <v>0</v>
      </c>
      <c r="K1680" s="4" t="e">
        <f t="shared" si="366"/>
        <v>#N/A</v>
      </c>
      <c r="L1680" t="e">
        <f t="shared" si="367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8"/>
        <v>0</v>
      </c>
      <c r="B1681">
        <f t="shared" si="369"/>
        <v>0</v>
      </c>
      <c r="C1681">
        <f t="shared" si="370"/>
        <v>0</v>
      </c>
      <c r="D1681">
        <f t="shared" si="371"/>
        <v>0</v>
      </c>
      <c r="E1681" t="e">
        <f t="shared" si="372"/>
        <v>#N/A</v>
      </c>
      <c r="F1681">
        <f t="shared" si="373"/>
        <v>0</v>
      </c>
      <c r="G1681">
        <f t="shared" si="374"/>
        <v>0</v>
      </c>
      <c r="H1681">
        <f t="shared" si="375"/>
        <v>0</v>
      </c>
      <c r="I1681">
        <f t="shared" si="376"/>
        <v>0</v>
      </c>
      <c r="J1681">
        <f t="shared" si="377"/>
        <v>0</v>
      </c>
      <c r="K1681" s="4" t="e">
        <f t="shared" si="366"/>
        <v>#N/A</v>
      </c>
      <c r="L1681" t="e">
        <f t="shared" si="367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8"/>
        <v>0</v>
      </c>
      <c r="B1682">
        <f t="shared" si="369"/>
        <v>0</v>
      </c>
      <c r="C1682">
        <f t="shared" si="370"/>
        <v>0</v>
      </c>
      <c r="D1682">
        <f t="shared" si="371"/>
        <v>0</v>
      </c>
      <c r="E1682" t="e">
        <f t="shared" si="372"/>
        <v>#N/A</v>
      </c>
      <c r="F1682">
        <f t="shared" si="373"/>
        <v>0</v>
      </c>
      <c r="G1682">
        <f t="shared" si="374"/>
        <v>0</v>
      </c>
      <c r="H1682">
        <f t="shared" si="375"/>
        <v>0</v>
      </c>
      <c r="I1682">
        <f t="shared" si="376"/>
        <v>0</v>
      </c>
      <c r="J1682">
        <f t="shared" si="377"/>
        <v>0</v>
      </c>
      <c r="K1682" s="4" t="e">
        <f t="shared" si="366"/>
        <v>#N/A</v>
      </c>
      <c r="L1682" t="e">
        <f t="shared" si="367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8"/>
        <v>0</v>
      </c>
      <c r="B1683">
        <f t="shared" si="369"/>
        <v>0</v>
      </c>
      <c r="C1683">
        <f t="shared" si="370"/>
        <v>0</v>
      </c>
      <c r="D1683">
        <f t="shared" si="371"/>
        <v>0</v>
      </c>
      <c r="E1683" t="e">
        <f t="shared" si="372"/>
        <v>#N/A</v>
      </c>
      <c r="F1683">
        <f t="shared" si="373"/>
        <v>0</v>
      </c>
      <c r="G1683">
        <f t="shared" si="374"/>
        <v>0</v>
      </c>
      <c r="H1683">
        <f t="shared" si="375"/>
        <v>0</v>
      </c>
      <c r="I1683">
        <f t="shared" si="376"/>
        <v>0</v>
      </c>
      <c r="J1683">
        <f t="shared" si="377"/>
        <v>0</v>
      </c>
      <c r="K1683" s="4" t="e">
        <f t="shared" si="366"/>
        <v>#N/A</v>
      </c>
      <c r="L1683" t="e">
        <f t="shared" si="367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8"/>
        <v>0</v>
      </c>
      <c r="B1684">
        <f t="shared" si="369"/>
        <v>0</v>
      </c>
      <c r="C1684">
        <f t="shared" si="370"/>
        <v>0</v>
      </c>
      <c r="D1684">
        <f t="shared" si="371"/>
        <v>0</v>
      </c>
      <c r="E1684" t="e">
        <f t="shared" si="372"/>
        <v>#N/A</v>
      </c>
      <c r="F1684">
        <f t="shared" si="373"/>
        <v>0</v>
      </c>
      <c r="G1684">
        <f t="shared" si="374"/>
        <v>0</v>
      </c>
      <c r="H1684">
        <f t="shared" si="375"/>
        <v>0</v>
      </c>
      <c r="I1684">
        <f t="shared" si="376"/>
        <v>0</v>
      </c>
      <c r="J1684">
        <f t="shared" si="377"/>
        <v>0</v>
      </c>
      <c r="K1684" s="4" t="e">
        <f t="shared" si="366"/>
        <v>#N/A</v>
      </c>
      <c r="L1684" t="e">
        <f t="shared" si="367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8"/>
        <v>0</v>
      </c>
      <c r="B1685">
        <f t="shared" si="369"/>
        <v>0</v>
      </c>
      <c r="C1685">
        <f t="shared" si="370"/>
        <v>0</v>
      </c>
      <c r="D1685">
        <f t="shared" si="371"/>
        <v>0</v>
      </c>
      <c r="E1685" t="e">
        <f t="shared" si="372"/>
        <v>#N/A</v>
      </c>
      <c r="F1685">
        <f t="shared" si="373"/>
        <v>0</v>
      </c>
      <c r="G1685">
        <f t="shared" si="374"/>
        <v>0</v>
      </c>
      <c r="H1685">
        <f t="shared" si="375"/>
        <v>0</v>
      </c>
      <c r="I1685">
        <f t="shared" si="376"/>
        <v>0</v>
      </c>
      <c r="J1685">
        <f t="shared" si="377"/>
        <v>0</v>
      </c>
      <c r="K1685" s="4" t="e">
        <f t="shared" si="366"/>
        <v>#N/A</v>
      </c>
      <c r="L1685" t="e">
        <f t="shared" si="367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8"/>
        <v>0</v>
      </c>
      <c r="B1686">
        <f t="shared" si="369"/>
        <v>0</v>
      </c>
      <c r="C1686">
        <f t="shared" si="370"/>
        <v>0</v>
      </c>
      <c r="D1686">
        <f t="shared" si="371"/>
        <v>0</v>
      </c>
      <c r="E1686" t="e">
        <f t="shared" si="372"/>
        <v>#N/A</v>
      </c>
      <c r="F1686">
        <f t="shared" si="373"/>
        <v>0</v>
      </c>
      <c r="G1686">
        <f t="shared" si="374"/>
        <v>0</v>
      </c>
      <c r="H1686">
        <f t="shared" si="375"/>
        <v>0</v>
      </c>
      <c r="I1686">
        <f t="shared" si="376"/>
        <v>0</v>
      </c>
      <c r="J1686">
        <f t="shared" si="377"/>
        <v>0</v>
      </c>
      <c r="K1686" s="4" t="e">
        <f t="shared" si="366"/>
        <v>#N/A</v>
      </c>
      <c r="L1686" t="e">
        <f t="shared" si="367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8"/>
        <v>0</v>
      </c>
      <c r="B1687">
        <f t="shared" si="369"/>
        <v>0</v>
      </c>
      <c r="C1687">
        <f t="shared" si="370"/>
        <v>0</v>
      </c>
      <c r="D1687">
        <f t="shared" si="371"/>
        <v>0</v>
      </c>
      <c r="E1687" t="e">
        <f t="shared" si="372"/>
        <v>#N/A</v>
      </c>
      <c r="F1687">
        <f t="shared" si="373"/>
        <v>0</v>
      </c>
      <c r="G1687">
        <f t="shared" si="374"/>
        <v>0</v>
      </c>
      <c r="H1687">
        <f t="shared" si="375"/>
        <v>0</v>
      </c>
      <c r="I1687">
        <f t="shared" si="376"/>
        <v>0</v>
      </c>
      <c r="J1687">
        <f t="shared" si="377"/>
        <v>0</v>
      </c>
      <c r="K1687" s="4" t="e">
        <f t="shared" si="366"/>
        <v>#N/A</v>
      </c>
      <c r="L1687" t="e">
        <f t="shared" si="367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8"/>
        <v>0</v>
      </c>
      <c r="B1688">
        <f t="shared" si="369"/>
        <v>0</v>
      </c>
      <c r="C1688">
        <f t="shared" si="370"/>
        <v>0</v>
      </c>
      <c r="D1688">
        <f t="shared" si="371"/>
        <v>0</v>
      </c>
      <c r="E1688" t="e">
        <f t="shared" si="372"/>
        <v>#N/A</v>
      </c>
      <c r="F1688">
        <f t="shared" si="373"/>
        <v>0</v>
      </c>
      <c r="G1688">
        <f t="shared" si="374"/>
        <v>0</v>
      </c>
      <c r="H1688">
        <f t="shared" si="375"/>
        <v>0</v>
      </c>
      <c r="I1688">
        <f t="shared" si="376"/>
        <v>0</v>
      </c>
      <c r="J1688">
        <f t="shared" si="377"/>
        <v>0</v>
      </c>
      <c r="K1688" s="4" t="e">
        <f t="shared" si="366"/>
        <v>#N/A</v>
      </c>
      <c r="L1688" t="e">
        <f t="shared" si="367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8"/>
        <v>0</v>
      </c>
      <c r="B1689">
        <f t="shared" si="369"/>
        <v>0</v>
      </c>
      <c r="C1689">
        <f t="shared" si="370"/>
        <v>0</v>
      </c>
      <c r="D1689">
        <f t="shared" si="371"/>
        <v>0</v>
      </c>
      <c r="E1689" t="e">
        <f t="shared" si="372"/>
        <v>#N/A</v>
      </c>
      <c r="F1689">
        <f t="shared" si="373"/>
        <v>0</v>
      </c>
      <c r="G1689">
        <f t="shared" si="374"/>
        <v>0</v>
      </c>
      <c r="H1689">
        <f t="shared" si="375"/>
        <v>0</v>
      </c>
      <c r="I1689">
        <f t="shared" si="376"/>
        <v>0</v>
      </c>
      <c r="J1689">
        <f t="shared" si="377"/>
        <v>0</v>
      </c>
      <c r="K1689" s="4" t="e">
        <f t="shared" si="366"/>
        <v>#N/A</v>
      </c>
      <c r="L1689" t="e">
        <f t="shared" si="367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8"/>
        <v>0</v>
      </c>
      <c r="B1690">
        <f t="shared" si="369"/>
        <v>0</v>
      </c>
      <c r="C1690">
        <f t="shared" si="370"/>
        <v>0</v>
      </c>
      <c r="D1690">
        <f t="shared" si="371"/>
        <v>0</v>
      </c>
      <c r="E1690" t="e">
        <f t="shared" si="372"/>
        <v>#N/A</v>
      </c>
      <c r="F1690">
        <f t="shared" si="373"/>
        <v>0</v>
      </c>
      <c r="G1690">
        <f t="shared" si="374"/>
        <v>0</v>
      </c>
      <c r="H1690">
        <f t="shared" si="375"/>
        <v>0</v>
      </c>
      <c r="I1690">
        <f t="shared" si="376"/>
        <v>0</v>
      </c>
      <c r="J1690">
        <f t="shared" si="377"/>
        <v>0</v>
      </c>
      <c r="K1690" s="4" t="e">
        <f t="shared" si="366"/>
        <v>#N/A</v>
      </c>
      <c r="L1690" t="e">
        <f t="shared" si="367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8"/>
        <v>0</v>
      </c>
      <c r="B1691">
        <f t="shared" si="369"/>
        <v>0</v>
      </c>
      <c r="C1691">
        <f t="shared" si="370"/>
        <v>0</v>
      </c>
      <c r="D1691">
        <f t="shared" si="371"/>
        <v>0</v>
      </c>
      <c r="E1691" t="e">
        <f t="shared" si="372"/>
        <v>#N/A</v>
      </c>
      <c r="F1691">
        <f t="shared" si="373"/>
        <v>0</v>
      </c>
      <c r="G1691">
        <f t="shared" si="374"/>
        <v>0</v>
      </c>
      <c r="H1691">
        <f t="shared" si="375"/>
        <v>0</v>
      </c>
      <c r="I1691">
        <f t="shared" si="376"/>
        <v>0</v>
      </c>
      <c r="J1691">
        <f t="shared" si="377"/>
        <v>0</v>
      </c>
      <c r="K1691" s="4" t="e">
        <f t="shared" si="366"/>
        <v>#N/A</v>
      </c>
      <c r="L1691" t="e">
        <f t="shared" si="367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8"/>
        <v>0</v>
      </c>
      <c r="B1692">
        <f t="shared" si="369"/>
        <v>0</v>
      </c>
      <c r="C1692">
        <f t="shared" si="370"/>
        <v>0</v>
      </c>
      <c r="D1692">
        <f t="shared" si="371"/>
        <v>0</v>
      </c>
      <c r="E1692" t="e">
        <f t="shared" si="372"/>
        <v>#N/A</v>
      </c>
      <c r="F1692">
        <f t="shared" si="373"/>
        <v>0</v>
      </c>
      <c r="G1692">
        <f t="shared" si="374"/>
        <v>0</v>
      </c>
      <c r="H1692">
        <f t="shared" si="375"/>
        <v>0</v>
      </c>
      <c r="I1692">
        <f t="shared" si="376"/>
        <v>0</v>
      </c>
      <c r="J1692">
        <f t="shared" si="377"/>
        <v>0</v>
      </c>
      <c r="K1692" s="4" t="e">
        <f t="shared" si="366"/>
        <v>#N/A</v>
      </c>
      <c r="L1692" t="e">
        <f t="shared" si="367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8"/>
        <v>0</v>
      </c>
      <c r="B1693">
        <f t="shared" si="369"/>
        <v>0</v>
      </c>
      <c r="C1693">
        <f t="shared" si="370"/>
        <v>0</v>
      </c>
      <c r="D1693">
        <f t="shared" si="371"/>
        <v>0</v>
      </c>
      <c r="E1693" t="e">
        <f t="shared" si="372"/>
        <v>#N/A</v>
      </c>
      <c r="F1693">
        <f t="shared" si="373"/>
        <v>0</v>
      </c>
      <c r="G1693">
        <f t="shared" si="374"/>
        <v>0</v>
      </c>
      <c r="H1693">
        <f t="shared" si="375"/>
        <v>0</v>
      </c>
      <c r="I1693">
        <f t="shared" si="376"/>
        <v>0</v>
      </c>
      <c r="J1693">
        <f t="shared" si="377"/>
        <v>0</v>
      </c>
      <c r="K1693" s="4" t="e">
        <f t="shared" si="366"/>
        <v>#N/A</v>
      </c>
      <c r="L1693" t="e">
        <f t="shared" si="367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8"/>
        <v>0</v>
      </c>
      <c r="B1694">
        <f t="shared" si="369"/>
        <v>0</v>
      </c>
      <c r="C1694">
        <f t="shared" si="370"/>
        <v>0</v>
      </c>
      <c r="D1694">
        <f t="shared" si="371"/>
        <v>0</v>
      </c>
      <c r="E1694" t="e">
        <f t="shared" si="372"/>
        <v>#N/A</v>
      </c>
      <c r="F1694">
        <f t="shared" si="373"/>
        <v>0</v>
      </c>
      <c r="G1694">
        <f t="shared" si="374"/>
        <v>0</v>
      </c>
      <c r="H1694">
        <f t="shared" si="375"/>
        <v>0</v>
      </c>
      <c r="I1694">
        <f t="shared" si="376"/>
        <v>0</v>
      </c>
      <c r="J1694">
        <f t="shared" si="377"/>
        <v>0</v>
      </c>
      <c r="K1694" s="4" t="e">
        <f t="shared" si="366"/>
        <v>#N/A</v>
      </c>
      <c r="L1694" t="e">
        <f t="shared" si="367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8"/>
        <v>0</v>
      </c>
      <c r="B1695">
        <f t="shared" si="369"/>
        <v>0</v>
      </c>
      <c r="C1695">
        <f t="shared" si="370"/>
        <v>0</v>
      </c>
      <c r="D1695">
        <f t="shared" si="371"/>
        <v>0</v>
      </c>
      <c r="E1695" t="e">
        <f t="shared" si="372"/>
        <v>#N/A</v>
      </c>
      <c r="F1695">
        <f t="shared" si="373"/>
        <v>0</v>
      </c>
      <c r="G1695">
        <f t="shared" si="374"/>
        <v>0</v>
      </c>
      <c r="H1695">
        <f t="shared" si="375"/>
        <v>0</v>
      </c>
      <c r="I1695">
        <f t="shared" si="376"/>
        <v>0</v>
      </c>
      <c r="J1695">
        <f t="shared" si="377"/>
        <v>0</v>
      </c>
      <c r="K1695" s="4" t="e">
        <f t="shared" si="366"/>
        <v>#N/A</v>
      </c>
      <c r="L1695" t="e">
        <f t="shared" si="367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8"/>
        <v>0</v>
      </c>
      <c r="B1696">
        <f t="shared" si="369"/>
        <v>0</v>
      </c>
      <c r="C1696">
        <f t="shared" si="370"/>
        <v>0</v>
      </c>
      <c r="D1696">
        <f t="shared" si="371"/>
        <v>0</v>
      </c>
      <c r="E1696" t="e">
        <f t="shared" si="372"/>
        <v>#N/A</v>
      </c>
      <c r="F1696">
        <f t="shared" si="373"/>
        <v>0</v>
      </c>
      <c r="G1696">
        <f t="shared" si="374"/>
        <v>0</v>
      </c>
      <c r="H1696">
        <f t="shared" si="375"/>
        <v>0</v>
      </c>
      <c r="I1696">
        <f t="shared" si="376"/>
        <v>0</v>
      </c>
      <c r="J1696">
        <f t="shared" si="377"/>
        <v>0</v>
      </c>
      <c r="K1696" s="4" t="e">
        <f t="shared" si="366"/>
        <v>#N/A</v>
      </c>
      <c r="L1696" t="e">
        <f t="shared" si="367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8"/>
        <v>0</v>
      </c>
      <c r="B1697">
        <f t="shared" si="369"/>
        <v>0</v>
      </c>
      <c r="C1697">
        <f t="shared" si="370"/>
        <v>0</v>
      </c>
      <c r="D1697">
        <f t="shared" si="371"/>
        <v>0</v>
      </c>
      <c r="E1697" t="e">
        <f t="shared" si="372"/>
        <v>#N/A</v>
      </c>
      <c r="F1697">
        <f t="shared" si="373"/>
        <v>0</v>
      </c>
      <c r="G1697">
        <f t="shared" si="374"/>
        <v>0</v>
      </c>
      <c r="H1697">
        <f t="shared" si="375"/>
        <v>0</v>
      </c>
      <c r="I1697">
        <f t="shared" si="376"/>
        <v>0</v>
      </c>
      <c r="J1697">
        <f t="shared" si="377"/>
        <v>0</v>
      </c>
      <c r="K1697" s="4" t="e">
        <f t="shared" si="366"/>
        <v>#N/A</v>
      </c>
      <c r="L1697" t="e">
        <f t="shared" si="367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8"/>
        <v>0</v>
      </c>
      <c r="B1698">
        <f t="shared" si="369"/>
        <v>0</v>
      </c>
      <c r="C1698">
        <f t="shared" si="370"/>
        <v>0</v>
      </c>
      <c r="D1698">
        <f t="shared" si="371"/>
        <v>0</v>
      </c>
      <c r="E1698" t="e">
        <f t="shared" si="372"/>
        <v>#N/A</v>
      </c>
      <c r="F1698">
        <f t="shared" si="373"/>
        <v>0</v>
      </c>
      <c r="G1698">
        <f t="shared" si="374"/>
        <v>0</v>
      </c>
      <c r="H1698">
        <f t="shared" si="375"/>
        <v>0</v>
      </c>
      <c r="I1698">
        <f t="shared" si="376"/>
        <v>0</v>
      </c>
      <c r="J1698">
        <f t="shared" si="377"/>
        <v>0</v>
      </c>
      <c r="K1698" s="4" t="e">
        <f t="shared" si="366"/>
        <v>#N/A</v>
      </c>
      <c r="L1698" t="e">
        <f t="shared" si="367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8"/>
        <v>0</v>
      </c>
      <c r="B1699">
        <f t="shared" si="369"/>
        <v>0</v>
      </c>
      <c r="C1699">
        <f t="shared" si="370"/>
        <v>0</v>
      </c>
      <c r="D1699">
        <f t="shared" si="371"/>
        <v>0</v>
      </c>
      <c r="E1699" t="e">
        <f t="shared" si="372"/>
        <v>#N/A</v>
      </c>
      <c r="F1699">
        <f t="shared" si="373"/>
        <v>0</v>
      </c>
      <c r="G1699">
        <f t="shared" si="374"/>
        <v>0</v>
      </c>
      <c r="H1699">
        <f t="shared" si="375"/>
        <v>0</v>
      </c>
      <c r="I1699">
        <f t="shared" si="376"/>
        <v>0</v>
      </c>
      <c r="J1699">
        <f t="shared" si="377"/>
        <v>0</v>
      </c>
      <c r="K1699" s="4" t="e">
        <f t="shared" si="366"/>
        <v>#N/A</v>
      </c>
      <c r="L1699" t="e">
        <f t="shared" si="367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8"/>
        <v>0</v>
      </c>
      <c r="B1700">
        <f t="shared" si="369"/>
        <v>0</v>
      </c>
      <c r="C1700">
        <f t="shared" si="370"/>
        <v>0</v>
      </c>
      <c r="D1700">
        <f t="shared" si="371"/>
        <v>0</v>
      </c>
      <c r="E1700" t="e">
        <f t="shared" si="372"/>
        <v>#N/A</v>
      </c>
      <c r="F1700">
        <f t="shared" si="373"/>
        <v>0</v>
      </c>
      <c r="G1700">
        <f t="shared" si="374"/>
        <v>0</v>
      </c>
      <c r="H1700">
        <f t="shared" si="375"/>
        <v>0</v>
      </c>
      <c r="I1700">
        <f t="shared" si="376"/>
        <v>0</v>
      </c>
      <c r="J1700">
        <f t="shared" si="377"/>
        <v>0</v>
      </c>
      <c r="K1700" s="4" t="e">
        <f t="shared" si="366"/>
        <v>#N/A</v>
      </c>
      <c r="L1700" t="e">
        <f t="shared" si="367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8"/>
        <v>0</v>
      </c>
      <c r="B1701">
        <f t="shared" si="369"/>
        <v>0</v>
      </c>
      <c r="C1701">
        <f t="shared" si="370"/>
        <v>0</v>
      </c>
      <c r="D1701">
        <f t="shared" si="371"/>
        <v>0</v>
      </c>
      <c r="E1701" t="e">
        <f t="shared" si="372"/>
        <v>#N/A</v>
      </c>
      <c r="F1701">
        <f t="shared" si="373"/>
        <v>0</v>
      </c>
      <c r="G1701">
        <f t="shared" si="374"/>
        <v>0</v>
      </c>
      <c r="H1701">
        <f t="shared" si="375"/>
        <v>0</v>
      </c>
      <c r="I1701">
        <f t="shared" si="376"/>
        <v>0</v>
      </c>
      <c r="J1701">
        <f t="shared" si="377"/>
        <v>0</v>
      </c>
      <c r="K1701" s="4" t="e">
        <f t="shared" si="366"/>
        <v>#N/A</v>
      </c>
      <c r="L1701" t="e">
        <f t="shared" si="367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8"/>
        <v>0</v>
      </c>
      <c r="B1702">
        <f t="shared" si="369"/>
        <v>0</v>
      </c>
      <c r="C1702">
        <f t="shared" si="370"/>
        <v>0</v>
      </c>
      <c r="D1702">
        <f t="shared" si="371"/>
        <v>0</v>
      </c>
      <c r="E1702" t="e">
        <f t="shared" si="372"/>
        <v>#N/A</v>
      </c>
      <c r="F1702">
        <f t="shared" si="373"/>
        <v>0</v>
      </c>
      <c r="G1702">
        <f t="shared" si="374"/>
        <v>0</v>
      </c>
      <c r="H1702">
        <f t="shared" si="375"/>
        <v>0</v>
      </c>
      <c r="I1702">
        <f t="shared" si="376"/>
        <v>0</v>
      </c>
      <c r="J1702">
        <f t="shared" si="377"/>
        <v>0</v>
      </c>
      <c r="K1702" s="4" t="e">
        <f t="shared" si="366"/>
        <v>#N/A</v>
      </c>
      <c r="L1702" t="e">
        <f t="shared" si="367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8"/>
        <v>0</v>
      </c>
      <c r="B1703">
        <f t="shared" si="369"/>
        <v>0</v>
      </c>
      <c r="C1703">
        <f t="shared" si="370"/>
        <v>0</v>
      </c>
      <c r="D1703">
        <f t="shared" si="371"/>
        <v>0</v>
      </c>
      <c r="E1703" t="e">
        <f t="shared" si="372"/>
        <v>#N/A</v>
      </c>
      <c r="F1703">
        <f t="shared" si="373"/>
        <v>0</v>
      </c>
      <c r="G1703">
        <f t="shared" si="374"/>
        <v>0</v>
      </c>
      <c r="H1703">
        <f t="shared" si="375"/>
        <v>0</v>
      </c>
      <c r="I1703">
        <f t="shared" si="376"/>
        <v>0</v>
      </c>
      <c r="J1703">
        <f t="shared" si="377"/>
        <v>0</v>
      </c>
      <c r="K1703" s="4" t="e">
        <f t="shared" si="366"/>
        <v>#N/A</v>
      </c>
      <c r="L1703" t="e">
        <f t="shared" si="367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8"/>
        <v>0</v>
      </c>
      <c r="B1704">
        <f t="shared" si="369"/>
        <v>0</v>
      </c>
      <c r="C1704">
        <f t="shared" si="370"/>
        <v>0</v>
      </c>
      <c r="D1704">
        <f t="shared" si="371"/>
        <v>0</v>
      </c>
      <c r="E1704" t="e">
        <f t="shared" si="372"/>
        <v>#N/A</v>
      </c>
      <c r="F1704">
        <f t="shared" si="373"/>
        <v>0</v>
      </c>
      <c r="G1704">
        <f t="shared" si="374"/>
        <v>0</v>
      </c>
      <c r="H1704">
        <f t="shared" si="375"/>
        <v>0</v>
      </c>
      <c r="I1704">
        <f t="shared" si="376"/>
        <v>0</v>
      </c>
      <c r="J1704">
        <f t="shared" si="377"/>
        <v>0</v>
      </c>
      <c r="K1704" s="4" t="e">
        <f t="shared" si="366"/>
        <v>#N/A</v>
      </c>
      <c r="L1704" t="e">
        <f t="shared" si="367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8"/>
        <v>0</v>
      </c>
      <c r="B1705">
        <f t="shared" si="369"/>
        <v>0</v>
      </c>
      <c r="C1705">
        <f t="shared" si="370"/>
        <v>0</v>
      </c>
      <c r="D1705">
        <f t="shared" si="371"/>
        <v>0</v>
      </c>
      <c r="E1705" t="e">
        <f t="shared" si="372"/>
        <v>#N/A</v>
      </c>
      <c r="F1705">
        <f t="shared" si="373"/>
        <v>0</v>
      </c>
      <c r="G1705">
        <f t="shared" si="374"/>
        <v>0</v>
      </c>
      <c r="H1705">
        <f t="shared" si="375"/>
        <v>0</v>
      </c>
      <c r="I1705">
        <f t="shared" si="376"/>
        <v>0</v>
      </c>
      <c r="J1705">
        <f t="shared" si="377"/>
        <v>0</v>
      </c>
      <c r="K1705" s="4" t="e">
        <f t="shared" si="366"/>
        <v>#N/A</v>
      </c>
      <c r="L1705" t="e">
        <f t="shared" si="367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8"/>
        <v>0</v>
      </c>
      <c r="B1706">
        <f t="shared" si="369"/>
        <v>0</v>
      </c>
      <c r="C1706">
        <f t="shared" si="370"/>
        <v>0</v>
      </c>
      <c r="D1706">
        <f t="shared" si="371"/>
        <v>0</v>
      </c>
      <c r="E1706" t="e">
        <f t="shared" si="372"/>
        <v>#N/A</v>
      </c>
      <c r="F1706">
        <f t="shared" si="373"/>
        <v>0</v>
      </c>
      <c r="G1706">
        <f t="shared" si="374"/>
        <v>0</v>
      </c>
      <c r="H1706">
        <f t="shared" si="375"/>
        <v>0</v>
      </c>
      <c r="I1706">
        <f t="shared" si="376"/>
        <v>0</v>
      </c>
      <c r="J1706">
        <f t="shared" si="377"/>
        <v>0</v>
      </c>
      <c r="K1706" s="4" t="e">
        <f t="shared" si="366"/>
        <v>#N/A</v>
      </c>
      <c r="L1706" t="e">
        <f t="shared" si="367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8"/>
        <v>0</v>
      </c>
      <c r="B1707">
        <f t="shared" si="369"/>
        <v>0</v>
      </c>
      <c r="C1707">
        <f t="shared" si="370"/>
        <v>0</v>
      </c>
      <c r="D1707">
        <f t="shared" si="371"/>
        <v>0</v>
      </c>
      <c r="E1707" t="e">
        <f t="shared" si="372"/>
        <v>#N/A</v>
      </c>
      <c r="F1707">
        <f t="shared" si="373"/>
        <v>0</v>
      </c>
      <c r="G1707">
        <f t="shared" si="374"/>
        <v>0</v>
      </c>
      <c r="H1707">
        <f t="shared" si="375"/>
        <v>0</v>
      </c>
      <c r="I1707">
        <f t="shared" si="376"/>
        <v>0</v>
      </c>
      <c r="J1707">
        <f t="shared" si="377"/>
        <v>0</v>
      </c>
      <c r="K1707" s="4" t="e">
        <f t="shared" si="366"/>
        <v>#N/A</v>
      </c>
      <c r="L1707" t="e">
        <f t="shared" si="367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8"/>
        <v>0</v>
      </c>
      <c r="B1708">
        <f t="shared" si="369"/>
        <v>0</v>
      </c>
      <c r="C1708">
        <f t="shared" si="370"/>
        <v>0</v>
      </c>
      <c r="D1708">
        <f t="shared" si="371"/>
        <v>0</v>
      </c>
      <c r="E1708" t="e">
        <f t="shared" si="372"/>
        <v>#N/A</v>
      </c>
      <c r="F1708">
        <f t="shared" si="373"/>
        <v>0</v>
      </c>
      <c r="G1708">
        <f t="shared" si="374"/>
        <v>0</v>
      </c>
      <c r="H1708">
        <f t="shared" si="375"/>
        <v>0</v>
      </c>
      <c r="I1708">
        <f t="shared" si="376"/>
        <v>0</v>
      </c>
      <c r="J1708">
        <f t="shared" si="377"/>
        <v>0</v>
      </c>
      <c r="K1708" s="4" t="e">
        <f t="shared" ref="K1708:K1771" si="380">IF(LEFT(B1708,3)="DBM",0,VLOOKUP(E1708,tabela,2,FALSE))</f>
        <v>#N/A</v>
      </c>
      <c r="L1708" t="e">
        <f t="shared" ref="L1708:L1771" si="381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8"/>
        <v>0</v>
      </c>
      <c r="B1709">
        <f t="shared" si="369"/>
        <v>0</v>
      </c>
      <c r="C1709">
        <f t="shared" si="370"/>
        <v>0</v>
      </c>
      <c r="D1709">
        <f t="shared" si="371"/>
        <v>0</v>
      </c>
      <c r="E1709" t="e">
        <f t="shared" si="372"/>
        <v>#N/A</v>
      </c>
      <c r="F1709">
        <f t="shared" si="373"/>
        <v>0</v>
      </c>
      <c r="G1709">
        <f t="shared" si="374"/>
        <v>0</v>
      </c>
      <c r="H1709">
        <f t="shared" si="375"/>
        <v>0</v>
      </c>
      <c r="I1709">
        <f t="shared" si="376"/>
        <v>0</v>
      </c>
      <c r="J1709">
        <f t="shared" si="377"/>
        <v>0</v>
      </c>
      <c r="K1709" s="4" t="e">
        <f t="shared" si="380"/>
        <v>#N/A</v>
      </c>
      <c r="L1709" t="e">
        <f t="shared" si="381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8"/>
        <v>0</v>
      </c>
      <c r="B1710">
        <f t="shared" si="369"/>
        <v>0</v>
      </c>
      <c r="C1710">
        <f t="shared" si="370"/>
        <v>0</v>
      </c>
      <c r="D1710">
        <f t="shared" si="371"/>
        <v>0</v>
      </c>
      <c r="E1710" t="e">
        <f t="shared" si="372"/>
        <v>#N/A</v>
      </c>
      <c r="F1710">
        <f t="shared" si="373"/>
        <v>0</v>
      </c>
      <c r="G1710">
        <f t="shared" si="374"/>
        <v>0</v>
      </c>
      <c r="H1710">
        <f t="shared" si="375"/>
        <v>0</v>
      </c>
      <c r="I1710">
        <f t="shared" si="376"/>
        <v>0</v>
      </c>
      <c r="J1710">
        <f t="shared" si="377"/>
        <v>0</v>
      </c>
      <c r="K1710" s="4" t="e">
        <f t="shared" si="380"/>
        <v>#N/A</v>
      </c>
      <c r="L1710" t="e">
        <f t="shared" si="381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8"/>
        <v>0</v>
      </c>
      <c r="B1711">
        <f t="shared" si="369"/>
        <v>0</v>
      </c>
      <c r="C1711">
        <f t="shared" si="370"/>
        <v>0</v>
      </c>
      <c r="D1711">
        <f t="shared" si="371"/>
        <v>0</v>
      </c>
      <c r="E1711" t="e">
        <f t="shared" si="372"/>
        <v>#N/A</v>
      </c>
      <c r="F1711">
        <f t="shared" si="373"/>
        <v>0</v>
      </c>
      <c r="G1711">
        <f t="shared" si="374"/>
        <v>0</v>
      </c>
      <c r="H1711">
        <f t="shared" si="375"/>
        <v>0</v>
      </c>
      <c r="I1711">
        <f t="shared" si="376"/>
        <v>0</v>
      </c>
      <c r="J1711">
        <f t="shared" si="377"/>
        <v>0</v>
      </c>
      <c r="K1711" s="4" t="e">
        <f t="shared" si="380"/>
        <v>#N/A</v>
      </c>
      <c r="L1711" t="e">
        <f t="shared" si="381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8"/>
        <v>0</v>
      </c>
      <c r="B1712">
        <f t="shared" si="369"/>
        <v>0</v>
      </c>
      <c r="C1712">
        <f t="shared" si="370"/>
        <v>0</v>
      </c>
      <c r="D1712">
        <f t="shared" si="371"/>
        <v>0</v>
      </c>
      <c r="E1712" t="e">
        <f t="shared" si="372"/>
        <v>#N/A</v>
      </c>
      <c r="F1712">
        <f t="shared" si="373"/>
        <v>0</v>
      </c>
      <c r="G1712">
        <f t="shared" si="374"/>
        <v>0</v>
      </c>
      <c r="H1712">
        <f t="shared" si="375"/>
        <v>0</v>
      </c>
      <c r="I1712">
        <f t="shared" si="376"/>
        <v>0</v>
      </c>
      <c r="J1712">
        <f t="shared" si="377"/>
        <v>0</v>
      </c>
      <c r="K1712" s="4" t="e">
        <f t="shared" si="380"/>
        <v>#N/A</v>
      </c>
      <c r="L1712" t="e">
        <f t="shared" si="381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8"/>
        <v>0</v>
      </c>
      <c r="B1713">
        <f t="shared" si="369"/>
        <v>0</v>
      </c>
      <c r="C1713">
        <f t="shared" si="370"/>
        <v>0</v>
      </c>
      <c r="D1713">
        <f t="shared" si="371"/>
        <v>0</v>
      </c>
      <c r="E1713" t="e">
        <f t="shared" si="372"/>
        <v>#N/A</v>
      </c>
      <c r="F1713">
        <f t="shared" si="373"/>
        <v>0</v>
      </c>
      <c r="G1713">
        <f t="shared" si="374"/>
        <v>0</v>
      </c>
      <c r="H1713">
        <f t="shared" si="375"/>
        <v>0</v>
      </c>
      <c r="I1713">
        <f t="shared" si="376"/>
        <v>0</v>
      </c>
      <c r="J1713">
        <f t="shared" si="377"/>
        <v>0</v>
      </c>
      <c r="K1713" s="4" t="e">
        <f t="shared" si="380"/>
        <v>#N/A</v>
      </c>
      <c r="L1713" t="e">
        <f t="shared" si="381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8"/>
        <v>0</v>
      </c>
      <c r="B1714">
        <f t="shared" si="369"/>
        <v>0</v>
      </c>
      <c r="C1714">
        <f t="shared" si="370"/>
        <v>0</v>
      </c>
      <c r="D1714">
        <f t="shared" si="371"/>
        <v>0</v>
      </c>
      <c r="E1714" t="e">
        <f t="shared" si="372"/>
        <v>#N/A</v>
      </c>
      <c r="F1714">
        <f t="shared" si="373"/>
        <v>0</v>
      </c>
      <c r="G1714">
        <f t="shared" si="374"/>
        <v>0</v>
      </c>
      <c r="H1714">
        <f t="shared" si="375"/>
        <v>0</v>
      </c>
      <c r="I1714">
        <f t="shared" si="376"/>
        <v>0</v>
      </c>
      <c r="J1714">
        <f t="shared" si="377"/>
        <v>0</v>
      </c>
      <c r="K1714" s="4" t="e">
        <f t="shared" si="380"/>
        <v>#N/A</v>
      </c>
      <c r="L1714" t="e">
        <f t="shared" si="381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8"/>
        <v>0</v>
      </c>
      <c r="B1715">
        <f t="shared" si="369"/>
        <v>0</v>
      </c>
      <c r="C1715">
        <f t="shared" si="370"/>
        <v>0</v>
      </c>
      <c r="D1715">
        <f t="shared" si="371"/>
        <v>0</v>
      </c>
      <c r="E1715" t="e">
        <f t="shared" si="372"/>
        <v>#N/A</v>
      </c>
      <c r="F1715">
        <f t="shared" si="373"/>
        <v>0</v>
      </c>
      <c r="G1715">
        <f t="shared" si="374"/>
        <v>0</v>
      </c>
      <c r="H1715">
        <f t="shared" si="375"/>
        <v>0</v>
      </c>
      <c r="I1715">
        <f t="shared" si="376"/>
        <v>0</v>
      </c>
      <c r="J1715">
        <f t="shared" si="377"/>
        <v>0</v>
      </c>
      <c r="K1715" s="4" t="e">
        <f t="shared" si="380"/>
        <v>#N/A</v>
      </c>
      <c r="L1715" t="e">
        <f t="shared" si="381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8"/>
        <v>0</v>
      </c>
      <c r="B1716">
        <f t="shared" si="369"/>
        <v>0</v>
      </c>
      <c r="C1716">
        <f t="shared" si="370"/>
        <v>0</v>
      </c>
      <c r="D1716">
        <f t="shared" si="371"/>
        <v>0</v>
      </c>
      <c r="E1716" t="e">
        <f t="shared" si="372"/>
        <v>#N/A</v>
      </c>
      <c r="F1716">
        <f t="shared" si="373"/>
        <v>0</v>
      </c>
      <c r="G1716">
        <f t="shared" si="374"/>
        <v>0</v>
      </c>
      <c r="H1716">
        <f t="shared" si="375"/>
        <v>0</v>
      </c>
      <c r="I1716">
        <f t="shared" si="376"/>
        <v>0</v>
      </c>
      <c r="J1716">
        <f t="shared" si="377"/>
        <v>0</v>
      </c>
      <c r="K1716" s="4" t="e">
        <f t="shared" si="380"/>
        <v>#N/A</v>
      </c>
      <c r="L1716" t="e">
        <f t="shared" si="381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8"/>
        <v>0</v>
      </c>
      <c r="B1717">
        <f t="shared" si="369"/>
        <v>0</v>
      </c>
      <c r="C1717">
        <f t="shared" si="370"/>
        <v>0</v>
      </c>
      <c r="D1717">
        <f t="shared" si="371"/>
        <v>0</v>
      </c>
      <c r="E1717" t="e">
        <f t="shared" si="372"/>
        <v>#N/A</v>
      </c>
      <c r="F1717">
        <f t="shared" si="373"/>
        <v>0</v>
      </c>
      <c r="G1717">
        <f t="shared" si="374"/>
        <v>0</v>
      </c>
      <c r="H1717">
        <f t="shared" si="375"/>
        <v>0</v>
      </c>
      <c r="I1717">
        <f t="shared" si="376"/>
        <v>0</v>
      </c>
      <c r="J1717">
        <f t="shared" si="377"/>
        <v>0</v>
      </c>
      <c r="K1717" s="4" t="e">
        <f t="shared" si="380"/>
        <v>#N/A</v>
      </c>
      <c r="L1717" t="e">
        <f t="shared" si="381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8"/>
        <v>0</v>
      </c>
      <c r="B1718">
        <f t="shared" si="369"/>
        <v>0</v>
      </c>
      <c r="C1718">
        <f t="shared" si="370"/>
        <v>0</v>
      </c>
      <c r="D1718">
        <f t="shared" si="371"/>
        <v>0</v>
      </c>
      <c r="E1718" t="e">
        <f t="shared" si="372"/>
        <v>#N/A</v>
      </c>
      <c r="F1718">
        <f t="shared" si="373"/>
        <v>0</v>
      </c>
      <c r="G1718">
        <f t="shared" si="374"/>
        <v>0</v>
      </c>
      <c r="H1718">
        <f t="shared" si="375"/>
        <v>0</v>
      </c>
      <c r="I1718">
        <f t="shared" si="376"/>
        <v>0</v>
      </c>
      <c r="J1718">
        <f t="shared" si="377"/>
        <v>0</v>
      </c>
      <c r="K1718" s="4" t="e">
        <f t="shared" si="380"/>
        <v>#N/A</v>
      </c>
      <c r="L1718" t="e">
        <f t="shared" si="381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8"/>
        <v>0</v>
      </c>
      <c r="B1719">
        <f t="shared" si="369"/>
        <v>0</v>
      </c>
      <c r="C1719">
        <f t="shared" si="370"/>
        <v>0</v>
      </c>
      <c r="D1719">
        <f t="shared" si="371"/>
        <v>0</v>
      </c>
      <c r="E1719" t="e">
        <f t="shared" si="372"/>
        <v>#N/A</v>
      </c>
      <c r="F1719">
        <f t="shared" si="373"/>
        <v>0</v>
      </c>
      <c r="G1719">
        <f t="shared" si="374"/>
        <v>0</v>
      </c>
      <c r="H1719">
        <f t="shared" si="375"/>
        <v>0</v>
      </c>
      <c r="I1719">
        <f t="shared" si="376"/>
        <v>0</v>
      </c>
      <c r="J1719">
        <f t="shared" si="377"/>
        <v>0</v>
      </c>
      <c r="K1719" s="4" t="e">
        <f t="shared" si="380"/>
        <v>#N/A</v>
      </c>
      <c r="L1719" t="e">
        <f t="shared" si="381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8"/>
        <v>0</v>
      </c>
      <c r="B1720">
        <f t="shared" si="369"/>
        <v>0</v>
      </c>
      <c r="C1720">
        <f t="shared" si="370"/>
        <v>0</v>
      </c>
      <c r="D1720">
        <f t="shared" si="371"/>
        <v>0</v>
      </c>
      <c r="E1720" t="e">
        <f t="shared" si="372"/>
        <v>#N/A</v>
      </c>
      <c r="F1720">
        <f t="shared" si="373"/>
        <v>0</v>
      </c>
      <c r="G1720">
        <f t="shared" si="374"/>
        <v>0</v>
      </c>
      <c r="H1720">
        <f t="shared" si="375"/>
        <v>0</v>
      </c>
      <c r="I1720">
        <f t="shared" si="376"/>
        <v>0</v>
      </c>
      <c r="J1720">
        <f t="shared" si="377"/>
        <v>0</v>
      </c>
      <c r="K1720" s="4" t="e">
        <f t="shared" si="380"/>
        <v>#N/A</v>
      </c>
      <c r="L1720" t="e">
        <f t="shared" si="381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8"/>
        <v>0</v>
      </c>
      <c r="B1721">
        <f t="shared" si="369"/>
        <v>0</v>
      </c>
      <c r="C1721">
        <f t="shared" si="370"/>
        <v>0</v>
      </c>
      <c r="D1721">
        <f t="shared" si="371"/>
        <v>0</v>
      </c>
      <c r="E1721" t="e">
        <f t="shared" si="372"/>
        <v>#N/A</v>
      </c>
      <c r="F1721">
        <f t="shared" si="373"/>
        <v>0</v>
      </c>
      <c r="G1721">
        <f t="shared" si="374"/>
        <v>0</v>
      </c>
      <c r="H1721">
        <f t="shared" si="375"/>
        <v>0</v>
      </c>
      <c r="I1721">
        <f t="shared" si="376"/>
        <v>0</v>
      </c>
      <c r="J1721">
        <f t="shared" si="377"/>
        <v>0</v>
      </c>
      <c r="K1721" s="4" t="e">
        <f t="shared" si="380"/>
        <v>#N/A</v>
      </c>
      <c r="L1721" t="e">
        <f t="shared" si="381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8"/>
        <v>0</v>
      </c>
      <c r="B1722">
        <f t="shared" si="369"/>
        <v>0</v>
      </c>
      <c r="C1722">
        <f t="shared" si="370"/>
        <v>0</v>
      </c>
      <c r="D1722">
        <f t="shared" si="371"/>
        <v>0</v>
      </c>
      <c r="E1722" t="e">
        <f t="shared" si="372"/>
        <v>#N/A</v>
      </c>
      <c r="F1722">
        <f t="shared" si="373"/>
        <v>0</v>
      </c>
      <c r="G1722">
        <f t="shared" si="374"/>
        <v>0</v>
      </c>
      <c r="H1722">
        <f t="shared" si="375"/>
        <v>0</v>
      </c>
      <c r="I1722">
        <f t="shared" si="376"/>
        <v>0</v>
      </c>
      <c r="J1722">
        <f t="shared" si="377"/>
        <v>0</v>
      </c>
      <c r="K1722" s="4" t="e">
        <f t="shared" si="380"/>
        <v>#N/A</v>
      </c>
      <c r="L1722" t="e">
        <f t="shared" si="381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8"/>
        <v>0</v>
      </c>
      <c r="B1723">
        <f t="shared" si="369"/>
        <v>0</v>
      </c>
      <c r="C1723">
        <f t="shared" si="370"/>
        <v>0</v>
      </c>
      <c r="D1723">
        <f t="shared" si="371"/>
        <v>0</v>
      </c>
      <c r="E1723" t="e">
        <f t="shared" si="372"/>
        <v>#N/A</v>
      </c>
      <c r="F1723">
        <f t="shared" si="373"/>
        <v>0</v>
      </c>
      <c r="G1723">
        <f t="shared" si="374"/>
        <v>0</v>
      </c>
      <c r="H1723">
        <f t="shared" si="375"/>
        <v>0</v>
      </c>
      <c r="I1723">
        <f t="shared" si="376"/>
        <v>0</v>
      </c>
      <c r="J1723">
        <f t="shared" si="377"/>
        <v>0</v>
      </c>
      <c r="K1723" s="4" t="e">
        <f t="shared" si="380"/>
        <v>#N/A</v>
      </c>
      <c r="L1723" t="e">
        <f t="shared" si="381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8"/>
        <v>0</v>
      </c>
      <c r="B1724">
        <f t="shared" si="369"/>
        <v>0</v>
      </c>
      <c r="C1724">
        <f t="shared" si="370"/>
        <v>0</v>
      </c>
      <c r="D1724">
        <f t="shared" si="371"/>
        <v>0</v>
      </c>
      <c r="E1724" t="e">
        <f t="shared" si="372"/>
        <v>#N/A</v>
      </c>
      <c r="F1724">
        <f t="shared" si="373"/>
        <v>0</v>
      </c>
      <c r="G1724">
        <f t="shared" si="374"/>
        <v>0</v>
      </c>
      <c r="H1724">
        <f t="shared" si="375"/>
        <v>0</v>
      </c>
      <c r="I1724">
        <f t="shared" si="376"/>
        <v>0</v>
      </c>
      <c r="J1724">
        <f t="shared" si="377"/>
        <v>0</v>
      </c>
      <c r="K1724" s="4" t="e">
        <f t="shared" si="380"/>
        <v>#N/A</v>
      </c>
      <c r="L1724" t="e">
        <f t="shared" si="381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8"/>
        <v>0</v>
      </c>
      <c r="B1725">
        <f t="shared" si="369"/>
        <v>0</v>
      </c>
      <c r="C1725">
        <f t="shared" si="370"/>
        <v>0</v>
      </c>
      <c r="D1725">
        <f t="shared" si="371"/>
        <v>0</v>
      </c>
      <c r="E1725" t="e">
        <f t="shared" si="372"/>
        <v>#N/A</v>
      </c>
      <c r="F1725">
        <f t="shared" si="373"/>
        <v>0</v>
      </c>
      <c r="G1725">
        <f t="shared" si="374"/>
        <v>0</v>
      </c>
      <c r="H1725">
        <f t="shared" si="375"/>
        <v>0</v>
      </c>
      <c r="I1725">
        <f t="shared" si="376"/>
        <v>0</v>
      </c>
      <c r="J1725">
        <f t="shared" si="377"/>
        <v>0</v>
      </c>
      <c r="K1725" s="4" t="e">
        <f t="shared" si="380"/>
        <v>#N/A</v>
      </c>
      <c r="L1725" t="e">
        <f t="shared" si="381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8"/>
        <v>0</v>
      </c>
      <c r="B1726">
        <f t="shared" si="369"/>
        <v>0</v>
      </c>
      <c r="C1726">
        <f t="shared" si="370"/>
        <v>0</v>
      </c>
      <c r="D1726">
        <f t="shared" si="371"/>
        <v>0</v>
      </c>
      <c r="E1726" t="e">
        <f t="shared" si="372"/>
        <v>#N/A</v>
      </c>
      <c r="F1726">
        <f t="shared" si="373"/>
        <v>0</v>
      </c>
      <c r="G1726">
        <f t="shared" si="374"/>
        <v>0</v>
      </c>
      <c r="H1726">
        <f t="shared" si="375"/>
        <v>0</v>
      </c>
      <c r="I1726">
        <f t="shared" si="376"/>
        <v>0</v>
      </c>
      <c r="J1726">
        <f t="shared" si="377"/>
        <v>0</v>
      </c>
      <c r="K1726" s="4" t="e">
        <f t="shared" si="380"/>
        <v>#N/A</v>
      </c>
      <c r="L1726" t="e">
        <f t="shared" si="381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8"/>
        <v>0</v>
      </c>
      <c r="B1727">
        <f t="shared" si="369"/>
        <v>0</v>
      </c>
      <c r="C1727">
        <f t="shared" si="370"/>
        <v>0</v>
      </c>
      <c r="D1727">
        <f t="shared" si="371"/>
        <v>0</v>
      </c>
      <c r="E1727" t="e">
        <f t="shared" si="372"/>
        <v>#N/A</v>
      </c>
      <c r="F1727">
        <f t="shared" si="373"/>
        <v>0</v>
      </c>
      <c r="G1727">
        <f t="shared" si="374"/>
        <v>0</v>
      </c>
      <c r="H1727">
        <f t="shared" si="375"/>
        <v>0</v>
      </c>
      <c r="I1727">
        <f t="shared" si="376"/>
        <v>0</v>
      </c>
      <c r="J1727">
        <f t="shared" si="377"/>
        <v>0</v>
      </c>
      <c r="K1727" s="4" t="e">
        <f t="shared" si="380"/>
        <v>#N/A</v>
      </c>
      <c r="L1727" t="e">
        <f t="shared" si="381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8"/>
        <v>0</v>
      </c>
      <c r="B1728">
        <f t="shared" si="369"/>
        <v>0</v>
      </c>
      <c r="C1728">
        <f t="shared" si="370"/>
        <v>0</v>
      </c>
      <c r="D1728">
        <f t="shared" si="371"/>
        <v>0</v>
      </c>
      <c r="E1728" t="e">
        <f t="shared" si="372"/>
        <v>#N/A</v>
      </c>
      <c r="F1728">
        <f t="shared" si="373"/>
        <v>0</v>
      </c>
      <c r="G1728">
        <f t="shared" si="374"/>
        <v>0</v>
      </c>
      <c r="H1728">
        <f t="shared" si="375"/>
        <v>0</v>
      </c>
      <c r="I1728">
        <f t="shared" si="376"/>
        <v>0</v>
      </c>
      <c r="J1728">
        <f t="shared" si="377"/>
        <v>0</v>
      </c>
      <c r="K1728" s="4" t="e">
        <f t="shared" si="380"/>
        <v>#N/A</v>
      </c>
      <c r="L1728" t="e">
        <f t="shared" si="381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8"/>
        <v>0</v>
      </c>
      <c r="B1729">
        <f t="shared" si="369"/>
        <v>0</v>
      </c>
      <c r="C1729">
        <f t="shared" si="370"/>
        <v>0</v>
      </c>
      <c r="D1729">
        <f t="shared" si="371"/>
        <v>0</v>
      </c>
      <c r="E1729" t="e">
        <f t="shared" si="372"/>
        <v>#N/A</v>
      </c>
      <c r="F1729">
        <f t="shared" si="373"/>
        <v>0</v>
      </c>
      <c r="G1729">
        <f t="shared" si="374"/>
        <v>0</v>
      </c>
      <c r="H1729">
        <f t="shared" si="375"/>
        <v>0</v>
      </c>
      <c r="I1729">
        <f t="shared" si="376"/>
        <v>0</v>
      </c>
      <c r="J1729">
        <f t="shared" si="377"/>
        <v>0</v>
      </c>
      <c r="K1729" s="4" t="e">
        <f t="shared" si="380"/>
        <v>#N/A</v>
      </c>
      <c r="L1729" t="e">
        <f t="shared" si="381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2">bd_campaign</f>
        <v>0</v>
      </c>
      <c r="B1730">
        <f t="shared" ref="B1730:B1793" si="383">bd_site</f>
        <v>0</v>
      </c>
      <c r="C1730">
        <f t="shared" ref="C1730:C1793" si="384">bd_placement</f>
        <v>0</v>
      </c>
      <c r="D1730">
        <f t="shared" ref="D1730:D1793" si="385">bd_placementID</f>
        <v>0</v>
      </c>
      <c r="E1730" t="e">
        <f t="shared" ref="E1730:E1793" si="386">VLOOKUP(CONCATENATE(bd_adtype,"_",bd_creativetype),tabela,2,FALSE)</f>
        <v>#N/A</v>
      </c>
      <c r="F1730">
        <f t="shared" ref="F1730:F1793" si="387">bd_ad</f>
        <v>0</v>
      </c>
      <c r="G1730">
        <f t="shared" ref="G1730:G1793" si="388">bd_adid</f>
        <v>0</v>
      </c>
      <c r="H1730">
        <f t="shared" ref="H1730:H1793" si="389">bd_creativetype</f>
        <v>0</v>
      </c>
      <c r="I1730">
        <f t="shared" ref="I1730:I1793" si="390">bd_impression</f>
        <v>0</v>
      </c>
      <c r="J1730">
        <f t="shared" ref="J1730:J1793" si="391">bd_clicks</f>
        <v>0</v>
      </c>
      <c r="K1730" s="4" t="e">
        <f t="shared" si="380"/>
        <v>#N/A</v>
      </c>
      <c r="L1730" t="e">
        <f t="shared" si="381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2"/>
        <v>0</v>
      </c>
      <c r="B1731">
        <f t="shared" si="383"/>
        <v>0</v>
      </c>
      <c r="C1731">
        <f t="shared" si="384"/>
        <v>0</v>
      </c>
      <c r="D1731">
        <f t="shared" si="385"/>
        <v>0</v>
      </c>
      <c r="E1731" t="e">
        <f t="shared" si="386"/>
        <v>#N/A</v>
      </c>
      <c r="F1731">
        <f t="shared" si="387"/>
        <v>0</v>
      </c>
      <c r="G1731">
        <f t="shared" si="388"/>
        <v>0</v>
      </c>
      <c r="H1731">
        <f t="shared" si="389"/>
        <v>0</v>
      </c>
      <c r="I1731">
        <f t="shared" si="390"/>
        <v>0</v>
      </c>
      <c r="J1731">
        <f t="shared" si="391"/>
        <v>0</v>
      </c>
      <c r="K1731" s="4" t="e">
        <f t="shared" si="380"/>
        <v>#N/A</v>
      </c>
      <c r="L1731" t="e">
        <f t="shared" si="381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2"/>
        <v>0</v>
      </c>
      <c r="B1732">
        <f t="shared" si="383"/>
        <v>0</v>
      </c>
      <c r="C1732">
        <f t="shared" si="384"/>
        <v>0</v>
      </c>
      <c r="D1732">
        <f t="shared" si="385"/>
        <v>0</v>
      </c>
      <c r="E1732" t="e">
        <f t="shared" si="386"/>
        <v>#N/A</v>
      </c>
      <c r="F1732">
        <f t="shared" si="387"/>
        <v>0</v>
      </c>
      <c r="G1732">
        <f t="shared" si="388"/>
        <v>0</v>
      </c>
      <c r="H1732">
        <f t="shared" si="389"/>
        <v>0</v>
      </c>
      <c r="I1732">
        <f t="shared" si="390"/>
        <v>0</v>
      </c>
      <c r="J1732">
        <f t="shared" si="391"/>
        <v>0</v>
      </c>
      <c r="K1732" s="4" t="e">
        <f t="shared" si="380"/>
        <v>#N/A</v>
      </c>
      <c r="L1732" t="e">
        <f t="shared" si="381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2"/>
        <v>0</v>
      </c>
      <c r="B1733">
        <f t="shared" si="383"/>
        <v>0</v>
      </c>
      <c r="C1733">
        <f t="shared" si="384"/>
        <v>0</v>
      </c>
      <c r="D1733">
        <f t="shared" si="385"/>
        <v>0</v>
      </c>
      <c r="E1733" t="e">
        <f t="shared" si="386"/>
        <v>#N/A</v>
      </c>
      <c r="F1733">
        <f t="shared" si="387"/>
        <v>0</v>
      </c>
      <c r="G1733">
        <f t="shared" si="388"/>
        <v>0</v>
      </c>
      <c r="H1733">
        <f t="shared" si="389"/>
        <v>0</v>
      </c>
      <c r="I1733">
        <f t="shared" si="390"/>
        <v>0</v>
      </c>
      <c r="J1733">
        <f t="shared" si="391"/>
        <v>0</v>
      </c>
      <c r="K1733" s="4" t="e">
        <f t="shared" si="380"/>
        <v>#N/A</v>
      </c>
      <c r="L1733" t="e">
        <f t="shared" si="381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2"/>
        <v>0</v>
      </c>
      <c r="B1734">
        <f t="shared" si="383"/>
        <v>0</v>
      </c>
      <c r="C1734">
        <f t="shared" si="384"/>
        <v>0</v>
      </c>
      <c r="D1734">
        <f t="shared" si="385"/>
        <v>0</v>
      </c>
      <c r="E1734" t="e">
        <f t="shared" si="386"/>
        <v>#N/A</v>
      </c>
      <c r="F1734">
        <f t="shared" si="387"/>
        <v>0</v>
      </c>
      <c r="G1734">
        <f t="shared" si="388"/>
        <v>0</v>
      </c>
      <c r="H1734">
        <f t="shared" si="389"/>
        <v>0</v>
      </c>
      <c r="I1734">
        <f t="shared" si="390"/>
        <v>0</v>
      </c>
      <c r="J1734">
        <f t="shared" si="391"/>
        <v>0</v>
      </c>
      <c r="K1734" s="4" t="e">
        <f t="shared" si="380"/>
        <v>#N/A</v>
      </c>
      <c r="L1734" t="e">
        <f t="shared" si="381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2"/>
        <v>0</v>
      </c>
      <c r="B1735">
        <f t="shared" si="383"/>
        <v>0</v>
      </c>
      <c r="C1735">
        <f t="shared" si="384"/>
        <v>0</v>
      </c>
      <c r="D1735">
        <f t="shared" si="385"/>
        <v>0</v>
      </c>
      <c r="E1735" t="e">
        <f t="shared" si="386"/>
        <v>#N/A</v>
      </c>
      <c r="F1735">
        <f t="shared" si="387"/>
        <v>0</v>
      </c>
      <c r="G1735">
        <f t="shared" si="388"/>
        <v>0</v>
      </c>
      <c r="H1735">
        <f t="shared" si="389"/>
        <v>0</v>
      </c>
      <c r="I1735">
        <f t="shared" si="390"/>
        <v>0</v>
      </c>
      <c r="J1735">
        <f t="shared" si="391"/>
        <v>0</v>
      </c>
      <c r="K1735" s="4" t="e">
        <f t="shared" si="380"/>
        <v>#N/A</v>
      </c>
      <c r="L1735" t="e">
        <f t="shared" si="381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2"/>
        <v>0</v>
      </c>
      <c r="B1736">
        <f t="shared" si="383"/>
        <v>0</v>
      </c>
      <c r="C1736">
        <f t="shared" si="384"/>
        <v>0</v>
      </c>
      <c r="D1736">
        <f t="shared" si="385"/>
        <v>0</v>
      </c>
      <c r="E1736" t="e">
        <f t="shared" si="386"/>
        <v>#N/A</v>
      </c>
      <c r="F1736">
        <f t="shared" si="387"/>
        <v>0</v>
      </c>
      <c r="G1736">
        <f t="shared" si="388"/>
        <v>0</v>
      </c>
      <c r="H1736">
        <f t="shared" si="389"/>
        <v>0</v>
      </c>
      <c r="I1736">
        <f t="shared" si="390"/>
        <v>0</v>
      </c>
      <c r="J1736">
        <f t="shared" si="391"/>
        <v>0</v>
      </c>
      <c r="K1736" s="4" t="e">
        <f t="shared" si="380"/>
        <v>#N/A</v>
      </c>
      <c r="L1736" t="e">
        <f t="shared" si="381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2"/>
        <v>0</v>
      </c>
      <c r="B1737">
        <f t="shared" si="383"/>
        <v>0</v>
      </c>
      <c r="C1737">
        <f t="shared" si="384"/>
        <v>0</v>
      </c>
      <c r="D1737">
        <f t="shared" si="385"/>
        <v>0</v>
      </c>
      <c r="E1737" t="e">
        <f t="shared" si="386"/>
        <v>#N/A</v>
      </c>
      <c r="F1737">
        <f t="shared" si="387"/>
        <v>0</v>
      </c>
      <c r="G1737">
        <f t="shared" si="388"/>
        <v>0</v>
      </c>
      <c r="H1737">
        <f t="shared" si="389"/>
        <v>0</v>
      </c>
      <c r="I1737">
        <f t="shared" si="390"/>
        <v>0</v>
      </c>
      <c r="J1737">
        <f t="shared" si="391"/>
        <v>0</v>
      </c>
      <c r="K1737" s="4" t="e">
        <f t="shared" si="380"/>
        <v>#N/A</v>
      </c>
      <c r="L1737" t="e">
        <f t="shared" si="381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2"/>
        <v>0</v>
      </c>
      <c r="B1738">
        <f t="shared" si="383"/>
        <v>0</v>
      </c>
      <c r="C1738">
        <f t="shared" si="384"/>
        <v>0</v>
      </c>
      <c r="D1738">
        <f t="shared" si="385"/>
        <v>0</v>
      </c>
      <c r="E1738" t="e">
        <f t="shared" si="386"/>
        <v>#N/A</v>
      </c>
      <c r="F1738">
        <f t="shared" si="387"/>
        <v>0</v>
      </c>
      <c r="G1738">
        <f t="shared" si="388"/>
        <v>0</v>
      </c>
      <c r="H1738">
        <f t="shared" si="389"/>
        <v>0</v>
      </c>
      <c r="I1738">
        <f t="shared" si="390"/>
        <v>0</v>
      </c>
      <c r="J1738">
        <f t="shared" si="391"/>
        <v>0</v>
      </c>
      <c r="K1738" s="4" t="e">
        <f t="shared" si="380"/>
        <v>#N/A</v>
      </c>
      <c r="L1738" t="e">
        <f t="shared" si="381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2"/>
        <v>0</v>
      </c>
      <c r="B1739">
        <f t="shared" si="383"/>
        <v>0</v>
      </c>
      <c r="C1739">
        <f t="shared" si="384"/>
        <v>0</v>
      </c>
      <c r="D1739">
        <f t="shared" si="385"/>
        <v>0</v>
      </c>
      <c r="E1739" t="e">
        <f t="shared" si="386"/>
        <v>#N/A</v>
      </c>
      <c r="F1739">
        <f t="shared" si="387"/>
        <v>0</v>
      </c>
      <c r="G1739">
        <f t="shared" si="388"/>
        <v>0</v>
      </c>
      <c r="H1739">
        <f t="shared" si="389"/>
        <v>0</v>
      </c>
      <c r="I1739">
        <f t="shared" si="390"/>
        <v>0</v>
      </c>
      <c r="J1739">
        <f t="shared" si="391"/>
        <v>0</v>
      </c>
      <c r="K1739" s="4" t="e">
        <f t="shared" si="380"/>
        <v>#N/A</v>
      </c>
      <c r="L1739" t="e">
        <f t="shared" si="381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2"/>
        <v>0</v>
      </c>
      <c r="B1740">
        <f t="shared" si="383"/>
        <v>0</v>
      </c>
      <c r="C1740">
        <f t="shared" si="384"/>
        <v>0</v>
      </c>
      <c r="D1740">
        <f t="shared" si="385"/>
        <v>0</v>
      </c>
      <c r="E1740" t="e">
        <f t="shared" si="386"/>
        <v>#N/A</v>
      </c>
      <c r="F1740">
        <f t="shared" si="387"/>
        <v>0</v>
      </c>
      <c r="G1740">
        <f t="shared" si="388"/>
        <v>0</v>
      </c>
      <c r="H1740">
        <f t="shared" si="389"/>
        <v>0</v>
      </c>
      <c r="I1740">
        <f t="shared" si="390"/>
        <v>0</v>
      </c>
      <c r="J1740">
        <f t="shared" si="391"/>
        <v>0</v>
      </c>
      <c r="K1740" s="4" t="e">
        <f t="shared" si="380"/>
        <v>#N/A</v>
      </c>
      <c r="L1740" t="e">
        <f t="shared" si="381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2"/>
        <v>0</v>
      </c>
      <c r="B1741">
        <f t="shared" si="383"/>
        <v>0</v>
      </c>
      <c r="C1741">
        <f t="shared" si="384"/>
        <v>0</v>
      </c>
      <c r="D1741">
        <f t="shared" si="385"/>
        <v>0</v>
      </c>
      <c r="E1741" t="e">
        <f t="shared" si="386"/>
        <v>#N/A</v>
      </c>
      <c r="F1741">
        <f t="shared" si="387"/>
        <v>0</v>
      </c>
      <c r="G1741">
        <f t="shared" si="388"/>
        <v>0</v>
      </c>
      <c r="H1741">
        <f t="shared" si="389"/>
        <v>0</v>
      </c>
      <c r="I1741">
        <f t="shared" si="390"/>
        <v>0</v>
      </c>
      <c r="J1741">
        <f t="shared" si="391"/>
        <v>0</v>
      </c>
      <c r="K1741" s="4" t="e">
        <f t="shared" si="380"/>
        <v>#N/A</v>
      </c>
      <c r="L1741" t="e">
        <f t="shared" si="381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2"/>
        <v>0</v>
      </c>
      <c r="B1742">
        <f t="shared" si="383"/>
        <v>0</v>
      </c>
      <c r="C1742">
        <f t="shared" si="384"/>
        <v>0</v>
      </c>
      <c r="D1742">
        <f t="shared" si="385"/>
        <v>0</v>
      </c>
      <c r="E1742" t="e">
        <f t="shared" si="386"/>
        <v>#N/A</v>
      </c>
      <c r="F1742">
        <f t="shared" si="387"/>
        <v>0</v>
      </c>
      <c r="G1742">
        <f t="shared" si="388"/>
        <v>0</v>
      </c>
      <c r="H1742">
        <f t="shared" si="389"/>
        <v>0</v>
      </c>
      <c r="I1742">
        <f t="shared" si="390"/>
        <v>0</v>
      </c>
      <c r="J1742">
        <f t="shared" si="391"/>
        <v>0</v>
      </c>
      <c r="K1742" s="4" t="e">
        <f t="shared" si="380"/>
        <v>#N/A</v>
      </c>
      <c r="L1742" t="e">
        <f t="shared" si="381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2"/>
        <v>0</v>
      </c>
      <c r="B1743">
        <f t="shared" si="383"/>
        <v>0</v>
      </c>
      <c r="C1743">
        <f t="shared" si="384"/>
        <v>0</v>
      </c>
      <c r="D1743">
        <f t="shared" si="385"/>
        <v>0</v>
      </c>
      <c r="E1743" t="e">
        <f t="shared" si="386"/>
        <v>#N/A</v>
      </c>
      <c r="F1743">
        <f t="shared" si="387"/>
        <v>0</v>
      </c>
      <c r="G1743">
        <f t="shared" si="388"/>
        <v>0</v>
      </c>
      <c r="H1743">
        <f t="shared" si="389"/>
        <v>0</v>
      </c>
      <c r="I1743">
        <f t="shared" si="390"/>
        <v>0</v>
      </c>
      <c r="J1743">
        <f t="shared" si="391"/>
        <v>0</v>
      </c>
      <c r="K1743" s="4" t="e">
        <f t="shared" si="380"/>
        <v>#N/A</v>
      </c>
      <c r="L1743" t="e">
        <f t="shared" si="381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2"/>
        <v>0</v>
      </c>
      <c r="B1744">
        <f t="shared" si="383"/>
        <v>0</v>
      </c>
      <c r="C1744">
        <f t="shared" si="384"/>
        <v>0</v>
      </c>
      <c r="D1744">
        <f t="shared" si="385"/>
        <v>0</v>
      </c>
      <c r="E1744" t="e">
        <f t="shared" si="386"/>
        <v>#N/A</v>
      </c>
      <c r="F1744">
        <f t="shared" si="387"/>
        <v>0</v>
      </c>
      <c r="G1744">
        <f t="shared" si="388"/>
        <v>0</v>
      </c>
      <c r="H1744">
        <f t="shared" si="389"/>
        <v>0</v>
      </c>
      <c r="I1744">
        <f t="shared" si="390"/>
        <v>0</v>
      </c>
      <c r="J1744">
        <f t="shared" si="391"/>
        <v>0</v>
      </c>
      <c r="K1744" s="4" t="e">
        <f t="shared" si="380"/>
        <v>#N/A</v>
      </c>
      <c r="L1744" t="e">
        <f t="shared" si="381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2"/>
        <v>0</v>
      </c>
      <c r="B1745">
        <f t="shared" si="383"/>
        <v>0</v>
      </c>
      <c r="C1745">
        <f t="shared" si="384"/>
        <v>0</v>
      </c>
      <c r="D1745">
        <f t="shared" si="385"/>
        <v>0</v>
      </c>
      <c r="E1745" t="e">
        <f t="shared" si="386"/>
        <v>#N/A</v>
      </c>
      <c r="F1745">
        <f t="shared" si="387"/>
        <v>0</v>
      </c>
      <c r="G1745">
        <f t="shared" si="388"/>
        <v>0</v>
      </c>
      <c r="H1745">
        <f t="shared" si="389"/>
        <v>0</v>
      </c>
      <c r="I1745">
        <f t="shared" si="390"/>
        <v>0</v>
      </c>
      <c r="J1745">
        <f t="shared" si="391"/>
        <v>0</v>
      </c>
      <c r="K1745" s="4" t="e">
        <f t="shared" si="380"/>
        <v>#N/A</v>
      </c>
      <c r="L1745" t="e">
        <f t="shared" si="381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2"/>
        <v>0</v>
      </c>
      <c r="B1746">
        <f t="shared" si="383"/>
        <v>0</v>
      </c>
      <c r="C1746">
        <f t="shared" si="384"/>
        <v>0</v>
      </c>
      <c r="D1746">
        <f t="shared" si="385"/>
        <v>0</v>
      </c>
      <c r="E1746" t="e">
        <f t="shared" si="386"/>
        <v>#N/A</v>
      </c>
      <c r="F1746">
        <f t="shared" si="387"/>
        <v>0</v>
      </c>
      <c r="G1746">
        <f t="shared" si="388"/>
        <v>0</v>
      </c>
      <c r="H1746">
        <f t="shared" si="389"/>
        <v>0</v>
      </c>
      <c r="I1746">
        <f t="shared" si="390"/>
        <v>0</v>
      </c>
      <c r="J1746">
        <f t="shared" si="391"/>
        <v>0</v>
      </c>
      <c r="K1746" s="4" t="e">
        <f t="shared" si="380"/>
        <v>#N/A</v>
      </c>
      <c r="L1746" t="e">
        <f t="shared" si="381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2"/>
        <v>0</v>
      </c>
      <c r="B1747">
        <f t="shared" si="383"/>
        <v>0</v>
      </c>
      <c r="C1747">
        <f t="shared" si="384"/>
        <v>0</v>
      </c>
      <c r="D1747">
        <f t="shared" si="385"/>
        <v>0</v>
      </c>
      <c r="E1747" t="e">
        <f t="shared" si="386"/>
        <v>#N/A</v>
      </c>
      <c r="F1747">
        <f t="shared" si="387"/>
        <v>0</v>
      </c>
      <c r="G1747">
        <f t="shared" si="388"/>
        <v>0</v>
      </c>
      <c r="H1747">
        <f t="shared" si="389"/>
        <v>0</v>
      </c>
      <c r="I1747">
        <f t="shared" si="390"/>
        <v>0</v>
      </c>
      <c r="J1747">
        <f t="shared" si="391"/>
        <v>0</v>
      </c>
      <c r="K1747" s="4" t="e">
        <f t="shared" si="380"/>
        <v>#N/A</v>
      </c>
      <c r="L1747" t="e">
        <f t="shared" si="381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2"/>
        <v>0</v>
      </c>
      <c r="B1748">
        <f t="shared" si="383"/>
        <v>0</v>
      </c>
      <c r="C1748">
        <f t="shared" si="384"/>
        <v>0</v>
      </c>
      <c r="D1748">
        <f t="shared" si="385"/>
        <v>0</v>
      </c>
      <c r="E1748" t="e">
        <f t="shared" si="386"/>
        <v>#N/A</v>
      </c>
      <c r="F1748">
        <f t="shared" si="387"/>
        <v>0</v>
      </c>
      <c r="G1748">
        <f t="shared" si="388"/>
        <v>0</v>
      </c>
      <c r="H1748">
        <f t="shared" si="389"/>
        <v>0</v>
      </c>
      <c r="I1748">
        <f t="shared" si="390"/>
        <v>0</v>
      </c>
      <c r="J1748">
        <f t="shared" si="391"/>
        <v>0</v>
      </c>
      <c r="K1748" s="4" t="e">
        <f t="shared" si="380"/>
        <v>#N/A</v>
      </c>
      <c r="L1748" t="e">
        <f t="shared" si="381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2"/>
        <v>0</v>
      </c>
      <c r="B1749">
        <f t="shared" si="383"/>
        <v>0</v>
      </c>
      <c r="C1749">
        <f t="shared" si="384"/>
        <v>0</v>
      </c>
      <c r="D1749">
        <f t="shared" si="385"/>
        <v>0</v>
      </c>
      <c r="E1749" t="e">
        <f t="shared" si="386"/>
        <v>#N/A</v>
      </c>
      <c r="F1749">
        <f t="shared" si="387"/>
        <v>0</v>
      </c>
      <c r="G1749">
        <f t="shared" si="388"/>
        <v>0</v>
      </c>
      <c r="H1749">
        <f t="shared" si="389"/>
        <v>0</v>
      </c>
      <c r="I1749">
        <f t="shared" si="390"/>
        <v>0</v>
      </c>
      <c r="J1749">
        <f t="shared" si="391"/>
        <v>0</v>
      </c>
      <c r="K1749" s="4" t="e">
        <f t="shared" si="380"/>
        <v>#N/A</v>
      </c>
      <c r="L1749" t="e">
        <f t="shared" si="381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2"/>
        <v>0</v>
      </c>
      <c r="B1750">
        <f t="shared" si="383"/>
        <v>0</v>
      </c>
      <c r="C1750">
        <f t="shared" si="384"/>
        <v>0</v>
      </c>
      <c r="D1750">
        <f t="shared" si="385"/>
        <v>0</v>
      </c>
      <c r="E1750" t="e">
        <f t="shared" si="386"/>
        <v>#N/A</v>
      </c>
      <c r="F1750">
        <f t="shared" si="387"/>
        <v>0</v>
      </c>
      <c r="G1750">
        <f t="shared" si="388"/>
        <v>0</v>
      </c>
      <c r="H1750">
        <f t="shared" si="389"/>
        <v>0</v>
      </c>
      <c r="I1750">
        <f t="shared" si="390"/>
        <v>0</v>
      </c>
      <c r="J1750">
        <f t="shared" si="391"/>
        <v>0</v>
      </c>
      <c r="K1750" s="4" t="e">
        <f t="shared" si="380"/>
        <v>#N/A</v>
      </c>
      <c r="L1750" t="e">
        <f t="shared" si="381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2"/>
        <v>0</v>
      </c>
      <c r="B1751">
        <f t="shared" si="383"/>
        <v>0</v>
      </c>
      <c r="C1751">
        <f t="shared" si="384"/>
        <v>0</v>
      </c>
      <c r="D1751">
        <f t="shared" si="385"/>
        <v>0</v>
      </c>
      <c r="E1751" t="e">
        <f t="shared" si="386"/>
        <v>#N/A</v>
      </c>
      <c r="F1751">
        <f t="shared" si="387"/>
        <v>0</v>
      </c>
      <c r="G1751">
        <f t="shared" si="388"/>
        <v>0</v>
      </c>
      <c r="H1751">
        <f t="shared" si="389"/>
        <v>0</v>
      </c>
      <c r="I1751">
        <f t="shared" si="390"/>
        <v>0</v>
      </c>
      <c r="J1751">
        <f t="shared" si="391"/>
        <v>0</v>
      </c>
      <c r="K1751" s="4" t="e">
        <f t="shared" si="380"/>
        <v>#N/A</v>
      </c>
      <c r="L1751" t="e">
        <f t="shared" si="381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2"/>
        <v>0</v>
      </c>
      <c r="B1752">
        <f t="shared" si="383"/>
        <v>0</v>
      </c>
      <c r="C1752">
        <f t="shared" si="384"/>
        <v>0</v>
      </c>
      <c r="D1752">
        <f t="shared" si="385"/>
        <v>0</v>
      </c>
      <c r="E1752" t="e">
        <f t="shared" si="386"/>
        <v>#N/A</v>
      </c>
      <c r="F1752">
        <f t="shared" si="387"/>
        <v>0</v>
      </c>
      <c r="G1752">
        <f t="shared" si="388"/>
        <v>0</v>
      </c>
      <c r="H1752">
        <f t="shared" si="389"/>
        <v>0</v>
      </c>
      <c r="I1752">
        <f t="shared" si="390"/>
        <v>0</v>
      </c>
      <c r="J1752">
        <f t="shared" si="391"/>
        <v>0</v>
      </c>
      <c r="K1752" s="4" t="e">
        <f t="shared" si="380"/>
        <v>#N/A</v>
      </c>
      <c r="L1752" t="e">
        <f t="shared" si="381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2"/>
        <v>0</v>
      </c>
      <c r="B1753">
        <f t="shared" si="383"/>
        <v>0</v>
      </c>
      <c r="C1753">
        <f t="shared" si="384"/>
        <v>0</v>
      </c>
      <c r="D1753">
        <f t="shared" si="385"/>
        <v>0</v>
      </c>
      <c r="E1753" t="e">
        <f t="shared" si="386"/>
        <v>#N/A</v>
      </c>
      <c r="F1753">
        <f t="shared" si="387"/>
        <v>0</v>
      </c>
      <c r="G1753">
        <f t="shared" si="388"/>
        <v>0</v>
      </c>
      <c r="H1753">
        <f t="shared" si="389"/>
        <v>0</v>
      </c>
      <c r="I1753">
        <f t="shared" si="390"/>
        <v>0</v>
      </c>
      <c r="J1753">
        <f t="shared" si="391"/>
        <v>0</v>
      </c>
      <c r="K1753" s="4" t="e">
        <f t="shared" si="380"/>
        <v>#N/A</v>
      </c>
      <c r="L1753" t="e">
        <f t="shared" si="381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2"/>
        <v>0</v>
      </c>
      <c r="B1754">
        <f t="shared" si="383"/>
        <v>0</v>
      </c>
      <c r="C1754">
        <f t="shared" si="384"/>
        <v>0</v>
      </c>
      <c r="D1754">
        <f t="shared" si="385"/>
        <v>0</v>
      </c>
      <c r="E1754" t="e">
        <f t="shared" si="386"/>
        <v>#N/A</v>
      </c>
      <c r="F1754">
        <f t="shared" si="387"/>
        <v>0</v>
      </c>
      <c r="G1754">
        <f t="shared" si="388"/>
        <v>0</v>
      </c>
      <c r="H1754">
        <f t="shared" si="389"/>
        <v>0</v>
      </c>
      <c r="I1754">
        <f t="shared" si="390"/>
        <v>0</v>
      </c>
      <c r="J1754">
        <f t="shared" si="391"/>
        <v>0</v>
      </c>
      <c r="K1754" s="4" t="e">
        <f t="shared" si="380"/>
        <v>#N/A</v>
      </c>
      <c r="L1754" t="e">
        <f t="shared" si="381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2"/>
        <v>0</v>
      </c>
      <c r="B1755">
        <f t="shared" si="383"/>
        <v>0</v>
      </c>
      <c r="C1755">
        <f t="shared" si="384"/>
        <v>0</v>
      </c>
      <c r="D1755">
        <f t="shared" si="385"/>
        <v>0</v>
      </c>
      <c r="E1755" t="e">
        <f t="shared" si="386"/>
        <v>#N/A</v>
      </c>
      <c r="F1755">
        <f t="shared" si="387"/>
        <v>0</v>
      </c>
      <c r="G1755">
        <f t="shared" si="388"/>
        <v>0</v>
      </c>
      <c r="H1755">
        <f t="shared" si="389"/>
        <v>0</v>
      </c>
      <c r="I1755">
        <f t="shared" si="390"/>
        <v>0</v>
      </c>
      <c r="J1755">
        <f t="shared" si="391"/>
        <v>0</v>
      </c>
      <c r="K1755" s="4" t="e">
        <f t="shared" si="380"/>
        <v>#N/A</v>
      </c>
      <c r="L1755" t="e">
        <f t="shared" si="381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2"/>
        <v>0</v>
      </c>
      <c r="B1756">
        <f t="shared" si="383"/>
        <v>0</v>
      </c>
      <c r="C1756">
        <f t="shared" si="384"/>
        <v>0</v>
      </c>
      <c r="D1756">
        <f t="shared" si="385"/>
        <v>0</v>
      </c>
      <c r="E1756" t="e">
        <f t="shared" si="386"/>
        <v>#N/A</v>
      </c>
      <c r="F1756">
        <f t="shared" si="387"/>
        <v>0</v>
      </c>
      <c r="G1756">
        <f t="shared" si="388"/>
        <v>0</v>
      </c>
      <c r="H1756">
        <f t="shared" si="389"/>
        <v>0</v>
      </c>
      <c r="I1756">
        <f t="shared" si="390"/>
        <v>0</v>
      </c>
      <c r="J1756">
        <f t="shared" si="391"/>
        <v>0</v>
      </c>
      <c r="K1756" s="4" t="e">
        <f t="shared" si="380"/>
        <v>#N/A</v>
      </c>
      <c r="L1756" t="e">
        <f t="shared" si="381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2"/>
        <v>0</v>
      </c>
      <c r="B1757">
        <f t="shared" si="383"/>
        <v>0</v>
      </c>
      <c r="C1757">
        <f t="shared" si="384"/>
        <v>0</v>
      </c>
      <c r="D1757">
        <f t="shared" si="385"/>
        <v>0</v>
      </c>
      <c r="E1757" t="e">
        <f t="shared" si="386"/>
        <v>#N/A</v>
      </c>
      <c r="F1757">
        <f t="shared" si="387"/>
        <v>0</v>
      </c>
      <c r="G1757">
        <f t="shared" si="388"/>
        <v>0</v>
      </c>
      <c r="H1757">
        <f t="shared" si="389"/>
        <v>0</v>
      </c>
      <c r="I1757">
        <f t="shared" si="390"/>
        <v>0</v>
      </c>
      <c r="J1757">
        <f t="shared" si="391"/>
        <v>0</v>
      </c>
      <c r="K1757" s="4" t="e">
        <f t="shared" si="380"/>
        <v>#N/A</v>
      </c>
      <c r="L1757" t="e">
        <f t="shared" si="381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2"/>
        <v>0</v>
      </c>
      <c r="B1758">
        <f t="shared" si="383"/>
        <v>0</v>
      </c>
      <c r="C1758">
        <f t="shared" si="384"/>
        <v>0</v>
      </c>
      <c r="D1758">
        <f t="shared" si="385"/>
        <v>0</v>
      </c>
      <c r="E1758" t="e">
        <f t="shared" si="386"/>
        <v>#N/A</v>
      </c>
      <c r="F1758">
        <f t="shared" si="387"/>
        <v>0</v>
      </c>
      <c r="G1758">
        <f t="shared" si="388"/>
        <v>0</v>
      </c>
      <c r="H1758">
        <f t="shared" si="389"/>
        <v>0</v>
      </c>
      <c r="I1758">
        <f t="shared" si="390"/>
        <v>0</v>
      </c>
      <c r="J1758">
        <f t="shared" si="391"/>
        <v>0</v>
      </c>
      <c r="K1758" s="4" t="e">
        <f t="shared" si="380"/>
        <v>#N/A</v>
      </c>
      <c r="L1758" t="e">
        <f t="shared" si="381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2"/>
        <v>0</v>
      </c>
      <c r="B1759">
        <f t="shared" si="383"/>
        <v>0</v>
      </c>
      <c r="C1759">
        <f t="shared" si="384"/>
        <v>0</v>
      </c>
      <c r="D1759">
        <f t="shared" si="385"/>
        <v>0</v>
      </c>
      <c r="E1759" t="e">
        <f t="shared" si="386"/>
        <v>#N/A</v>
      </c>
      <c r="F1759">
        <f t="shared" si="387"/>
        <v>0</v>
      </c>
      <c r="G1759">
        <f t="shared" si="388"/>
        <v>0</v>
      </c>
      <c r="H1759">
        <f t="shared" si="389"/>
        <v>0</v>
      </c>
      <c r="I1759">
        <f t="shared" si="390"/>
        <v>0</v>
      </c>
      <c r="J1759">
        <f t="shared" si="391"/>
        <v>0</v>
      </c>
      <c r="K1759" s="4" t="e">
        <f t="shared" si="380"/>
        <v>#N/A</v>
      </c>
      <c r="L1759" t="e">
        <f t="shared" si="381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2"/>
        <v>0</v>
      </c>
      <c r="B1760">
        <f t="shared" si="383"/>
        <v>0</v>
      </c>
      <c r="C1760">
        <f t="shared" si="384"/>
        <v>0</v>
      </c>
      <c r="D1760">
        <f t="shared" si="385"/>
        <v>0</v>
      </c>
      <c r="E1760" t="e">
        <f t="shared" si="386"/>
        <v>#N/A</v>
      </c>
      <c r="F1760">
        <f t="shared" si="387"/>
        <v>0</v>
      </c>
      <c r="G1760">
        <f t="shared" si="388"/>
        <v>0</v>
      </c>
      <c r="H1760">
        <f t="shared" si="389"/>
        <v>0</v>
      </c>
      <c r="I1760">
        <f t="shared" si="390"/>
        <v>0</v>
      </c>
      <c r="J1760">
        <f t="shared" si="391"/>
        <v>0</v>
      </c>
      <c r="K1760" s="4" t="e">
        <f t="shared" si="380"/>
        <v>#N/A</v>
      </c>
      <c r="L1760" t="e">
        <f t="shared" si="381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2"/>
        <v>0</v>
      </c>
      <c r="B1761">
        <f t="shared" si="383"/>
        <v>0</v>
      </c>
      <c r="C1761">
        <f t="shared" si="384"/>
        <v>0</v>
      </c>
      <c r="D1761">
        <f t="shared" si="385"/>
        <v>0</v>
      </c>
      <c r="E1761" t="e">
        <f t="shared" si="386"/>
        <v>#N/A</v>
      </c>
      <c r="F1761">
        <f t="shared" si="387"/>
        <v>0</v>
      </c>
      <c r="G1761">
        <f t="shared" si="388"/>
        <v>0</v>
      </c>
      <c r="H1761">
        <f t="shared" si="389"/>
        <v>0</v>
      </c>
      <c r="I1761">
        <f t="shared" si="390"/>
        <v>0</v>
      </c>
      <c r="J1761">
        <f t="shared" si="391"/>
        <v>0</v>
      </c>
      <c r="K1761" s="4" t="e">
        <f t="shared" si="380"/>
        <v>#N/A</v>
      </c>
      <c r="L1761" t="e">
        <f t="shared" si="381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2"/>
        <v>0</v>
      </c>
      <c r="B1762">
        <f t="shared" si="383"/>
        <v>0</v>
      </c>
      <c r="C1762">
        <f t="shared" si="384"/>
        <v>0</v>
      </c>
      <c r="D1762">
        <f t="shared" si="385"/>
        <v>0</v>
      </c>
      <c r="E1762" t="e">
        <f t="shared" si="386"/>
        <v>#N/A</v>
      </c>
      <c r="F1762">
        <f t="shared" si="387"/>
        <v>0</v>
      </c>
      <c r="G1762">
        <f t="shared" si="388"/>
        <v>0</v>
      </c>
      <c r="H1762">
        <f t="shared" si="389"/>
        <v>0</v>
      </c>
      <c r="I1762">
        <f t="shared" si="390"/>
        <v>0</v>
      </c>
      <c r="J1762">
        <f t="shared" si="391"/>
        <v>0</v>
      </c>
      <c r="K1762" s="4" t="e">
        <f t="shared" si="380"/>
        <v>#N/A</v>
      </c>
      <c r="L1762" t="e">
        <f t="shared" si="381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2"/>
        <v>0</v>
      </c>
      <c r="B1763">
        <f t="shared" si="383"/>
        <v>0</v>
      </c>
      <c r="C1763">
        <f t="shared" si="384"/>
        <v>0</v>
      </c>
      <c r="D1763">
        <f t="shared" si="385"/>
        <v>0</v>
      </c>
      <c r="E1763" t="e">
        <f t="shared" si="386"/>
        <v>#N/A</v>
      </c>
      <c r="F1763">
        <f t="shared" si="387"/>
        <v>0</v>
      </c>
      <c r="G1763">
        <f t="shared" si="388"/>
        <v>0</v>
      </c>
      <c r="H1763">
        <f t="shared" si="389"/>
        <v>0</v>
      </c>
      <c r="I1763">
        <f t="shared" si="390"/>
        <v>0</v>
      </c>
      <c r="J1763">
        <f t="shared" si="391"/>
        <v>0</v>
      </c>
      <c r="K1763" s="4" t="e">
        <f t="shared" si="380"/>
        <v>#N/A</v>
      </c>
      <c r="L1763" t="e">
        <f t="shared" si="381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2"/>
        <v>0</v>
      </c>
      <c r="B1764">
        <f t="shared" si="383"/>
        <v>0</v>
      </c>
      <c r="C1764">
        <f t="shared" si="384"/>
        <v>0</v>
      </c>
      <c r="D1764">
        <f t="shared" si="385"/>
        <v>0</v>
      </c>
      <c r="E1764" t="e">
        <f t="shared" si="386"/>
        <v>#N/A</v>
      </c>
      <c r="F1764">
        <f t="shared" si="387"/>
        <v>0</v>
      </c>
      <c r="G1764">
        <f t="shared" si="388"/>
        <v>0</v>
      </c>
      <c r="H1764">
        <f t="shared" si="389"/>
        <v>0</v>
      </c>
      <c r="I1764">
        <f t="shared" si="390"/>
        <v>0</v>
      </c>
      <c r="J1764">
        <f t="shared" si="391"/>
        <v>0</v>
      </c>
      <c r="K1764" s="4" t="e">
        <f t="shared" si="380"/>
        <v>#N/A</v>
      </c>
      <c r="L1764" t="e">
        <f t="shared" si="381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2"/>
        <v>0</v>
      </c>
      <c r="B1765">
        <f t="shared" si="383"/>
        <v>0</v>
      </c>
      <c r="C1765">
        <f t="shared" si="384"/>
        <v>0</v>
      </c>
      <c r="D1765">
        <f t="shared" si="385"/>
        <v>0</v>
      </c>
      <c r="E1765" t="e">
        <f t="shared" si="386"/>
        <v>#N/A</v>
      </c>
      <c r="F1765">
        <f t="shared" si="387"/>
        <v>0</v>
      </c>
      <c r="G1765">
        <f t="shared" si="388"/>
        <v>0</v>
      </c>
      <c r="H1765">
        <f t="shared" si="389"/>
        <v>0</v>
      </c>
      <c r="I1765">
        <f t="shared" si="390"/>
        <v>0</v>
      </c>
      <c r="J1765">
        <f t="shared" si="391"/>
        <v>0</v>
      </c>
      <c r="K1765" s="4" t="e">
        <f t="shared" si="380"/>
        <v>#N/A</v>
      </c>
      <c r="L1765" t="e">
        <f t="shared" si="381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2"/>
        <v>0</v>
      </c>
      <c r="B1766">
        <f t="shared" si="383"/>
        <v>0</v>
      </c>
      <c r="C1766">
        <f t="shared" si="384"/>
        <v>0</v>
      </c>
      <c r="D1766">
        <f t="shared" si="385"/>
        <v>0</v>
      </c>
      <c r="E1766" t="e">
        <f t="shared" si="386"/>
        <v>#N/A</v>
      </c>
      <c r="F1766">
        <f t="shared" si="387"/>
        <v>0</v>
      </c>
      <c r="G1766">
        <f t="shared" si="388"/>
        <v>0</v>
      </c>
      <c r="H1766">
        <f t="shared" si="389"/>
        <v>0</v>
      </c>
      <c r="I1766">
        <f t="shared" si="390"/>
        <v>0</v>
      </c>
      <c r="J1766">
        <f t="shared" si="391"/>
        <v>0</v>
      </c>
      <c r="K1766" s="4" t="e">
        <f t="shared" si="380"/>
        <v>#N/A</v>
      </c>
      <c r="L1766" t="e">
        <f t="shared" si="381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2"/>
        <v>0</v>
      </c>
      <c r="B1767">
        <f t="shared" si="383"/>
        <v>0</v>
      </c>
      <c r="C1767">
        <f t="shared" si="384"/>
        <v>0</v>
      </c>
      <c r="D1767">
        <f t="shared" si="385"/>
        <v>0</v>
      </c>
      <c r="E1767" t="e">
        <f t="shared" si="386"/>
        <v>#N/A</v>
      </c>
      <c r="F1767">
        <f t="shared" si="387"/>
        <v>0</v>
      </c>
      <c r="G1767">
        <f t="shared" si="388"/>
        <v>0</v>
      </c>
      <c r="H1767">
        <f t="shared" si="389"/>
        <v>0</v>
      </c>
      <c r="I1767">
        <f t="shared" si="390"/>
        <v>0</v>
      </c>
      <c r="J1767">
        <f t="shared" si="391"/>
        <v>0</v>
      </c>
      <c r="K1767" s="4" t="e">
        <f t="shared" si="380"/>
        <v>#N/A</v>
      </c>
      <c r="L1767" t="e">
        <f t="shared" si="381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2"/>
        <v>0</v>
      </c>
      <c r="B1768">
        <f t="shared" si="383"/>
        <v>0</v>
      </c>
      <c r="C1768">
        <f t="shared" si="384"/>
        <v>0</v>
      </c>
      <c r="D1768">
        <f t="shared" si="385"/>
        <v>0</v>
      </c>
      <c r="E1768" t="e">
        <f t="shared" si="386"/>
        <v>#N/A</v>
      </c>
      <c r="F1768">
        <f t="shared" si="387"/>
        <v>0</v>
      </c>
      <c r="G1768">
        <f t="shared" si="388"/>
        <v>0</v>
      </c>
      <c r="H1768">
        <f t="shared" si="389"/>
        <v>0</v>
      </c>
      <c r="I1768">
        <f t="shared" si="390"/>
        <v>0</v>
      </c>
      <c r="J1768">
        <f t="shared" si="391"/>
        <v>0</v>
      </c>
      <c r="K1768" s="4" t="e">
        <f t="shared" si="380"/>
        <v>#N/A</v>
      </c>
      <c r="L1768" t="e">
        <f t="shared" si="381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2"/>
        <v>0</v>
      </c>
      <c r="B1769">
        <f t="shared" si="383"/>
        <v>0</v>
      </c>
      <c r="C1769">
        <f t="shared" si="384"/>
        <v>0</v>
      </c>
      <c r="D1769">
        <f t="shared" si="385"/>
        <v>0</v>
      </c>
      <c r="E1769" t="e">
        <f t="shared" si="386"/>
        <v>#N/A</v>
      </c>
      <c r="F1769">
        <f t="shared" si="387"/>
        <v>0</v>
      </c>
      <c r="G1769">
        <f t="shared" si="388"/>
        <v>0</v>
      </c>
      <c r="H1769">
        <f t="shared" si="389"/>
        <v>0</v>
      </c>
      <c r="I1769">
        <f t="shared" si="390"/>
        <v>0</v>
      </c>
      <c r="J1769">
        <f t="shared" si="391"/>
        <v>0</v>
      </c>
      <c r="K1769" s="4" t="e">
        <f t="shared" si="380"/>
        <v>#N/A</v>
      </c>
      <c r="L1769" t="e">
        <f t="shared" si="381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2"/>
        <v>0</v>
      </c>
      <c r="B1770">
        <f t="shared" si="383"/>
        <v>0</v>
      </c>
      <c r="C1770">
        <f t="shared" si="384"/>
        <v>0</v>
      </c>
      <c r="D1770">
        <f t="shared" si="385"/>
        <v>0</v>
      </c>
      <c r="E1770" t="e">
        <f t="shared" si="386"/>
        <v>#N/A</v>
      </c>
      <c r="F1770">
        <f t="shared" si="387"/>
        <v>0</v>
      </c>
      <c r="G1770">
        <f t="shared" si="388"/>
        <v>0</v>
      </c>
      <c r="H1770">
        <f t="shared" si="389"/>
        <v>0</v>
      </c>
      <c r="I1770">
        <f t="shared" si="390"/>
        <v>0</v>
      </c>
      <c r="J1770">
        <f t="shared" si="391"/>
        <v>0</v>
      </c>
      <c r="K1770" s="4" t="e">
        <f t="shared" si="380"/>
        <v>#N/A</v>
      </c>
      <c r="L1770" t="e">
        <f t="shared" si="381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2"/>
        <v>0</v>
      </c>
      <c r="B1771">
        <f t="shared" si="383"/>
        <v>0</v>
      </c>
      <c r="C1771">
        <f t="shared" si="384"/>
        <v>0</v>
      </c>
      <c r="D1771">
        <f t="shared" si="385"/>
        <v>0</v>
      </c>
      <c r="E1771" t="e">
        <f t="shared" si="386"/>
        <v>#N/A</v>
      </c>
      <c r="F1771">
        <f t="shared" si="387"/>
        <v>0</v>
      </c>
      <c r="G1771">
        <f t="shared" si="388"/>
        <v>0</v>
      </c>
      <c r="H1771">
        <f t="shared" si="389"/>
        <v>0</v>
      </c>
      <c r="I1771">
        <f t="shared" si="390"/>
        <v>0</v>
      </c>
      <c r="J1771">
        <f t="shared" si="391"/>
        <v>0</v>
      </c>
      <c r="K1771" s="4" t="e">
        <f t="shared" si="380"/>
        <v>#N/A</v>
      </c>
      <c r="L1771" t="e">
        <f t="shared" si="381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2"/>
        <v>0</v>
      </c>
      <c r="B1772">
        <f t="shared" si="383"/>
        <v>0</v>
      </c>
      <c r="C1772">
        <f t="shared" si="384"/>
        <v>0</v>
      </c>
      <c r="D1772">
        <f t="shared" si="385"/>
        <v>0</v>
      </c>
      <c r="E1772" t="e">
        <f t="shared" si="386"/>
        <v>#N/A</v>
      </c>
      <c r="F1772">
        <f t="shared" si="387"/>
        <v>0</v>
      </c>
      <c r="G1772">
        <f t="shared" si="388"/>
        <v>0</v>
      </c>
      <c r="H1772">
        <f t="shared" si="389"/>
        <v>0</v>
      </c>
      <c r="I1772">
        <f t="shared" si="390"/>
        <v>0</v>
      </c>
      <c r="J1772">
        <f t="shared" si="391"/>
        <v>0</v>
      </c>
      <c r="K1772" s="4" t="e">
        <f t="shared" ref="K1772:K1835" si="394">IF(LEFT(B1772,3)="DBM",0,VLOOKUP(E1772,tabela,2,FALSE))</f>
        <v>#N/A</v>
      </c>
      <c r="L1772" t="e">
        <f t="shared" ref="L1772:L1835" si="395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2"/>
        <v>0</v>
      </c>
      <c r="B1773">
        <f t="shared" si="383"/>
        <v>0</v>
      </c>
      <c r="C1773">
        <f t="shared" si="384"/>
        <v>0</v>
      </c>
      <c r="D1773">
        <f t="shared" si="385"/>
        <v>0</v>
      </c>
      <c r="E1773" t="e">
        <f t="shared" si="386"/>
        <v>#N/A</v>
      </c>
      <c r="F1773">
        <f t="shared" si="387"/>
        <v>0</v>
      </c>
      <c r="G1773">
        <f t="shared" si="388"/>
        <v>0</v>
      </c>
      <c r="H1773">
        <f t="shared" si="389"/>
        <v>0</v>
      </c>
      <c r="I1773">
        <f t="shared" si="390"/>
        <v>0</v>
      </c>
      <c r="J1773">
        <f t="shared" si="391"/>
        <v>0</v>
      </c>
      <c r="K1773" s="4" t="e">
        <f t="shared" si="394"/>
        <v>#N/A</v>
      </c>
      <c r="L1773" t="e">
        <f t="shared" si="395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2"/>
        <v>0</v>
      </c>
      <c r="B1774">
        <f t="shared" si="383"/>
        <v>0</v>
      </c>
      <c r="C1774">
        <f t="shared" si="384"/>
        <v>0</v>
      </c>
      <c r="D1774">
        <f t="shared" si="385"/>
        <v>0</v>
      </c>
      <c r="E1774" t="e">
        <f t="shared" si="386"/>
        <v>#N/A</v>
      </c>
      <c r="F1774">
        <f t="shared" si="387"/>
        <v>0</v>
      </c>
      <c r="G1774">
        <f t="shared" si="388"/>
        <v>0</v>
      </c>
      <c r="H1774">
        <f t="shared" si="389"/>
        <v>0</v>
      </c>
      <c r="I1774">
        <f t="shared" si="390"/>
        <v>0</v>
      </c>
      <c r="J1774">
        <f t="shared" si="391"/>
        <v>0</v>
      </c>
      <c r="K1774" s="4" t="e">
        <f t="shared" si="394"/>
        <v>#N/A</v>
      </c>
      <c r="L1774" t="e">
        <f t="shared" si="395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2"/>
        <v>0</v>
      </c>
      <c r="B1775">
        <f t="shared" si="383"/>
        <v>0</v>
      </c>
      <c r="C1775">
        <f t="shared" si="384"/>
        <v>0</v>
      </c>
      <c r="D1775">
        <f t="shared" si="385"/>
        <v>0</v>
      </c>
      <c r="E1775" t="e">
        <f t="shared" si="386"/>
        <v>#N/A</v>
      </c>
      <c r="F1775">
        <f t="shared" si="387"/>
        <v>0</v>
      </c>
      <c r="G1775">
        <f t="shared" si="388"/>
        <v>0</v>
      </c>
      <c r="H1775">
        <f t="shared" si="389"/>
        <v>0</v>
      </c>
      <c r="I1775">
        <f t="shared" si="390"/>
        <v>0</v>
      </c>
      <c r="J1775">
        <f t="shared" si="391"/>
        <v>0</v>
      </c>
      <c r="K1775" s="4" t="e">
        <f t="shared" si="394"/>
        <v>#N/A</v>
      </c>
      <c r="L1775" t="e">
        <f t="shared" si="395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2"/>
        <v>0</v>
      </c>
      <c r="B1776">
        <f t="shared" si="383"/>
        <v>0</v>
      </c>
      <c r="C1776">
        <f t="shared" si="384"/>
        <v>0</v>
      </c>
      <c r="D1776">
        <f t="shared" si="385"/>
        <v>0</v>
      </c>
      <c r="E1776" t="e">
        <f t="shared" si="386"/>
        <v>#N/A</v>
      </c>
      <c r="F1776">
        <f t="shared" si="387"/>
        <v>0</v>
      </c>
      <c r="G1776">
        <f t="shared" si="388"/>
        <v>0</v>
      </c>
      <c r="H1776">
        <f t="shared" si="389"/>
        <v>0</v>
      </c>
      <c r="I1776">
        <f t="shared" si="390"/>
        <v>0</v>
      </c>
      <c r="J1776">
        <f t="shared" si="391"/>
        <v>0</v>
      </c>
      <c r="K1776" s="4" t="e">
        <f t="shared" si="394"/>
        <v>#N/A</v>
      </c>
      <c r="L1776" t="e">
        <f t="shared" si="395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2"/>
        <v>0</v>
      </c>
      <c r="B1777">
        <f t="shared" si="383"/>
        <v>0</v>
      </c>
      <c r="C1777">
        <f t="shared" si="384"/>
        <v>0</v>
      </c>
      <c r="D1777">
        <f t="shared" si="385"/>
        <v>0</v>
      </c>
      <c r="E1777" t="e">
        <f t="shared" si="386"/>
        <v>#N/A</v>
      </c>
      <c r="F1777">
        <f t="shared" si="387"/>
        <v>0</v>
      </c>
      <c r="G1777">
        <f t="shared" si="388"/>
        <v>0</v>
      </c>
      <c r="H1777">
        <f t="shared" si="389"/>
        <v>0</v>
      </c>
      <c r="I1777">
        <f t="shared" si="390"/>
        <v>0</v>
      </c>
      <c r="J1777">
        <f t="shared" si="391"/>
        <v>0</v>
      </c>
      <c r="K1777" s="4" t="e">
        <f t="shared" si="394"/>
        <v>#N/A</v>
      </c>
      <c r="L1777" t="e">
        <f t="shared" si="395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2"/>
        <v>0</v>
      </c>
      <c r="B1778">
        <f t="shared" si="383"/>
        <v>0</v>
      </c>
      <c r="C1778">
        <f t="shared" si="384"/>
        <v>0</v>
      </c>
      <c r="D1778">
        <f t="shared" si="385"/>
        <v>0</v>
      </c>
      <c r="E1778" t="e">
        <f t="shared" si="386"/>
        <v>#N/A</v>
      </c>
      <c r="F1778">
        <f t="shared" si="387"/>
        <v>0</v>
      </c>
      <c r="G1778">
        <f t="shared" si="388"/>
        <v>0</v>
      </c>
      <c r="H1778">
        <f t="shared" si="389"/>
        <v>0</v>
      </c>
      <c r="I1778">
        <f t="shared" si="390"/>
        <v>0</v>
      </c>
      <c r="J1778">
        <f t="shared" si="391"/>
        <v>0</v>
      </c>
      <c r="K1778" s="4" t="e">
        <f t="shared" si="394"/>
        <v>#N/A</v>
      </c>
      <c r="L1778" t="e">
        <f t="shared" si="395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2"/>
        <v>0</v>
      </c>
      <c r="B1779">
        <f t="shared" si="383"/>
        <v>0</v>
      </c>
      <c r="C1779">
        <f t="shared" si="384"/>
        <v>0</v>
      </c>
      <c r="D1779">
        <f t="shared" si="385"/>
        <v>0</v>
      </c>
      <c r="E1779" t="e">
        <f t="shared" si="386"/>
        <v>#N/A</v>
      </c>
      <c r="F1779">
        <f t="shared" si="387"/>
        <v>0</v>
      </c>
      <c r="G1779">
        <f t="shared" si="388"/>
        <v>0</v>
      </c>
      <c r="H1779">
        <f t="shared" si="389"/>
        <v>0</v>
      </c>
      <c r="I1779">
        <f t="shared" si="390"/>
        <v>0</v>
      </c>
      <c r="J1779">
        <f t="shared" si="391"/>
        <v>0</v>
      </c>
      <c r="K1779" s="4" t="e">
        <f t="shared" si="394"/>
        <v>#N/A</v>
      </c>
      <c r="L1779" t="e">
        <f t="shared" si="395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2"/>
        <v>0</v>
      </c>
      <c r="B1780">
        <f t="shared" si="383"/>
        <v>0</v>
      </c>
      <c r="C1780">
        <f t="shared" si="384"/>
        <v>0</v>
      </c>
      <c r="D1780">
        <f t="shared" si="385"/>
        <v>0</v>
      </c>
      <c r="E1780" t="e">
        <f t="shared" si="386"/>
        <v>#N/A</v>
      </c>
      <c r="F1780">
        <f t="shared" si="387"/>
        <v>0</v>
      </c>
      <c r="G1780">
        <f t="shared" si="388"/>
        <v>0</v>
      </c>
      <c r="H1780">
        <f t="shared" si="389"/>
        <v>0</v>
      </c>
      <c r="I1780">
        <f t="shared" si="390"/>
        <v>0</v>
      </c>
      <c r="J1780">
        <f t="shared" si="391"/>
        <v>0</v>
      </c>
      <c r="K1780" s="4" t="e">
        <f t="shared" si="394"/>
        <v>#N/A</v>
      </c>
      <c r="L1780" t="e">
        <f t="shared" si="395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2"/>
        <v>0</v>
      </c>
      <c r="B1781">
        <f t="shared" si="383"/>
        <v>0</v>
      </c>
      <c r="C1781">
        <f t="shared" si="384"/>
        <v>0</v>
      </c>
      <c r="D1781">
        <f t="shared" si="385"/>
        <v>0</v>
      </c>
      <c r="E1781" t="e">
        <f t="shared" si="386"/>
        <v>#N/A</v>
      </c>
      <c r="F1781">
        <f t="shared" si="387"/>
        <v>0</v>
      </c>
      <c r="G1781">
        <f t="shared" si="388"/>
        <v>0</v>
      </c>
      <c r="H1781">
        <f t="shared" si="389"/>
        <v>0</v>
      </c>
      <c r="I1781">
        <f t="shared" si="390"/>
        <v>0</v>
      </c>
      <c r="J1781">
        <f t="shared" si="391"/>
        <v>0</v>
      </c>
      <c r="K1781" s="4" t="e">
        <f t="shared" si="394"/>
        <v>#N/A</v>
      </c>
      <c r="L1781" t="e">
        <f t="shared" si="395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2"/>
        <v>0</v>
      </c>
      <c r="B1782">
        <f t="shared" si="383"/>
        <v>0</v>
      </c>
      <c r="C1782">
        <f t="shared" si="384"/>
        <v>0</v>
      </c>
      <c r="D1782">
        <f t="shared" si="385"/>
        <v>0</v>
      </c>
      <c r="E1782" t="e">
        <f t="shared" si="386"/>
        <v>#N/A</v>
      </c>
      <c r="F1782">
        <f t="shared" si="387"/>
        <v>0</v>
      </c>
      <c r="G1782">
        <f t="shared" si="388"/>
        <v>0</v>
      </c>
      <c r="H1782">
        <f t="shared" si="389"/>
        <v>0</v>
      </c>
      <c r="I1782">
        <f t="shared" si="390"/>
        <v>0</v>
      </c>
      <c r="J1782">
        <f t="shared" si="391"/>
        <v>0</v>
      </c>
      <c r="K1782" s="4" t="e">
        <f t="shared" si="394"/>
        <v>#N/A</v>
      </c>
      <c r="L1782" t="e">
        <f t="shared" si="395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2"/>
        <v>0</v>
      </c>
      <c r="B1783">
        <f t="shared" si="383"/>
        <v>0</v>
      </c>
      <c r="C1783">
        <f t="shared" si="384"/>
        <v>0</v>
      </c>
      <c r="D1783">
        <f t="shared" si="385"/>
        <v>0</v>
      </c>
      <c r="E1783" t="e">
        <f t="shared" si="386"/>
        <v>#N/A</v>
      </c>
      <c r="F1783">
        <f t="shared" si="387"/>
        <v>0</v>
      </c>
      <c r="G1783">
        <f t="shared" si="388"/>
        <v>0</v>
      </c>
      <c r="H1783">
        <f t="shared" si="389"/>
        <v>0</v>
      </c>
      <c r="I1783">
        <f t="shared" si="390"/>
        <v>0</v>
      </c>
      <c r="J1783">
        <f t="shared" si="391"/>
        <v>0</v>
      </c>
      <c r="K1783" s="4" t="e">
        <f t="shared" si="394"/>
        <v>#N/A</v>
      </c>
      <c r="L1783" t="e">
        <f t="shared" si="395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2"/>
        <v>0</v>
      </c>
      <c r="B1784">
        <f t="shared" si="383"/>
        <v>0</v>
      </c>
      <c r="C1784">
        <f t="shared" si="384"/>
        <v>0</v>
      </c>
      <c r="D1784">
        <f t="shared" si="385"/>
        <v>0</v>
      </c>
      <c r="E1784" t="e">
        <f t="shared" si="386"/>
        <v>#N/A</v>
      </c>
      <c r="F1784">
        <f t="shared" si="387"/>
        <v>0</v>
      </c>
      <c r="G1784">
        <f t="shared" si="388"/>
        <v>0</v>
      </c>
      <c r="H1784">
        <f t="shared" si="389"/>
        <v>0</v>
      </c>
      <c r="I1784">
        <f t="shared" si="390"/>
        <v>0</v>
      </c>
      <c r="J1784">
        <f t="shared" si="391"/>
        <v>0</v>
      </c>
      <c r="K1784" s="4" t="e">
        <f t="shared" si="394"/>
        <v>#N/A</v>
      </c>
      <c r="L1784" t="e">
        <f t="shared" si="395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2"/>
        <v>0</v>
      </c>
      <c r="B1785">
        <f t="shared" si="383"/>
        <v>0</v>
      </c>
      <c r="C1785">
        <f t="shared" si="384"/>
        <v>0</v>
      </c>
      <c r="D1785">
        <f t="shared" si="385"/>
        <v>0</v>
      </c>
      <c r="E1785" t="e">
        <f t="shared" si="386"/>
        <v>#N/A</v>
      </c>
      <c r="F1785">
        <f t="shared" si="387"/>
        <v>0</v>
      </c>
      <c r="G1785">
        <f t="shared" si="388"/>
        <v>0</v>
      </c>
      <c r="H1785">
        <f t="shared" si="389"/>
        <v>0</v>
      </c>
      <c r="I1785">
        <f t="shared" si="390"/>
        <v>0</v>
      </c>
      <c r="J1785">
        <f t="shared" si="391"/>
        <v>0</v>
      </c>
      <c r="K1785" s="4" t="e">
        <f t="shared" si="394"/>
        <v>#N/A</v>
      </c>
      <c r="L1785" t="e">
        <f t="shared" si="395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2"/>
        <v>0</v>
      </c>
      <c r="B1786">
        <f t="shared" si="383"/>
        <v>0</v>
      </c>
      <c r="C1786">
        <f t="shared" si="384"/>
        <v>0</v>
      </c>
      <c r="D1786">
        <f t="shared" si="385"/>
        <v>0</v>
      </c>
      <c r="E1786" t="e">
        <f t="shared" si="386"/>
        <v>#N/A</v>
      </c>
      <c r="F1786">
        <f t="shared" si="387"/>
        <v>0</v>
      </c>
      <c r="G1786">
        <f t="shared" si="388"/>
        <v>0</v>
      </c>
      <c r="H1786">
        <f t="shared" si="389"/>
        <v>0</v>
      </c>
      <c r="I1786">
        <f t="shared" si="390"/>
        <v>0</v>
      </c>
      <c r="J1786">
        <f t="shared" si="391"/>
        <v>0</v>
      </c>
      <c r="K1786" s="4" t="e">
        <f t="shared" si="394"/>
        <v>#N/A</v>
      </c>
      <c r="L1786" t="e">
        <f t="shared" si="395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2"/>
        <v>0</v>
      </c>
      <c r="B1787">
        <f t="shared" si="383"/>
        <v>0</v>
      </c>
      <c r="C1787">
        <f t="shared" si="384"/>
        <v>0</v>
      </c>
      <c r="D1787">
        <f t="shared" si="385"/>
        <v>0</v>
      </c>
      <c r="E1787" t="e">
        <f t="shared" si="386"/>
        <v>#N/A</v>
      </c>
      <c r="F1787">
        <f t="shared" si="387"/>
        <v>0</v>
      </c>
      <c r="G1787">
        <f t="shared" si="388"/>
        <v>0</v>
      </c>
      <c r="H1787">
        <f t="shared" si="389"/>
        <v>0</v>
      </c>
      <c r="I1787">
        <f t="shared" si="390"/>
        <v>0</v>
      </c>
      <c r="J1787">
        <f t="shared" si="391"/>
        <v>0</v>
      </c>
      <c r="K1787" s="4" t="e">
        <f t="shared" si="394"/>
        <v>#N/A</v>
      </c>
      <c r="L1787" t="e">
        <f t="shared" si="395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2"/>
        <v>0</v>
      </c>
      <c r="B1788">
        <f t="shared" si="383"/>
        <v>0</v>
      </c>
      <c r="C1788">
        <f t="shared" si="384"/>
        <v>0</v>
      </c>
      <c r="D1788">
        <f t="shared" si="385"/>
        <v>0</v>
      </c>
      <c r="E1788" t="e">
        <f t="shared" si="386"/>
        <v>#N/A</v>
      </c>
      <c r="F1788">
        <f t="shared" si="387"/>
        <v>0</v>
      </c>
      <c r="G1788">
        <f t="shared" si="388"/>
        <v>0</v>
      </c>
      <c r="H1788">
        <f t="shared" si="389"/>
        <v>0</v>
      </c>
      <c r="I1788">
        <f t="shared" si="390"/>
        <v>0</v>
      </c>
      <c r="J1788">
        <f t="shared" si="391"/>
        <v>0</v>
      </c>
      <c r="K1788" s="4" t="e">
        <f t="shared" si="394"/>
        <v>#N/A</v>
      </c>
      <c r="L1788" t="e">
        <f t="shared" si="395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2"/>
        <v>0</v>
      </c>
      <c r="B1789">
        <f t="shared" si="383"/>
        <v>0</v>
      </c>
      <c r="C1789">
        <f t="shared" si="384"/>
        <v>0</v>
      </c>
      <c r="D1789">
        <f t="shared" si="385"/>
        <v>0</v>
      </c>
      <c r="E1789" t="e">
        <f t="shared" si="386"/>
        <v>#N/A</v>
      </c>
      <c r="F1789">
        <f t="shared" si="387"/>
        <v>0</v>
      </c>
      <c r="G1789">
        <f t="shared" si="388"/>
        <v>0</v>
      </c>
      <c r="H1789">
        <f t="shared" si="389"/>
        <v>0</v>
      </c>
      <c r="I1789">
        <f t="shared" si="390"/>
        <v>0</v>
      </c>
      <c r="J1789">
        <f t="shared" si="391"/>
        <v>0</v>
      </c>
      <c r="K1789" s="4" t="e">
        <f t="shared" si="394"/>
        <v>#N/A</v>
      </c>
      <c r="L1789" t="e">
        <f t="shared" si="395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2"/>
        <v>0</v>
      </c>
      <c r="B1790">
        <f t="shared" si="383"/>
        <v>0</v>
      </c>
      <c r="C1790">
        <f t="shared" si="384"/>
        <v>0</v>
      </c>
      <c r="D1790">
        <f t="shared" si="385"/>
        <v>0</v>
      </c>
      <c r="E1790" t="e">
        <f t="shared" si="386"/>
        <v>#N/A</v>
      </c>
      <c r="F1790">
        <f t="shared" si="387"/>
        <v>0</v>
      </c>
      <c r="G1790">
        <f t="shared" si="388"/>
        <v>0</v>
      </c>
      <c r="H1790">
        <f t="shared" si="389"/>
        <v>0</v>
      </c>
      <c r="I1790">
        <f t="shared" si="390"/>
        <v>0</v>
      </c>
      <c r="J1790">
        <f t="shared" si="391"/>
        <v>0</v>
      </c>
      <c r="K1790" s="4" t="e">
        <f t="shared" si="394"/>
        <v>#N/A</v>
      </c>
      <c r="L1790" t="e">
        <f t="shared" si="395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2"/>
        <v>0</v>
      </c>
      <c r="B1791">
        <f t="shared" si="383"/>
        <v>0</v>
      </c>
      <c r="C1791">
        <f t="shared" si="384"/>
        <v>0</v>
      </c>
      <c r="D1791">
        <f t="shared" si="385"/>
        <v>0</v>
      </c>
      <c r="E1791" t="e">
        <f t="shared" si="386"/>
        <v>#N/A</v>
      </c>
      <c r="F1791">
        <f t="shared" si="387"/>
        <v>0</v>
      </c>
      <c r="G1791">
        <f t="shared" si="388"/>
        <v>0</v>
      </c>
      <c r="H1791">
        <f t="shared" si="389"/>
        <v>0</v>
      </c>
      <c r="I1791">
        <f t="shared" si="390"/>
        <v>0</v>
      </c>
      <c r="J1791">
        <f t="shared" si="391"/>
        <v>0</v>
      </c>
      <c r="K1791" s="4" t="e">
        <f t="shared" si="394"/>
        <v>#N/A</v>
      </c>
      <c r="L1791" t="e">
        <f t="shared" si="395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2"/>
        <v>0</v>
      </c>
      <c r="B1792">
        <f t="shared" si="383"/>
        <v>0</v>
      </c>
      <c r="C1792">
        <f t="shared" si="384"/>
        <v>0</v>
      </c>
      <c r="D1792">
        <f t="shared" si="385"/>
        <v>0</v>
      </c>
      <c r="E1792" t="e">
        <f t="shared" si="386"/>
        <v>#N/A</v>
      </c>
      <c r="F1792">
        <f t="shared" si="387"/>
        <v>0</v>
      </c>
      <c r="G1792">
        <f t="shared" si="388"/>
        <v>0</v>
      </c>
      <c r="H1792">
        <f t="shared" si="389"/>
        <v>0</v>
      </c>
      <c r="I1792">
        <f t="shared" si="390"/>
        <v>0</v>
      </c>
      <c r="J1792">
        <f t="shared" si="391"/>
        <v>0</v>
      </c>
      <c r="K1792" s="4" t="e">
        <f t="shared" si="394"/>
        <v>#N/A</v>
      </c>
      <c r="L1792" t="e">
        <f t="shared" si="395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2"/>
        <v>0</v>
      </c>
      <c r="B1793">
        <f t="shared" si="383"/>
        <v>0</v>
      </c>
      <c r="C1793">
        <f t="shared" si="384"/>
        <v>0</v>
      </c>
      <c r="D1793">
        <f t="shared" si="385"/>
        <v>0</v>
      </c>
      <c r="E1793" t="e">
        <f t="shared" si="386"/>
        <v>#N/A</v>
      </c>
      <c r="F1793">
        <f t="shared" si="387"/>
        <v>0</v>
      </c>
      <c r="G1793">
        <f t="shared" si="388"/>
        <v>0</v>
      </c>
      <c r="H1793">
        <f t="shared" si="389"/>
        <v>0</v>
      </c>
      <c r="I1793">
        <f t="shared" si="390"/>
        <v>0</v>
      </c>
      <c r="J1793">
        <f t="shared" si="391"/>
        <v>0</v>
      </c>
      <c r="K1793" s="4" t="e">
        <f t="shared" si="394"/>
        <v>#N/A</v>
      </c>
      <c r="L1793" t="e">
        <f t="shared" si="395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6">bd_campaign</f>
        <v>0</v>
      </c>
      <c r="B1794">
        <f t="shared" ref="B1794:B1857" si="397">bd_site</f>
        <v>0</v>
      </c>
      <c r="C1794">
        <f t="shared" ref="C1794:C1857" si="398">bd_placement</f>
        <v>0</v>
      </c>
      <c r="D1794">
        <f t="shared" ref="D1794:D1857" si="399">bd_placementID</f>
        <v>0</v>
      </c>
      <c r="E1794" t="e">
        <f t="shared" ref="E1794:E1857" si="400">VLOOKUP(CONCATENATE(bd_adtype,"_",bd_creativetype),tabela,2,FALSE)</f>
        <v>#N/A</v>
      </c>
      <c r="F1794">
        <f t="shared" ref="F1794:F1857" si="401">bd_ad</f>
        <v>0</v>
      </c>
      <c r="G1794">
        <f t="shared" ref="G1794:G1857" si="402">bd_adid</f>
        <v>0</v>
      </c>
      <c r="H1794">
        <f t="shared" ref="H1794:H1857" si="403">bd_creativetype</f>
        <v>0</v>
      </c>
      <c r="I1794">
        <f t="shared" ref="I1794:I1857" si="404">bd_impression</f>
        <v>0</v>
      </c>
      <c r="J1794">
        <f t="shared" ref="J1794:J1857" si="405">bd_clicks</f>
        <v>0</v>
      </c>
      <c r="K1794" s="4" t="e">
        <f t="shared" si="394"/>
        <v>#N/A</v>
      </c>
      <c r="L1794" t="e">
        <f t="shared" si="395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6"/>
        <v>0</v>
      </c>
      <c r="B1795">
        <f t="shared" si="397"/>
        <v>0</v>
      </c>
      <c r="C1795">
        <f t="shared" si="398"/>
        <v>0</v>
      </c>
      <c r="D1795">
        <f t="shared" si="399"/>
        <v>0</v>
      </c>
      <c r="E1795" t="e">
        <f t="shared" si="400"/>
        <v>#N/A</v>
      </c>
      <c r="F1795">
        <f t="shared" si="401"/>
        <v>0</v>
      </c>
      <c r="G1795">
        <f t="shared" si="402"/>
        <v>0</v>
      </c>
      <c r="H1795">
        <f t="shared" si="403"/>
        <v>0</v>
      </c>
      <c r="I1795">
        <f t="shared" si="404"/>
        <v>0</v>
      </c>
      <c r="J1795">
        <f t="shared" si="405"/>
        <v>0</v>
      </c>
      <c r="K1795" s="4" t="e">
        <f t="shared" si="394"/>
        <v>#N/A</v>
      </c>
      <c r="L1795" t="e">
        <f t="shared" si="395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6"/>
        <v>0</v>
      </c>
      <c r="B1796">
        <f t="shared" si="397"/>
        <v>0</v>
      </c>
      <c r="C1796">
        <f t="shared" si="398"/>
        <v>0</v>
      </c>
      <c r="D1796">
        <f t="shared" si="399"/>
        <v>0</v>
      </c>
      <c r="E1796" t="e">
        <f t="shared" si="400"/>
        <v>#N/A</v>
      </c>
      <c r="F1796">
        <f t="shared" si="401"/>
        <v>0</v>
      </c>
      <c r="G1796">
        <f t="shared" si="402"/>
        <v>0</v>
      </c>
      <c r="H1796">
        <f t="shared" si="403"/>
        <v>0</v>
      </c>
      <c r="I1796">
        <f t="shared" si="404"/>
        <v>0</v>
      </c>
      <c r="J1796">
        <f t="shared" si="405"/>
        <v>0</v>
      </c>
      <c r="K1796" s="4" t="e">
        <f t="shared" si="394"/>
        <v>#N/A</v>
      </c>
      <c r="L1796" t="e">
        <f t="shared" si="395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6"/>
        <v>0</v>
      </c>
      <c r="B1797">
        <f t="shared" si="397"/>
        <v>0</v>
      </c>
      <c r="C1797">
        <f t="shared" si="398"/>
        <v>0</v>
      </c>
      <c r="D1797">
        <f t="shared" si="399"/>
        <v>0</v>
      </c>
      <c r="E1797" t="e">
        <f t="shared" si="400"/>
        <v>#N/A</v>
      </c>
      <c r="F1797">
        <f t="shared" si="401"/>
        <v>0</v>
      </c>
      <c r="G1797">
        <f t="shared" si="402"/>
        <v>0</v>
      </c>
      <c r="H1797">
        <f t="shared" si="403"/>
        <v>0</v>
      </c>
      <c r="I1797">
        <f t="shared" si="404"/>
        <v>0</v>
      </c>
      <c r="J1797">
        <f t="shared" si="405"/>
        <v>0</v>
      </c>
      <c r="K1797" s="4" t="e">
        <f t="shared" si="394"/>
        <v>#N/A</v>
      </c>
      <c r="L1797" t="e">
        <f t="shared" si="395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6"/>
        <v>0</v>
      </c>
      <c r="B1798">
        <f t="shared" si="397"/>
        <v>0</v>
      </c>
      <c r="C1798">
        <f t="shared" si="398"/>
        <v>0</v>
      </c>
      <c r="D1798">
        <f t="shared" si="399"/>
        <v>0</v>
      </c>
      <c r="E1798" t="e">
        <f t="shared" si="400"/>
        <v>#N/A</v>
      </c>
      <c r="F1798">
        <f t="shared" si="401"/>
        <v>0</v>
      </c>
      <c r="G1798">
        <f t="shared" si="402"/>
        <v>0</v>
      </c>
      <c r="H1798">
        <f t="shared" si="403"/>
        <v>0</v>
      </c>
      <c r="I1798">
        <f t="shared" si="404"/>
        <v>0</v>
      </c>
      <c r="J1798">
        <f t="shared" si="405"/>
        <v>0</v>
      </c>
      <c r="K1798" s="4" t="e">
        <f t="shared" si="394"/>
        <v>#N/A</v>
      </c>
      <c r="L1798" t="e">
        <f t="shared" si="395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6"/>
        <v>0</v>
      </c>
      <c r="B1799">
        <f t="shared" si="397"/>
        <v>0</v>
      </c>
      <c r="C1799">
        <f t="shared" si="398"/>
        <v>0</v>
      </c>
      <c r="D1799">
        <f t="shared" si="399"/>
        <v>0</v>
      </c>
      <c r="E1799" t="e">
        <f t="shared" si="400"/>
        <v>#N/A</v>
      </c>
      <c r="F1799">
        <f t="shared" si="401"/>
        <v>0</v>
      </c>
      <c r="G1799">
        <f t="shared" si="402"/>
        <v>0</v>
      </c>
      <c r="H1799">
        <f t="shared" si="403"/>
        <v>0</v>
      </c>
      <c r="I1799">
        <f t="shared" si="404"/>
        <v>0</v>
      </c>
      <c r="J1799">
        <f t="shared" si="405"/>
        <v>0</v>
      </c>
      <c r="K1799" s="4" t="e">
        <f t="shared" si="394"/>
        <v>#N/A</v>
      </c>
      <c r="L1799" t="e">
        <f t="shared" si="395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6"/>
        <v>0</v>
      </c>
      <c r="B1800">
        <f t="shared" si="397"/>
        <v>0</v>
      </c>
      <c r="C1800">
        <f t="shared" si="398"/>
        <v>0</v>
      </c>
      <c r="D1800">
        <f t="shared" si="399"/>
        <v>0</v>
      </c>
      <c r="E1800" t="e">
        <f t="shared" si="400"/>
        <v>#N/A</v>
      </c>
      <c r="F1800">
        <f t="shared" si="401"/>
        <v>0</v>
      </c>
      <c r="G1800">
        <f t="shared" si="402"/>
        <v>0</v>
      </c>
      <c r="H1800">
        <f t="shared" si="403"/>
        <v>0</v>
      </c>
      <c r="I1800">
        <f t="shared" si="404"/>
        <v>0</v>
      </c>
      <c r="J1800">
        <f t="shared" si="405"/>
        <v>0</v>
      </c>
      <c r="K1800" s="4" t="e">
        <f t="shared" si="394"/>
        <v>#N/A</v>
      </c>
      <c r="L1800" t="e">
        <f t="shared" si="395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6"/>
        <v>0</v>
      </c>
      <c r="B1801">
        <f t="shared" si="397"/>
        <v>0</v>
      </c>
      <c r="C1801">
        <f t="shared" si="398"/>
        <v>0</v>
      </c>
      <c r="D1801">
        <f t="shared" si="399"/>
        <v>0</v>
      </c>
      <c r="E1801" t="e">
        <f t="shared" si="400"/>
        <v>#N/A</v>
      </c>
      <c r="F1801">
        <f t="shared" si="401"/>
        <v>0</v>
      </c>
      <c r="G1801">
        <f t="shared" si="402"/>
        <v>0</v>
      </c>
      <c r="H1801">
        <f t="shared" si="403"/>
        <v>0</v>
      </c>
      <c r="I1801">
        <f t="shared" si="404"/>
        <v>0</v>
      </c>
      <c r="J1801">
        <f t="shared" si="405"/>
        <v>0</v>
      </c>
      <c r="K1801" s="4" t="e">
        <f t="shared" si="394"/>
        <v>#N/A</v>
      </c>
      <c r="L1801" t="e">
        <f t="shared" si="395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6"/>
        <v>0</v>
      </c>
      <c r="B1802">
        <f t="shared" si="397"/>
        <v>0</v>
      </c>
      <c r="C1802">
        <f t="shared" si="398"/>
        <v>0</v>
      </c>
      <c r="D1802">
        <f t="shared" si="399"/>
        <v>0</v>
      </c>
      <c r="E1802" t="e">
        <f t="shared" si="400"/>
        <v>#N/A</v>
      </c>
      <c r="F1802">
        <f t="shared" si="401"/>
        <v>0</v>
      </c>
      <c r="G1802">
        <f t="shared" si="402"/>
        <v>0</v>
      </c>
      <c r="H1802">
        <f t="shared" si="403"/>
        <v>0</v>
      </c>
      <c r="I1802">
        <f t="shared" si="404"/>
        <v>0</v>
      </c>
      <c r="J1802">
        <f t="shared" si="405"/>
        <v>0</v>
      </c>
      <c r="K1802" s="4" t="e">
        <f t="shared" si="394"/>
        <v>#N/A</v>
      </c>
      <c r="L1802" t="e">
        <f t="shared" si="395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6"/>
        <v>0</v>
      </c>
      <c r="B1803">
        <f t="shared" si="397"/>
        <v>0</v>
      </c>
      <c r="C1803">
        <f t="shared" si="398"/>
        <v>0</v>
      </c>
      <c r="D1803">
        <f t="shared" si="399"/>
        <v>0</v>
      </c>
      <c r="E1803" t="e">
        <f t="shared" si="400"/>
        <v>#N/A</v>
      </c>
      <c r="F1803">
        <f t="shared" si="401"/>
        <v>0</v>
      </c>
      <c r="G1803">
        <f t="shared" si="402"/>
        <v>0</v>
      </c>
      <c r="H1803">
        <f t="shared" si="403"/>
        <v>0</v>
      </c>
      <c r="I1803">
        <f t="shared" si="404"/>
        <v>0</v>
      </c>
      <c r="J1803">
        <f t="shared" si="405"/>
        <v>0</v>
      </c>
      <c r="K1803" s="4" t="e">
        <f t="shared" si="394"/>
        <v>#N/A</v>
      </c>
      <c r="L1803" t="e">
        <f t="shared" si="395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6"/>
        <v>0</v>
      </c>
      <c r="B1804">
        <f t="shared" si="397"/>
        <v>0</v>
      </c>
      <c r="C1804">
        <f t="shared" si="398"/>
        <v>0</v>
      </c>
      <c r="D1804">
        <f t="shared" si="399"/>
        <v>0</v>
      </c>
      <c r="E1804" t="e">
        <f t="shared" si="400"/>
        <v>#N/A</v>
      </c>
      <c r="F1804">
        <f t="shared" si="401"/>
        <v>0</v>
      </c>
      <c r="G1804">
        <f t="shared" si="402"/>
        <v>0</v>
      </c>
      <c r="H1804">
        <f t="shared" si="403"/>
        <v>0</v>
      </c>
      <c r="I1804">
        <f t="shared" si="404"/>
        <v>0</v>
      </c>
      <c r="J1804">
        <f t="shared" si="405"/>
        <v>0</v>
      </c>
      <c r="K1804" s="4" t="e">
        <f t="shared" si="394"/>
        <v>#N/A</v>
      </c>
      <c r="L1804" t="e">
        <f t="shared" si="395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6"/>
        <v>0</v>
      </c>
      <c r="B1805">
        <f t="shared" si="397"/>
        <v>0</v>
      </c>
      <c r="C1805">
        <f t="shared" si="398"/>
        <v>0</v>
      </c>
      <c r="D1805">
        <f t="shared" si="399"/>
        <v>0</v>
      </c>
      <c r="E1805" t="e">
        <f t="shared" si="400"/>
        <v>#N/A</v>
      </c>
      <c r="F1805">
        <f t="shared" si="401"/>
        <v>0</v>
      </c>
      <c r="G1805">
        <f t="shared" si="402"/>
        <v>0</v>
      </c>
      <c r="H1805">
        <f t="shared" si="403"/>
        <v>0</v>
      </c>
      <c r="I1805">
        <f t="shared" si="404"/>
        <v>0</v>
      </c>
      <c r="J1805">
        <f t="shared" si="405"/>
        <v>0</v>
      </c>
      <c r="K1805" s="4" t="e">
        <f t="shared" si="394"/>
        <v>#N/A</v>
      </c>
      <c r="L1805" t="e">
        <f t="shared" si="395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6"/>
        <v>0</v>
      </c>
      <c r="B1806">
        <f t="shared" si="397"/>
        <v>0</v>
      </c>
      <c r="C1806">
        <f t="shared" si="398"/>
        <v>0</v>
      </c>
      <c r="D1806">
        <f t="shared" si="399"/>
        <v>0</v>
      </c>
      <c r="E1806" t="e">
        <f t="shared" si="400"/>
        <v>#N/A</v>
      </c>
      <c r="F1806">
        <f t="shared" si="401"/>
        <v>0</v>
      </c>
      <c r="G1806">
        <f t="shared" si="402"/>
        <v>0</v>
      </c>
      <c r="H1806">
        <f t="shared" si="403"/>
        <v>0</v>
      </c>
      <c r="I1806">
        <f t="shared" si="404"/>
        <v>0</v>
      </c>
      <c r="J1806">
        <f t="shared" si="405"/>
        <v>0</v>
      </c>
      <c r="K1806" s="4" t="e">
        <f t="shared" si="394"/>
        <v>#N/A</v>
      </c>
      <c r="L1806" t="e">
        <f t="shared" si="395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6"/>
        <v>0</v>
      </c>
      <c r="B1807">
        <f t="shared" si="397"/>
        <v>0</v>
      </c>
      <c r="C1807">
        <f t="shared" si="398"/>
        <v>0</v>
      </c>
      <c r="D1807">
        <f t="shared" si="399"/>
        <v>0</v>
      </c>
      <c r="E1807" t="e">
        <f t="shared" si="400"/>
        <v>#N/A</v>
      </c>
      <c r="F1807">
        <f t="shared" si="401"/>
        <v>0</v>
      </c>
      <c r="G1807">
        <f t="shared" si="402"/>
        <v>0</v>
      </c>
      <c r="H1807">
        <f t="shared" si="403"/>
        <v>0</v>
      </c>
      <c r="I1807">
        <f t="shared" si="404"/>
        <v>0</v>
      </c>
      <c r="J1807">
        <f t="shared" si="405"/>
        <v>0</v>
      </c>
      <c r="K1807" s="4" t="e">
        <f t="shared" si="394"/>
        <v>#N/A</v>
      </c>
      <c r="L1807" t="e">
        <f t="shared" si="395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6"/>
        <v>0</v>
      </c>
      <c r="B1808">
        <f t="shared" si="397"/>
        <v>0</v>
      </c>
      <c r="C1808">
        <f t="shared" si="398"/>
        <v>0</v>
      </c>
      <c r="D1808">
        <f t="shared" si="399"/>
        <v>0</v>
      </c>
      <c r="E1808" t="e">
        <f t="shared" si="400"/>
        <v>#N/A</v>
      </c>
      <c r="F1808">
        <f t="shared" si="401"/>
        <v>0</v>
      </c>
      <c r="G1808">
        <f t="shared" si="402"/>
        <v>0</v>
      </c>
      <c r="H1808">
        <f t="shared" si="403"/>
        <v>0</v>
      </c>
      <c r="I1808">
        <f t="shared" si="404"/>
        <v>0</v>
      </c>
      <c r="J1808">
        <f t="shared" si="405"/>
        <v>0</v>
      </c>
      <c r="K1808" s="4" t="e">
        <f t="shared" si="394"/>
        <v>#N/A</v>
      </c>
      <c r="L1808" t="e">
        <f t="shared" si="395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6"/>
        <v>0</v>
      </c>
      <c r="B1809">
        <f t="shared" si="397"/>
        <v>0</v>
      </c>
      <c r="C1809">
        <f t="shared" si="398"/>
        <v>0</v>
      </c>
      <c r="D1809">
        <f t="shared" si="399"/>
        <v>0</v>
      </c>
      <c r="E1809" t="e">
        <f t="shared" si="400"/>
        <v>#N/A</v>
      </c>
      <c r="F1809">
        <f t="shared" si="401"/>
        <v>0</v>
      </c>
      <c r="G1809">
        <f t="shared" si="402"/>
        <v>0</v>
      </c>
      <c r="H1809">
        <f t="shared" si="403"/>
        <v>0</v>
      </c>
      <c r="I1809">
        <f t="shared" si="404"/>
        <v>0</v>
      </c>
      <c r="J1809">
        <f t="shared" si="405"/>
        <v>0</v>
      </c>
      <c r="K1809" s="4" t="e">
        <f t="shared" si="394"/>
        <v>#N/A</v>
      </c>
      <c r="L1809" t="e">
        <f t="shared" si="395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6"/>
        <v>0</v>
      </c>
      <c r="B1810">
        <f t="shared" si="397"/>
        <v>0</v>
      </c>
      <c r="C1810">
        <f t="shared" si="398"/>
        <v>0</v>
      </c>
      <c r="D1810">
        <f t="shared" si="399"/>
        <v>0</v>
      </c>
      <c r="E1810" t="e">
        <f t="shared" si="400"/>
        <v>#N/A</v>
      </c>
      <c r="F1810">
        <f t="shared" si="401"/>
        <v>0</v>
      </c>
      <c r="G1810">
        <f t="shared" si="402"/>
        <v>0</v>
      </c>
      <c r="H1810">
        <f t="shared" si="403"/>
        <v>0</v>
      </c>
      <c r="I1810">
        <f t="shared" si="404"/>
        <v>0</v>
      </c>
      <c r="J1810">
        <f t="shared" si="405"/>
        <v>0</v>
      </c>
      <c r="K1810" s="4" t="e">
        <f t="shared" si="394"/>
        <v>#N/A</v>
      </c>
      <c r="L1810" t="e">
        <f t="shared" si="395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6"/>
        <v>0</v>
      </c>
      <c r="B1811">
        <f t="shared" si="397"/>
        <v>0</v>
      </c>
      <c r="C1811">
        <f t="shared" si="398"/>
        <v>0</v>
      </c>
      <c r="D1811">
        <f t="shared" si="399"/>
        <v>0</v>
      </c>
      <c r="E1811" t="e">
        <f t="shared" si="400"/>
        <v>#N/A</v>
      </c>
      <c r="F1811">
        <f t="shared" si="401"/>
        <v>0</v>
      </c>
      <c r="G1811">
        <f t="shared" si="402"/>
        <v>0</v>
      </c>
      <c r="H1811">
        <f t="shared" si="403"/>
        <v>0</v>
      </c>
      <c r="I1811">
        <f t="shared" si="404"/>
        <v>0</v>
      </c>
      <c r="J1811">
        <f t="shared" si="405"/>
        <v>0</v>
      </c>
      <c r="K1811" s="4" t="e">
        <f t="shared" si="394"/>
        <v>#N/A</v>
      </c>
      <c r="L1811" t="e">
        <f t="shared" si="395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6"/>
        <v>0</v>
      </c>
      <c r="B1812">
        <f t="shared" si="397"/>
        <v>0</v>
      </c>
      <c r="C1812">
        <f t="shared" si="398"/>
        <v>0</v>
      </c>
      <c r="D1812">
        <f t="shared" si="399"/>
        <v>0</v>
      </c>
      <c r="E1812" t="e">
        <f t="shared" si="400"/>
        <v>#N/A</v>
      </c>
      <c r="F1812">
        <f t="shared" si="401"/>
        <v>0</v>
      </c>
      <c r="G1812">
        <f t="shared" si="402"/>
        <v>0</v>
      </c>
      <c r="H1812">
        <f t="shared" si="403"/>
        <v>0</v>
      </c>
      <c r="I1812">
        <f t="shared" si="404"/>
        <v>0</v>
      </c>
      <c r="J1812">
        <f t="shared" si="405"/>
        <v>0</v>
      </c>
      <c r="K1812" s="4" t="e">
        <f t="shared" si="394"/>
        <v>#N/A</v>
      </c>
      <c r="L1812" t="e">
        <f t="shared" si="395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6"/>
        <v>0</v>
      </c>
      <c r="B1813">
        <f t="shared" si="397"/>
        <v>0</v>
      </c>
      <c r="C1813">
        <f t="shared" si="398"/>
        <v>0</v>
      </c>
      <c r="D1813">
        <f t="shared" si="399"/>
        <v>0</v>
      </c>
      <c r="E1813" t="e">
        <f t="shared" si="400"/>
        <v>#N/A</v>
      </c>
      <c r="F1813">
        <f t="shared" si="401"/>
        <v>0</v>
      </c>
      <c r="G1813">
        <f t="shared" si="402"/>
        <v>0</v>
      </c>
      <c r="H1813">
        <f t="shared" si="403"/>
        <v>0</v>
      </c>
      <c r="I1813">
        <f t="shared" si="404"/>
        <v>0</v>
      </c>
      <c r="J1813">
        <f t="shared" si="405"/>
        <v>0</v>
      </c>
      <c r="K1813" s="4" t="e">
        <f t="shared" si="394"/>
        <v>#N/A</v>
      </c>
      <c r="L1813" t="e">
        <f t="shared" si="395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6"/>
        <v>0</v>
      </c>
      <c r="B1814">
        <f t="shared" si="397"/>
        <v>0</v>
      </c>
      <c r="C1814">
        <f t="shared" si="398"/>
        <v>0</v>
      </c>
      <c r="D1814">
        <f t="shared" si="399"/>
        <v>0</v>
      </c>
      <c r="E1814" t="e">
        <f t="shared" si="400"/>
        <v>#N/A</v>
      </c>
      <c r="F1814">
        <f t="shared" si="401"/>
        <v>0</v>
      </c>
      <c r="G1814">
        <f t="shared" si="402"/>
        <v>0</v>
      </c>
      <c r="H1814">
        <f t="shared" si="403"/>
        <v>0</v>
      </c>
      <c r="I1814">
        <f t="shared" si="404"/>
        <v>0</v>
      </c>
      <c r="J1814">
        <f t="shared" si="405"/>
        <v>0</v>
      </c>
      <c r="K1814" s="4" t="e">
        <f t="shared" si="394"/>
        <v>#N/A</v>
      </c>
      <c r="L1814" t="e">
        <f t="shared" si="395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6"/>
        <v>0</v>
      </c>
      <c r="B1815">
        <f t="shared" si="397"/>
        <v>0</v>
      </c>
      <c r="C1815">
        <f t="shared" si="398"/>
        <v>0</v>
      </c>
      <c r="D1815">
        <f t="shared" si="399"/>
        <v>0</v>
      </c>
      <c r="E1815" t="e">
        <f t="shared" si="400"/>
        <v>#N/A</v>
      </c>
      <c r="F1815">
        <f t="shared" si="401"/>
        <v>0</v>
      </c>
      <c r="G1815">
        <f t="shared" si="402"/>
        <v>0</v>
      </c>
      <c r="H1815">
        <f t="shared" si="403"/>
        <v>0</v>
      </c>
      <c r="I1815">
        <f t="shared" si="404"/>
        <v>0</v>
      </c>
      <c r="J1815">
        <f t="shared" si="405"/>
        <v>0</v>
      </c>
      <c r="K1815" s="4" t="e">
        <f t="shared" si="394"/>
        <v>#N/A</v>
      </c>
      <c r="L1815" t="e">
        <f t="shared" si="395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6"/>
        <v>0</v>
      </c>
      <c r="B1816">
        <f t="shared" si="397"/>
        <v>0</v>
      </c>
      <c r="C1816">
        <f t="shared" si="398"/>
        <v>0</v>
      </c>
      <c r="D1816">
        <f t="shared" si="399"/>
        <v>0</v>
      </c>
      <c r="E1816" t="e">
        <f t="shared" si="400"/>
        <v>#N/A</v>
      </c>
      <c r="F1816">
        <f t="shared" si="401"/>
        <v>0</v>
      </c>
      <c r="G1816">
        <f t="shared" si="402"/>
        <v>0</v>
      </c>
      <c r="H1816">
        <f t="shared" si="403"/>
        <v>0</v>
      </c>
      <c r="I1816">
        <f t="shared" si="404"/>
        <v>0</v>
      </c>
      <c r="J1816">
        <f t="shared" si="405"/>
        <v>0</v>
      </c>
      <c r="K1816" s="4" t="e">
        <f t="shared" si="394"/>
        <v>#N/A</v>
      </c>
      <c r="L1816" t="e">
        <f t="shared" si="395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6"/>
        <v>0</v>
      </c>
      <c r="B1817">
        <f t="shared" si="397"/>
        <v>0</v>
      </c>
      <c r="C1817">
        <f t="shared" si="398"/>
        <v>0</v>
      </c>
      <c r="D1817">
        <f t="shared" si="399"/>
        <v>0</v>
      </c>
      <c r="E1817" t="e">
        <f t="shared" si="400"/>
        <v>#N/A</v>
      </c>
      <c r="F1817">
        <f t="shared" si="401"/>
        <v>0</v>
      </c>
      <c r="G1817">
        <f t="shared" si="402"/>
        <v>0</v>
      </c>
      <c r="H1817">
        <f t="shared" si="403"/>
        <v>0</v>
      </c>
      <c r="I1817">
        <f t="shared" si="404"/>
        <v>0</v>
      </c>
      <c r="J1817">
        <f t="shared" si="405"/>
        <v>0</v>
      </c>
      <c r="K1817" s="4" t="e">
        <f t="shared" si="394"/>
        <v>#N/A</v>
      </c>
      <c r="L1817" t="e">
        <f t="shared" si="395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6"/>
        <v>0</v>
      </c>
      <c r="B1818">
        <f t="shared" si="397"/>
        <v>0</v>
      </c>
      <c r="C1818">
        <f t="shared" si="398"/>
        <v>0</v>
      </c>
      <c r="D1818">
        <f t="shared" si="399"/>
        <v>0</v>
      </c>
      <c r="E1818" t="e">
        <f t="shared" si="400"/>
        <v>#N/A</v>
      </c>
      <c r="F1818">
        <f t="shared" si="401"/>
        <v>0</v>
      </c>
      <c r="G1818">
        <f t="shared" si="402"/>
        <v>0</v>
      </c>
      <c r="H1818">
        <f t="shared" si="403"/>
        <v>0</v>
      </c>
      <c r="I1818">
        <f t="shared" si="404"/>
        <v>0</v>
      </c>
      <c r="J1818">
        <f t="shared" si="405"/>
        <v>0</v>
      </c>
      <c r="K1818" s="4" t="e">
        <f t="shared" si="394"/>
        <v>#N/A</v>
      </c>
      <c r="L1818" t="e">
        <f t="shared" si="395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6"/>
        <v>0</v>
      </c>
      <c r="B1819">
        <f t="shared" si="397"/>
        <v>0</v>
      </c>
      <c r="C1819">
        <f t="shared" si="398"/>
        <v>0</v>
      </c>
      <c r="D1819">
        <f t="shared" si="399"/>
        <v>0</v>
      </c>
      <c r="E1819" t="e">
        <f t="shared" si="400"/>
        <v>#N/A</v>
      </c>
      <c r="F1819">
        <f t="shared" si="401"/>
        <v>0</v>
      </c>
      <c r="G1819">
        <f t="shared" si="402"/>
        <v>0</v>
      </c>
      <c r="H1819">
        <f t="shared" si="403"/>
        <v>0</v>
      </c>
      <c r="I1819">
        <f t="shared" si="404"/>
        <v>0</v>
      </c>
      <c r="J1819">
        <f t="shared" si="405"/>
        <v>0</v>
      </c>
      <c r="K1819" s="4" t="e">
        <f t="shared" si="394"/>
        <v>#N/A</v>
      </c>
      <c r="L1819" t="e">
        <f t="shared" si="395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6"/>
        <v>0</v>
      </c>
      <c r="B1820">
        <f t="shared" si="397"/>
        <v>0</v>
      </c>
      <c r="C1820">
        <f t="shared" si="398"/>
        <v>0</v>
      </c>
      <c r="D1820">
        <f t="shared" si="399"/>
        <v>0</v>
      </c>
      <c r="E1820" t="e">
        <f t="shared" si="400"/>
        <v>#N/A</v>
      </c>
      <c r="F1820">
        <f t="shared" si="401"/>
        <v>0</v>
      </c>
      <c r="G1820">
        <f t="shared" si="402"/>
        <v>0</v>
      </c>
      <c r="H1820">
        <f t="shared" si="403"/>
        <v>0</v>
      </c>
      <c r="I1820">
        <f t="shared" si="404"/>
        <v>0</v>
      </c>
      <c r="J1820">
        <f t="shared" si="405"/>
        <v>0</v>
      </c>
      <c r="K1820" s="4" t="e">
        <f t="shared" si="394"/>
        <v>#N/A</v>
      </c>
      <c r="L1820" t="e">
        <f t="shared" si="395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6"/>
        <v>0</v>
      </c>
      <c r="B1821">
        <f t="shared" si="397"/>
        <v>0</v>
      </c>
      <c r="C1821">
        <f t="shared" si="398"/>
        <v>0</v>
      </c>
      <c r="D1821">
        <f t="shared" si="399"/>
        <v>0</v>
      </c>
      <c r="E1821" t="e">
        <f t="shared" si="400"/>
        <v>#N/A</v>
      </c>
      <c r="F1821">
        <f t="shared" si="401"/>
        <v>0</v>
      </c>
      <c r="G1821">
        <f t="shared" si="402"/>
        <v>0</v>
      </c>
      <c r="H1821">
        <f t="shared" si="403"/>
        <v>0</v>
      </c>
      <c r="I1821">
        <f t="shared" si="404"/>
        <v>0</v>
      </c>
      <c r="J1821">
        <f t="shared" si="405"/>
        <v>0</v>
      </c>
      <c r="K1821" s="4" t="e">
        <f t="shared" si="394"/>
        <v>#N/A</v>
      </c>
      <c r="L1821" t="e">
        <f t="shared" si="395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6"/>
        <v>0</v>
      </c>
      <c r="B1822">
        <f t="shared" si="397"/>
        <v>0</v>
      </c>
      <c r="C1822">
        <f t="shared" si="398"/>
        <v>0</v>
      </c>
      <c r="D1822">
        <f t="shared" si="399"/>
        <v>0</v>
      </c>
      <c r="E1822" t="e">
        <f t="shared" si="400"/>
        <v>#N/A</v>
      </c>
      <c r="F1822">
        <f t="shared" si="401"/>
        <v>0</v>
      </c>
      <c r="G1822">
        <f t="shared" si="402"/>
        <v>0</v>
      </c>
      <c r="H1822">
        <f t="shared" si="403"/>
        <v>0</v>
      </c>
      <c r="I1822">
        <f t="shared" si="404"/>
        <v>0</v>
      </c>
      <c r="J1822">
        <f t="shared" si="405"/>
        <v>0</v>
      </c>
      <c r="K1822" s="4" t="e">
        <f t="shared" si="394"/>
        <v>#N/A</v>
      </c>
      <c r="L1822" t="e">
        <f t="shared" si="395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6"/>
        <v>0</v>
      </c>
      <c r="B1823">
        <f t="shared" si="397"/>
        <v>0</v>
      </c>
      <c r="C1823">
        <f t="shared" si="398"/>
        <v>0</v>
      </c>
      <c r="D1823">
        <f t="shared" si="399"/>
        <v>0</v>
      </c>
      <c r="E1823" t="e">
        <f t="shared" si="400"/>
        <v>#N/A</v>
      </c>
      <c r="F1823">
        <f t="shared" si="401"/>
        <v>0</v>
      </c>
      <c r="G1823">
        <f t="shared" si="402"/>
        <v>0</v>
      </c>
      <c r="H1823">
        <f t="shared" si="403"/>
        <v>0</v>
      </c>
      <c r="I1823">
        <f t="shared" si="404"/>
        <v>0</v>
      </c>
      <c r="J1823">
        <f t="shared" si="405"/>
        <v>0</v>
      </c>
      <c r="K1823" s="4" t="e">
        <f t="shared" si="394"/>
        <v>#N/A</v>
      </c>
      <c r="L1823" t="e">
        <f t="shared" si="395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6"/>
        <v>0</v>
      </c>
      <c r="B1824">
        <f t="shared" si="397"/>
        <v>0</v>
      </c>
      <c r="C1824">
        <f t="shared" si="398"/>
        <v>0</v>
      </c>
      <c r="D1824">
        <f t="shared" si="399"/>
        <v>0</v>
      </c>
      <c r="E1824" t="e">
        <f t="shared" si="400"/>
        <v>#N/A</v>
      </c>
      <c r="F1824">
        <f t="shared" si="401"/>
        <v>0</v>
      </c>
      <c r="G1824">
        <f t="shared" si="402"/>
        <v>0</v>
      </c>
      <c r="H1824">
        <f t="shared" si="403"/>
        <v>0</v>
      </c>
      <c r="I1824">
        <f t="shared" si="404"/>
        <v>0</v>
      </c>
      <c r="J1824">
        <f t="shared" si="405"/>
        <v>0</v>
      </c>
      <c r="K1824" s="4" t="e">
        <f t="shared" si="394"/>
        <v>#N/A</v>
      </c>
      <c r="L1824" t="e">
        <f t="shared" si="395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6"/>
        <v>0</v>
      </c>
      <c r="B1825">
        <f t="shared" si="397"/>
        <v>0</v>
      </c>
      <c r="C1825">
        <f t="shared" si="398"/>
        <v>0</v>
      </c>
      <c r="D1825">
        <f t="shared" si="399"/>
        <v>0</v>
      </c>
      <c r="E1825" t="e">
        <f t="shared" si="400"/>
        <v>#N/A</v>
      </c>
      <c r="F1825">
        <f t="shared" si="401"/>
        <v>0</v>
      </c>
      <c r="G1825">
        <f t="shared" si="402"/>
        <v>0</v>
      </c>
      <c r="H1825">
        <f t="shared" si="403"/>
        <v>0</v>
      </c>
      <c r="I1825">
        <f t="shared" si="404"/>
        <v>0</v>
      </c>
      <c r="J1825">
        <f t="shared" si="405"/>
        <v>0</v>
      </c>
      <c r="K1825" s="4" t="e">
        <f t="shared" si="394"/>
        <v>#N/A</v>
      </c>
      <c r="L1825" t="e">
        <f t="shared" si="395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6"/>
        <v>0</v>
      </c>
      <c r="B1826">
        <f t="shared" si="397"/>
        <v>0</v>
      </c>
      <c r="C1826">
        <f t="shared" si="398"/>
        <v>0</v>
      </c>
      <c r="D1826">
        <f t="shared" si="399"/>
        <v>0</v>
      </c>
      <c r="E1826" t="e">
        <f t="shared" si="400"/>
        <v>#N/A</v>
      </c>
      <c r="F1826">
        <f t="shared" si="401"/>
        <v>0</v>
      </c>
      <c r="G1826">
        <f t="shared" si="402"/>
        <v>0</v>
      </c>
      <c r="H1826">
        <f t="shared" si="403"/>
        <v>0</v>
      </c>
      <c r="I1826">
        <f t="shared" si="404"/>
        <v>0</v>
      </c>
      <c r="J1826">
        <f t="shared" si="405"/>
        <v>0</v>
      </c>
      <c r="K1826" s="4" t="e">
        <f t="shared" si="394"/>
        <v>#N/A</v>
      </c>
      <c r="L1826" t="e">
        <f t="shared" si="395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6"/>
        <v>0</v>
      </c>
      <c r="B1827">
        <f t="shared" si="397"/>
        <v>0</v>
      </c>
      <c r="C1827">
        <f t="shared" si="398"/>
        <v>0</v>
      </c>
      <c r="D1827">
        <f t="shared" si="399"/>
        <v>0</v>
      </c>
      <c r="E1827" t="e">
        <f t="shared" si="400"/>
        <v>#N/A</v>
      </c>
      <c r="F1827">
        <f t="shared" si="401"/>
        <v>0</v>
      </c>
      <c r="G1827">
        <f t="shared" si="402"/>
        <v>0</v>
      </c>
      <c r="H1827">
        <f t="shared" si="403"/>
        <v>0</v>
      </c>
      <c r="I1827">
        <f t="shared" si="404"/>
        <v>0</v>
      </c>
      <c r="J1827">
        <f t="shared" si="405"/>
        <v>0</v>
      </c>
      <c r="K1827" s="4" t="e">
        <f t="shared" si="394"/>
        <v>#N/A</v>
      </c>
      <c r="L1827" t="e">
        <f t="shared" si="395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6"/>
        <v>0</v>
      </c>
      <c r="B1828">
        <f t="shared" si="397"/>
        <v>0</v>
      </c>
      <c r="C1828">
        <f t="shared" si="398"/>
        <v>0</v>
      </c>
      <c r="D1828">
        <f t="shared" si="399"/>
        <v>0</v>
      </c>
      <c r="E1828" t="e">
        <f t="shared" si="400"/>
        <v>#N/A</v>
      </c>
      <c r="F1828">
        <f t="shared" si="401"/>
        <v>0</v>
      </c>
      <c r="G1828">
        <f t="shared" si="402"/>
        <v>0</v>
      </c>
      <c r="H1828">
        <f t="shared" si="403"/>
        <v>0</v>
      </c>
      <c r="I1828">
        <f t="shared" si="404"/>
        <v>0</v>
      </c>
      <c r="J1828">
        <f t="shared" si="405"/>
        <v>0</v>
      </c>
      <c r="K1828" s="4" t="e">
        <f t="shared" si="394"/>
        <v>#N/A</v>
      </c>
      <c r="L1828" t="e">
        <f t="shared" si="395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6"/>
        <v>0</v>
      </c>
      <c r="B1829">
        <f t="shared" si="397"/>
        <v>0</v>
      </c>
      <c r="C1829">
        <f t="shared" si="398"/>
        <v>0</v>
      </c>
      <c r="D1829">
        <f t="shared" si="399"/>
        <v>0</v>
      </c>
      <c r="E1829" t="e">
        <f t="shared" si="400"/>
        <v>#N/A</v>
      </c>
      <c r="F1829">
        <f t="shared" si="401"/>
        <v>0</v>
      </c>
      <c r="G1829">
        <f t="shared" si="402"/>
        <v>0</v>
      </c>
      <c r="H1829">
        <f t="shared" si="403"/>
        <v>0</v>
      </c>
      <c r="I1829">
        <f t="shared" si="404"/>
        <v>0</v>
      </c>
      <c r="J1829">
        <f t="shared" si="405"/>
        <v>0</v>
      </c>
      <c r="K1829" s="4" t="e">
        <f t="shared" si="394"/>
        <v>#N/A</v>
      </c>
      <c r="L1829" t="e">
        <f t="shared" si="395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6"/>
        <v>0</v>
      </c>
      <c r="B1830">
        <f t="shared" si="397"/>
        <v>0</v>
      </c>
      <c r="C1830">
        <f t="shared" si="398"/>
        <v>0</v>
      </c>
      <c r="D1830">
        <f t="shared" si="399"/>
        <v>0</v>
      </c>
      <c r="E1830" t="e">
        <f t="shared" si="400"/>
        <v>#N/A</v>
      </c>
      <c r="F1830">
        <f t="shared" si="401"/>
        <v>0</v>
      </c>
      <c r="G1830">
        <f t="shared" si="402"/>
        <v>0</v>
      </c>
      <c r="H1830">
        <f t="shared" si="403"/>
        <v>0</v>
      </c>
      <c r="I1830">
        <f t="shared" si="404"/>
        <v>0</v>
      </c>
      <c r="J1830">
        <f t="shared" si="405"/>
        <v>0</v>
      </c>
      <c r="K1830" s="4" t="e">
        <f t="shared" si="394"/>
        <v>#N/A</v>
      </c>
      <c r="L1830" t="e">
        <f t="shared" si="395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6"/>
        <v>0</v>
      </c>
      <c r="B1831">
        <f t="shared" si="397"/>
        <v>0</v>
      </c>
      <c r="C1831">
        <f t="shared" si="398"/>
        <v>0</v>
      </c>
      <c r="D1831">
        <f t="shared" si="399"/>
        <v>0</v>
      </c>
      <c r="E1831" t="e">
        <f t="shared" si="400"/>
        <v>#N/A</v>
      </c>
      <c r="F1831">
        <f t="shared" si="401"/>
        <v>0</v>
      </c>
      <c r="G1831">
        <f t="shared" si="402"/>
        <v>0</v>
      </c>
      <c r="H1831">
        <f t="shared" si="403"/>
        <v>0</v>
      </c>
      <c r="I1831">
        <f t="shared" si="404"/>
        <v>0</v>
      </c>
      <c r="J1831">
        <f t="shared" si="405"/>
        <v>0</v>
      </c>
      <c r="K1831" s="4" t="e">
        <f t="shared" si="394"/>
        <v>#N/A</v>
      </c>
      <c r="L1831" t="e">
        <f t="shared" si="395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6"/>
        <v>0</v>
      </c>
      <c r="B1832">
        <f t="shared" si="397"/>
        <v>0</v>
      </c>
      <c r="C1832">
        <f t="shared" si="398"/>
        <v>0</v>
      </c>
      <c r="D1832">
        <f t="shared" si="399"/>
        <v>0</v>
      </c>
      <c r="E1832" t="e">
        <f t="shared" si="400"/>
        <v>#N/A</v>
      </c>
      <c r="F1832">
        <f t="shared" si="401"/>
        <v>0</v>
      </c>
      <c r="G1832">
        <f t="shared" si="402"/>
        <v>0</v>
      </c>
      <c r="H1832">
        <f t="shared" si="403"/>
        <v>0</v>
      </c>
      <c r="I1832">
        <f t="shared" si="404"/>
        <v>0</v>
      </c>
      <c r="J1832">
        <f t="shared" si="405"/>
        <v>0</v>
      </c>
      <c r="K1832" s="4" t="e">
        <f t="shared" si="394"/>
        <v>#N/A</v>
      </c>
      <c r="L1832" t="e">
        <f t="shared" si="395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6"/>
        <v>0</v>
      </c>
      <c r="B1833">
        <f t="shared" si="397"/>
        <v>0</v>
      </c>
      <c r="C1833">
        <f t="shared" si="398"/>
        <v>0</v>
      </c>
      <c r="D1833">
        <f t="shared" si="399"/>
        <v>0</v>
      </c>
      <c r="E1833" t="e">
        <f t="shared" si="400"/>
        <v>#N/A</v>
      </c>
      <c r="F1833">
        <f t="shared" si="401"/>
        <v>0</v>
      </c>
      <c r="G1833">
        <f t="shared" si="402"/>
        <v>0</v>
      </c>
      <c r="H1833">
        <f t="shared" si="403"/>
        <v>0</v>
      </c>
      <c r="I1833">
        <f t="shared" si="404"/>
        <v>0</v>
      </c>
      <c r="J1833">
        <f t="shared" si="405"/>
        <v>0</v>
      </c>
      <c r="K1833" s="4" t="e">
        <f t="shared" si="394"/>
        <v>#N/A</v>
      </c>
      <c r="L1833" t="e">
        <f t="shared" si="395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6"/>
        <v>0</v>
      </c>
      <c r="B1834">
        <f t="shared" si="397"/>
        <v>0</v>
      </c>
      <c r="C1834">
        <f t="shared" si="398"/>
        <v>0</v>
      </c>
      <c r="D1834">
        <f t="shared" si="399"/>
        <v>0</v>
      </c>
      <c r="E1834" t="e">
        <f t="shared" si="400"/>
        <v>#N/A</v>
      </c>
      <c r="F1834">
        <f t="shared" si="401"/>
        <v>0</v>
      </c>
      <c r="G1834">
        <f t="shared" si="402"/>
        <v>0</v>
      </c>
      <c r="H1834">
        <f t="shared" si="403"/>
        <v>0</v>
      </c>
      <c r="I1834">
        <f t="shared" si="404"/>
        <v>0</v>
      </c>
      <c r="J1834">
        <f t="shared" si="405"/>
        <v>0</v>
      </c>
      <c r="K1834" s="4" t="e">
        <f t="shared" si="394"/>
        <v>#N/A</v>
      </c>
      <c r="L1834" t="e">
        <f t="shared" si="395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6"/>
        <v>0</v>
      </c>
      <c r="B1835">
        <f t="shared" si="397"/>
        <v>0</v>
      </c>
      <c r="C1835">
        <f t="shared" si="398"/>
        <v>0</v>
      </c>
      <c r="D1835">
        <f t="shared" si="399"/>
        <v>0</v>
      </c>
      <c r="E1835" t="e">
        <f t="shared" si="400"/>
        <v>#N/A</v>
      </c>
      <c r="F1835">
        <f t="shared" si="401"/>
        <v>0</v>
      </c>
      <c r="G1835">
        <f t="shared" si="402"/>
        <v>0</v>
      </c>
      <c r="H1835">
        <f t="shared" si="403"/>
        <v>0</v>
      </c>
      <c r="I1835">
        <f t="shared" si="404"/>
        <v>0</v>
      </c>
      <c r="J1835">
        <f t="shared" si="405"/>
        <v>0</v>
      </c>
      <c r="K1835" s="4" t="e">
        <f t="shared" si="394"/>
        <v>#N/A</v>
      </c>
      <c r="L1835" t="e">
        <f t="shared" si="395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6"/>
        <v>0</v>
      </c>
      <c r="B1836">
        <f t="shared" si="397"/>
        <v>0</v>
      </c>
      <c r="C1836">
        <f t="shared" si="398"/>
        <v>0</v>
      </c>
      <c r="D1836">
        <f t="shared" si="399"/>
        <v>0</v>
      </c>
      <c r="E1836" t="e">
        <f t="shared" si="400"/>
        <v>#N/A</v>
      </c>
      <c r="F1836">
        <f t="shared" si="401"/>
        <v>0</v>
      </c>
      <c r="G1836">
        <f t="shared" si="402"/>
        <v>0</v>
      </c>
      <c r="H1836">
        <f t="shared" si="403"/>
        <v>0</v>
      </c>
      <c r="I1836">
        <f t="shared" si="404"/>
        <v>0</v>
      </c>
      <c r="J1836">
        <f t="shared" si="405"/>
        <v>0</v>
      </c>
      <c r="K1836" s="4" t="e">
        <f t="shared" ref="K1836:K1899" si="408">IF(LEFT(B1836,3)="DBM",0,VLOOKUP(E1836,tabela,2,FALSE))</f>
        <v>#N/A</v>
      </c>
      <c r="L1836" t="e">
        <f t="shared" ref="L1836:L1899" si="409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6"/>
        <v>0</v>
      </c>
      <c r="B1837">
        <f t="shared" si="397"/>
        <v>0</v>
      </c>
      <c r="C1837">
        <f t="shared" si="398"/>
        <v>0</v>
      </c>
      <c r="D1837">
        <f t="shared" si="399"/>
        <v>0</v>
      </c>
      <c r="E1837" t="e">
        <f t="shared" si="400"/>
        <v>#N/A</v>
      </c>
      <c r="F1837">
        <f t="shared" si="401"/>
        <v>0</v>
      </c>
      <c r="G1837">
        <f t="shared" si="402"/>
        <v>0</v>
      </c>
      <c r="H1837">
        <f t="shared" si="403"/>
        <v>0</v>
      </c>
      <c r="I1837">
        <f t="shared" si="404"/>
        <v>0</v>
      </c>
      <c r="J1837">
        <f t="shared" si="405"/>
        <v>0</v>
      </c>
      <c r="K1837" s="4" t="e">
        <f t="shared" si="408"/>
        <v>#N/A</v>
      </c>
      <c r="L1837" t="e">
        <f t="shared" si="409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6"/>
        <v>0</v>
      </c>
      <c r="B1838">
        <f t="shared" si="397"/>
        <v>0</v>
      </c>
      <c r="C1838">
        <f t="shared" si="398"/>
        <v>0</v>
      </c>
      <c r="D1838">
        <f t="shared" si="399"/>
        <v>0</v>
      </c>
      <c r="E1838" t="e">
        <f t="shared" si="400"/>
        <v>#N/A</v>
      </c>
      <c r="F1838">
        <f t="shared" si="401"/>
        <v>0</v>
      </c>
      <c r="G1838">
        <f t="shared" si="402"/>
        <v>0</v>
      </c>
      <c r="H1838">
        <f t="shared" si="403"/>
        <v>0</v>
      </c>
      <c r="I1838">
        <f t="shared" si="404"/>
        <v>0</v>
      </c>
      <c r="J1838">
        <f t="shared" si="405"/>
        <v>0</v>
      </c>
      <c r="K1838" s="4" t="e">
        <f t="shared" si="408"/>
        <v>#N/A</v>
      </c>
      <c r="L1838" t="e">
        <f t="shared" si="409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6"/>
        <v>0</v>
      </c>
      <c r="B1839">
        <f t="shared" si="397"/>
        <v>0</v>
      </c>
      <c r="C1839">
        <f t="shared" si="398"/>
        <v>0</v>
      </c>
      <c r="D1839">
        <f t="shared" si="399"/>
        <v>0</v>
      </c>
      <c r="E1839" t="e">
        <f t="shared" si="400"/>
        <v>#N/A</v>
      </c>
      <c r="F1839">
        <f t="shared" si="401"/>
        <v>0</v>
      </c>
      <c r="G1839">
        <f t="shared" si="402"/>
        <v>0</v>
      </c>
      <c r="H1839">
        <f t="shared" si="403"/>
        <v>0</v>
      </c>
      <c r="I1839">
        <f t="shared" si="404"/>
        <v>0</v>
      </c>
      <c r="J1839">
        <f t="shared" si="405"/>
        <v>0</v>
      </c>
      <c r="K1839" s="4" t="e">
        <f t="shared" si="408"/>
        <v>#N/A</v>
      </c>
      <c r="L1839" t="e">
        <f t="shared" si="409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6"/>
        <v>0</v>
      </c>
      <c r="B1840">
        <f t="shared" si="397"/>
        <v>0</v>
      </c>
      <c r="C1840">
        <f t="shared" si="398"/>
        <v>0</v>
      </c>
      <c r="D1840">
        <f t="shared" si="399"/>
        <v>0</v>
      </c>
      <c r="E1840" t="e">
        <f t="shared" si="400"/>
        <v>#N/A</v>
      </c>
      <c r="F1840">
        <f t="shared" si="401"/>
        <v>0</v>
      </c>
      <c r="G1840">
        <f t="shared" si="402"/>
        <v>0</v>
      </c>
      <c r="H1840">
        <f t="shared" si="403"/>
        <v>0</v>
      </c>
      <c r="I1840">
        <f t="shared" si="404"/>
        <v>0</v>
      </c>
      <c r="J1840">
        <f t="shared" si="405"/>
        <v>0</v>
      </c>
      <c r="K1840" s="4" t="e">
        <f t="shared" si="408"/>
        <v>#N/A</v>
      </c>
      <c r="L1840" t="e">
        <f t="shared" si="409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6"/>
        <v>0</v>
      </c>
      <c r="B1841">
        <f t="shared" si="397"/>
        <v>0</v>
      </c>
      <c r="C1841">
        <f t="shared" si="398"/>
        <v>0</v>
      </c>
      <c r="D1841">
        <f t="shared" si="399"/>
        <v>0</v>
      </c>
      <c r="E1841" t="e">
        <f t="shared" si="400"/>
        <v>#N/A</v>
      </c>
      <c r="F1841">
        <f t="shared" si="401"/>
        <v>0</v>
      </c>
      <c r="G1841">
        <f t="shared" si="402"/>
        <v>0</v>
      </c>
      <c r="H1841">
        <f t="shared" si="403"/>
        <v>0</v>
      </c>
      <c r="I1841">
        <f t="shared" si="404"/>
        <v>0</v>
      </c>
      <c r="J1841">
        <f t="shared" si="405"/>
        <v>0</v>
      </c>
      <c r="K1841" s="4" t="e">
        <f t="shared" si="408"/>
        <v>#N/A</v>
      </c>
      <c r="L1841" t="e">
        <f t="shared" si="409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6"/>
        <v>0</v>
      </c>
      <c r="B1842">
        <f t="shared" si="397"/>
        <v>0</v>
      </c>
      <c r="C1842">
        <f t="shared" si="398"/>
        <v>0</v>
      </c>
      <c r="D1842">
        <f t="shared" si="399"/>
        <v>0</v>
      </c>
      <c r="E1842" t="e">
        <f t="shared" si="400"/>
        <v>#N/A</v>
      </c>
      <c r="F1842">
        <f t="shared" si="401"/>
        <v>0</v>
      </c>
      <c r="G1842">
        <f t="shared" si="402"/>
        <v>0</v>
      </c>
      <c r="H1842">
        <f t="shared" si="403"/>
        <v>0</v>
      </c>
      <c r="I1842">
        <f t="shared" si="404"/>
        <v>0</v>
      </c>
      <c r="J1842">
        <f t="shared" si="405"/>
        <v>0</v>
      </c>
      <c r="K1842" s="4" t="e">
        <f t="shared" si="408"/>
        <v>#N/A</v>
      </c>
      <c r="L1842" t="e">
        <f t="shared" si="409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6"/>
        <v>0</v>
      </c>
      <c r="B1843">
        <f t="shared" si="397"/>
        <v>0</v>
      </c>
      <c r="C1843">
        <f t="shared" si="398"/>
        <v>0</v>
      </c>
      <c r="D1843">
        <f t="shared" si="399"/>
        <v>0</v>
      </c>
      <c r="E1843" t="e">
        <f t="shared" si="400"/>
        <v>#N/A</v>
      </c>
      <c r="F1843">
        <f t="shared" si="401"/>
        <v>0</v>
      </c>
      <c r="G1843">
        <f t="shared" si="402"/>
        <v>0</v>
      </c>
      <c r="H1843">
        <f t="shared" si="403"/>
        <v>0</v>
      </c>
      <c r="I1843">
        <f t="shared" si="404"/>
        <v>0</v>
      </c>
      <c r="J1843">
        <f t="shared" si="405"/>
        <v>0</v>
      </c>
      <c r="K1843" s="4" t="e">
        <f t="shared" si="408"/>
        <v>#N/A</v>
      </c>
      <c r="L1843" t="e">
        <f t="shared" si="409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6"/>
        <v>0</v>
      </c>
      <c r="B1844">
        <f t="shared" si="397"/>
        <v>0</v>
      </c>
      <c r="C1844">
        <f t="shared" si="398"/>
        <v>0</v>
      </c>
      <c r="D1844">
        <f t="shared" si="399"/>
        <v>0</v>
      </c>
      <c r="E1844" t="e">
        <f t="shared" si="400"/>
        <v>#N/A</v>
      </c>
      <c r="F1844">
        <f t="shared" si="401"/>
        <v>0</v>
      </c>
      <c r="G1844">
        <f t="shared" si="402"/>
        <v>0</v>
      </c>
      <c r="H1844">
        <f t="shared" si="403"/>
        <v>0</v>
      </c>
      <c r="I1844">
        <f t="shared" si="404"/>
        <v>0</v>
      </c>
      <c r="J1844">
        <f t="shared" si="405"/>
        <v>0</v>
      </c>
      <c r="K1844" s="4" t="e">
        <f t="shared" si="408"/>
        <v>#N/A</v>
      </c>
      <c r="L1844" t="e">
        <f t="shared" si="409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6"/>
        <v>0</v>
      </c>
      <c r="B1845">
        <f t="shared" si="397"/>
        <v>0</v>
      </c>
      <c r="C1845">
        <f t="shared" si="398"/>
        <v>0</v>
      </c>
      <c r="D1845">
        <f t="shared" si="399"/>
        <v>0</v>
      </c>
      <c r="E1845" t="e">
        <f t="shared" si="400"/>
        <v>#N/A</v>
      </c>
      <c r="F1845">
        <f t="shared" si="401"/>
        <v>0</v>
      </c>
      <c r="G1845">
        <f t="shared" si="402"/>
        <v>0</v>
      </c>
      <c r="H1845">
        <f t="shared" si="403"/>
        <v>0</v>
      </c>
      <c r="I1845">
        <f t="shared" si="404"/>
        <v>0</v>
      </c>
      <c r="J1845">
        <f t="shared" si="405"/>
        <v>0</v>
      </c>
      <c r="K1845" s="4" t="e">
        <f t="shared" si="408"/>
        <v>#N/A</v>
      </c>
      <c r="L1845" t="e">
        <f t="shared" si="409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6"/>
        <v>0</v>
      </c>
      <c r="B1846">
        <f t="shared" si="397"/>
        <v>0</v>
      </c>
      <c r="C1846">
        <f t="shared" si="398"/>
        <v>0</v>
      </c>
      <c r="D1846">
        <f t="shared" si="399"/>
        <v>0</v>
      </c>
      <c r="E1846" t="e">
        <f t="shared" si="400"/>
        <v>#N/A</v>
      </c>
      <c r="F1846">
        <f t="shared" si="401"/>
        <v>0</v>
      </c>
      <c r="G1846">
        <f t="shared" si="402"/>
        <v>0</v>
      </c>
      <c r="H1846">
        <f t="shared" si="403"/>
        <v>0</v>
      </c>
      <c r="I1846">
        <f t="shared" si="404"/>
        <v>0</v>
      </c>
      <c r="J1846">
        <f t="shared" si="405"/>
        <v>0</v>
      </c>
      <c r="K1846" s="4" t="e">
        <f t="shared" si="408"/>
        <v>#N/A</v>
      </c>
      <c r="L1846" t="e">
        <f t="shared" si="409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6"/>
        <v>0</v>
      </c>
      <c r="B1847">
        <f t="shared" si="397"/>
        <v>0</v>
      </c>
      <c r="C1847">
        <f t="shared" si="398"/>
        <v>0</v>
      </c>
      <c r="D1847">
        <f t="shared" si="399"/>
        <v>0</v>
      </c>
      <c r="E1847" t="e">
        <f t="shared" si="400"/>
        <v>#N/A</v>
      </c>
      <c r="F1847">
        <f t="shared" si="401"/>
        <v>0</v>
      </c>
      <c r="G1847">
        <f t="shared" si="402"/>
        <v>0</v>
      </c>
      <c r="H1847">
        <f t="shared" si="403"/>
        <v>0</v>
      </c>
      <c r="I1847">
        <f t="shared" si="404"/>
        <v>0</v>
      </c>
      <c r="J1847">
        <f t="shared" si="405"/>
        <v>0</v>
      </c>
      <c r="K1847" s="4" t="e">
        <f t="shared" si="408"/>
        <v>#N/A</v>
      </c>
      <c r="L1847" t="e">
        <f t="shared" si="409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55"/>
  <sheetViews>
    <sheetView showGridLines="0" tabSelected="1" workbookViewId="0"/>
  </sheetViews>
  <sheetFormatPr defaultRowHeight="15"/>
  <cols>
    <col min="1" max="1" width="2.85546875" customWidth="1"/>
    <col min="2" max="5" width="36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95469968</v>
      </c>
      <c r="E4" s="14">
        <f>C4*D4/1000</f>
        <v>8592.2971199999993</v>
      </c>
      <c r="G4" s="23" t="s">
        <v>55</v>
      </c>
      <c r="H4" s="23" t="s">
        <v>56</v>
      </c>
    </row>
    <row r="5" spans="1:8">
      <c r="B5" s="13" t="s">
        <v>11</v>
      </c>
      <c r="C5" s="2">
        <v>0.09</v>
      </c>
      <c r="D5" s="2">
        <f>SUMIF(adtype_filtrada,$B5,impressoes_filtrada)</f>
        <v>3</v>
      </c>
      <c r="E5" s="14">
        <f>C5*D5/1000</f>
        <v>2.7E-4</v>
      </c>
      <c r="G5" s="14">
        <f>SUM(total_adops_filtrada)</f>
        <v>48901.808339999647</v>
      </c>
      <c r="H5" s="14">
        <f>SUM(total_ferramenta_filtrada)</f>
        <v>26434.081092199918</v>
      </c>
    </row>
    <row r="6" spans="1:8">
      <c r="B6" s="13" t="s">
        <v>10</v>
      </c>
      <c r="C6" s="2">
        <v>0.02</v>
      </c>
      <c r="D6" s="2">
        <f>SUMIF(adtype_filtrada,$B6,clicks_filtrada)</f>
        <v>1504428</v>
      </c>
      <c r="E6" s="14">
        <f>C6*D6</f>
        <v>30088.560000000001</v>
      </c>
    </row>
    <row r="7" spans="1:8">
      <c r="B7" s="13" t="s">
        <v>30</v>
      </c>
      <c r="C7" s="2">
        <v>0.35</v>
      </c>
      <c r="D7" s="2">
        <f>SUMIF(adtype_filtrada,$B7,impressoes_filtrada)</f>
        <v>29202717</v>
      </c>
      <c r="E7" s="14">
        <f>C7*D7/1000</f>
        <v>10220.950949999999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48901.808340000003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/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501</v>
      </c>
      <c r="C20" t="s">
        <v>50</v>
      </c>
      <c r="D20" t="s">
        <v>502</v>
      </c>
      <c r="E20" t="s">
        <v>348</v>
      </c>
      <c r="F20" t="s">
        <v>10</v>
      </c>
      <c r="G20" t="s">
        <v>502</v>
      </c>
      <c r="H20" t="s">
        <v>349</v>
      </c>
      <c r="I20" t="s">
        <v>32</v>
      </c>
      <c r="J20">
        <v>0</v>
      </c>
      <c r="K20">
        <v>8355</v>
      </c>
      <c r="L20" s="4">
        <v>3.5000000000000001E-3</v>
      </c>
      <c r="M20">
        <v>0.02</v>
      </c>
      <c r="N20" s="4">
        <v>29.2425</v>
      </c>
      <c r="O20" s="4">
        <v>167.1</v>
      </c>
    </row>
    <row r="21" spans="1:15">
      <c r="B21" t="s">
        <v>501</v>
      </c>
      <c r="C21" t="s">
        <v>50</v>
      </c>
      <c r="D21" t="s">
        <v>503</v>
      </c>
      <c r="E21" t="s">
        <v>189</v>
      </c>
      <c r="F21" t="s">
        <v>10</v>
      </c>
      <c r="G21" t="s">
        <v>503</v>
      </c>
      <c r="H21" t="s">
        <v>190</v>
      </c>
      <c r="I21" t="s">
        <v>32</v>
      </c>
      <c r="J21">
        <v>0</v>
      </c>
      <c r="K21">
        <v>25559</v>
      </c>
      <c r="L21" s="4">
        <v>3.5000000000000001E-3</v>
      </c>
      <c r="M21">
        <v>0.02</v>
      </c>
      <c r="N21" s="4">
        <v>89.456500000000005</v>
      </c>
      <c r="O21" s="4">
        <v>511.18</v>
      </c>
    </row>
    <row r="22" spans="1:15">
      <c r="B22" t="s">
        <v>501</v>
      </c>
      <c r="C22" t="s">
        <v>50</v>
      </c>
      <c r="D22" t="s">
        <v>504</v>
      </c>
      <c r="E22" t="s">
        <v>105</v>
      </c>
      <c r="F22" t="s">
        <v>10</v>
      </c>
      <c r="G22" t="s">
        <v>504</v>
      </c>
      <c r="H22" t="s">
        <v>106</v>
      </c>
      <c r="I22" t="s">
        <v>32</v>
      </c>
      <c r="J22">
        <v>0</v>
      </c>
      <c r="K22">
        <v>2</v>
      </c>
      <c r="L22" s="4">
        <v>3.5000000000000001E-3</v>
      </c>
      <c r="M22">
        <v>0.02</v>
      </c>
      <c r="N22" s="4">
        <v>7.0000000000000001E-3</v>
      </c>
      <c r="O22" s="4">
        <v>0.04</v>
      </c>
    </row>
    <row r="23" spans="1:15">
      <c r="B23" t="s">
        <v>501</v>
      </c>
      <c r="C23" t="s">
        <v>50</v>
      </c>
      <c r="D23" t="s">
        <v>505</v>
      </c>
      <c r="E23" t="s">
        <v>342</v>
      </c>
      <c r="F23" t="s">
        <v>10</v>
      </c>
      <c r="G23" t="s">
        <v>505</v>
      </c>
      <c r="H23" t="s">
        <v>343</v>
      </c>
      <c r="I23" t="s">
        <v>32</v>
      </c>
      <c r="J23">
        <v>0</v>
      </c>
      <c r="K23">
        <v>3617</v>
      </c>
      <c r="L23" s="4">
        <v>3.5000000000000001E-3</v>
      </c>
      <c r="M23">
        <v>0.02</v>
      </c>
      <c r="N23" s="4">
        <v>12.6595</v>
      </c>
      <c r="O23" s="4">
        <v>72.34</v>
      </c>
    </row>
    <row r="24" spans="1:15">
      <c r="B24" t="s">
        <v>501</v>
      </c>
      <c r="C24" t="s">
        <v>50</v>
      </c>
      <c r="D24" t="s">
        <v>506</v>
      </c>
      <c r="E24" t="s">
        <v>507</v>
      </c>
      <c r="F24" t="s">
        <v>10</v>
      </c>
      <c r="G24" t="s">
        <v>506</v>
      </c>
      <c r="H24" t="s">
        <v>508</v>
      </c>
      <c r="I24" t="s">
        <v>32</v>
      </c>
      <c r="J24">
        <v>0</v>
      </c>
      <c r="K24">
        <v>1</v>
      </c>
      <c r="L24" s="4">
        <v>3.5000000000000001E-3</v>
      </c>
      <c r="M24">
        <v>0.02</v>
      </c>
      <c r="N24" s="4">
        <v>3.5000000000000001E-3</v>
      </c>
      <c r="O24" s="4">
        <v>0.02</v>
      </c>
    </row>
    <row r="25" spans="1:15">
      <c r="B25" t="s">
        <v>501</v>
      </c>
      <c r="C25" t="s">
        <v>50</v>
      </c>
      <c r="D25" t="s">
        <v>509</v>
      </c>
      <c r="E25" t="s">
        <v>344</v>
      </c>
      <c r="F25" t="s">
        <v>10</v>
      </c>
      <c r="G25" t="s">
        <v>509</v>
      </c>
      <c r="H25" t="s">
        <v>345</v>
      </c>
      <c r="I25" t="s">
        <v>32</v>
      </c>
      <c r="J25">
        <v>0</v>
      </c>
      <c r="K25">
        <v>6773</v>
      </c>
      <c r="L25" s="4">
        <v>3.5000000000000001E-3</v>
      </c>
      <c r="M25">
        <v>0.02</v>
      </c>
      <c r="N25" s="4">
        <v>23.705500000000001</v>
      </c>
      <c r="O25" s="4">
        <v>135.46</v>
      </c>
    </row>
    <row r="26" spans="1:15">
      <c r="B26" t="s">
        <v>501</v>
      </c>
      <c r="C26" t="s">
        <v>50</v>
      </c>
      <c r="D26" t="s">
        <v>510</v>
      </c>
      <c r="E26" t="s">
        <v>346</v>
      </c>
      <c r="F26" t="s">
        <v>10</v>
      </c>
      <c r="G26" t="s">
        <v>510</v>
      </c>
      <c r="H26" t="s">
        <v>347</v>
      </c>
      <c r="I26" t="s">
        <v>32</v>
      </c>
      <c r="J26">
        <v>0</v>
      </c>
      <c r="K26">
        <v>17040</v>
      </c>
      <c r="L26" s="4">
        <v>3.5000000000000001E-3</v>
      </c>
      <c r="M26">
        <v>0.02</v>
      </c>
      <c r="N26" s="4">
        <v>59.64</v>
      </c>
      <c r="O26" s="4">
        <v>340.8</v>
      </c>
    </row>
    <row r="27" spans="1:15">
      <c r="B27" t="s">
        <v>501</v>
      </c>
      <c r="C27" t="s">
        <v>50</v>
      </c>
      <c r="D27" t="s">
        <v>511</v>
      </c>
      <c r="E27" t="s">
        <v>350</v>
      </c>
      <c r="F27" t="s">
        <v>10</v>
      </c>
      <c r="G27" t="s">
        <v>511</v>
      </c>
      <c r="H27" t="s">
        <v>351</v>
      </c>
      <c r="I27" t="s">
        <v>32</v>
      </c>
      <c r="J27">
        <v>0</v>
      </c>
      <c r="K27">
        <v>1218</v>
      </c>
      <c r="L27" s="4">
        <v>3.5000000000000001E-3</v>
      </c>
      <c r="M27">
        <v>0.02</v>
      </c>
      <c r="N27" s="4">
        <v>4.2629999999999999</v>
      </c>
      <c r="O27" s="4">
        <v>24.36</v>
      </c>
    </row>
    <row r="28" spans="1:15">
      <c r="B28" t="s">
        <v>501</v>
      </c>
      <c r="C28" t="s">
        <v>50</v>
      </c>
      <c r="D28" t="s">
        <v>512</v>
      </c>
      <c r="E28" t="s">
        <v>107</v>
      </c>
      <c r="F28" t="s">
        <v>10</v>
      </c>
      <c r="G28" t="s">
        <v>512</v>
      </c>
      <c r="H28" t="s">
        <v>108</v>
      </c>
      <c r="I28" t="s">
        <v>32</v>
      </c>
      <c r="J28">
        <v>0</v>
      </c>
      <c r="K28">
        <v>2</v>
      </c>
      <c r="L28" s="4">
        <v>3.5000000000000001E-3</v>
      </c>
      <c r="M28">
        <v>0.02</v>
      </c>
      <c r="N28" s="4">
        <v>7.0000000000000001E-3</v>
      </c>
      <c r="O28" s="4">
        <v>0.04</v>
      </c>
    </row>
    <row r="29" spans="1:15">
      <c r="B29" t="s">
        <v>501</v>
      </c>
      <c r="C29" t="s">
        <v>50</v>
      </c>
      <c r="D29" t="s">
        <v>513</v>
      </c>
      <c r="E29" t="s">
        <v>352</v>
      </c>
      <c r="F29" t="s">
        <v>10</v>
      </c>
      <c r="G29" t="s">
        <v>513</v>
      </c>
      <c r="H29" t="s">
        <v>353</v>
      </c>
      <c r="I29" t="s">
        <v>32</v>
      </c>
      <c r="J29">
        <v>0</v>
      </c>
      <c r="K29">
        <v>366</v>
      </c>
      <c r="L29" s="4">
        <v>3.5000000000000001E-3</v>
      </c>
      <c r="M29">
        <v>0.02</v>
      </c>
      <c r="N29" s="4">
        <v>1.2809999999999999</v>
      </c>
      <c r="O29" s="4">
        <v>7.32</v>
      </c>
    </row>
    <row r="30" spans="1:15">
      <c r="B30" t="s">
        <v>501</v>
      </c>
      <c r="C30" t="s">
        <v>50</v>
      </c>
      <c r="D30" t="s">
        <v>514</v>
      </c>
      <c r="E30" t="s">
        <v>81</v>
      </c>
      <c r="F30" t="s">
        <v>10</v>
      </c>
      <c r="G30" t="s">
        <v>514</v>
      </c>
      <c r="H30" t="s">
        <v>82</v>
      </c>
      <c r="I30" t="s">
        <v>32</v>
      </c>
      <c r="J30">
        <v>0</v>
      </c>
      <c r="K30">
        <v>1</v>
      </c>
      <c r="L30" s="4">
        <v>3.5000000000000001E-3</v>
      </c>
      <c r="M30">
        <v>0.02</v>
      </c>
      <c r="N30" s="4">
        <v>3.5000000000000001E-3</v>
      </c>
      <c r="O30" s="4">
        <v>0.02</v>
      </c>
    </row>
    <row r="31" spans="1:15">
      <c r="B31" t="s">
        <v>501</v>
      </c>
      <c r="C31" t="s">
        <v>83</v>
      </c>
      <c r="D31" t="s">
        <v>515</v>
      </c>
      <c r="E31" t="s">
        <v>516</v>
      </c>
      <c r="F31" t="s">
        <v>10</v>
      </c>
      <c r="G31" t="s">
        <v>515</v>
      </c>
      <c r="H31" t="s">
        <v>517</v>
      </c>
      <c r="I31" t="s">
        <v>32</v>
      </c>
      <c r="J31">
        <v>6654899</v>
      </c>
      <c r="K31">
        <v>26844</v>
      </c>
      <c r="L31" s="4">
        <v>3.5000000000000001E-3</v>
      </c>
      <c r="M31">
        <v>0.02</v>
      </c>
      <c r="N31" s="4">
        <v>93.954000000000008</v>
      </c>
      <c r="O31" s="4">
        <v>536.88</v>
      </c>
    </row>
    <row r="32" spans="1:15">
      <c r="B32" t="s">
        <v>501</v>
      </c>
      <c r="C32" t="s">
        <v>83</v>
      </c>
      <c r="D32" t="s">
        <v>518</v>
      </c>
      <c r="E32" t="s">
        <v>519</v>
      </c>
      <c r="F32" t="s">
        <v>10</v>
      </c>
      <c r="G32" t="s">
        <v>518</v>
      </c>
      <c r="H32" t="s">
        <v>520</v>
      </c>
      <c r="I32" t="s">
        <v>32</v>
      </c>
      <c r="J32">
        <v>6672124</v>
      </c>
      <c r="K32">
        <v>31153</v>
      </c>
      <c r="L32" s="4">
        <v>3.5000000000000001E-3</v>
      </c>
      <c r="M32">
        <v>0.02</v>
      </c>
      <c r="N32" s="4">
        <v>109.0355</v>
      </c>
      <c r="O32" s="4">
        <v>623.06000000000006</v>
      </c>
    </row>
    <row r="33" spans="2:15">
      <c r="B33" t="s">
        <v>501</v>
      </c>
      <c r="C33" t="s">
        <v>83</v>
      </c>
      <c r="D33" t="s">
        <v>521</v>
      </c>
      <c r="E33" t="s">
        <v>109</v>
      </c>
      <c r="F33" t="s">
        <v>10</v>
      </c>
      <c r="G33" t="s">
        <v>521</v>
      </c>
      <c r="H33" t="s">
        <v>110</v>
      </c>
      <c r="I33" t="s">
        <v>32</v>
      </c>
      <c r="J33">
        <v>0</v>
      </c>
      <c r="K33">
        <v>33</v>
      </c>
      <c r="L33" s="4">
        <v>3.5000000000000001E-3</v>
      </c>
      <c r="M33">
        <v>0.02</v>
      </c>
      <c r="N33" s="4">
        <v>0.11550000000000001</v>
      </c>
      <c r="O33" s="4">
        <v>0.66</v>
      </c>
    </row>
    <row r="34" spans="2:15">
      <c r="B34" t="s">
        <v>501</v>
      </c>
      <c r="C34" t="s">
        <v>83</v>
      </c>
      <c r="D34" t="s">
        <v>522</v>
      </c>
      <c r="E34" t="s">
        <v>523</v>
      </c>
      <c r="F34" t="s">
        <v>10</v>
      </c>
      <c r="G34" t="s">
        <v>522</v>
      </c>
      <c r="H34" t="s">
        <v>524</v>
      </c>
      <c r="I34" t="s">
        <v>32</v>
      </c>
      <c r="J34">
        <v>18528000</v>
      </c>
      <c r="K34">
        <v>238980</v>
      </c>
      <c r="L34" s="4">
        <v>3.5000000000000001E-3</v>
      </c>
      <c r="M34">
        <v>0.02</v>
      </c>
      <c r="N34" s="4">
        <v>836.43000000000006</v>
      </c>
      <c r="O34" s="4">
        <v>4779.6000000000004</v>
      </c>
    </row>
    <row r="35" spans="2:15">
      <c r="B35" t="s">
        <v>501</v>
      </c>
      <c r="C35" t="s">
        <v>49</v>
      </c>
      <c r="D35" t="s">
        <v>525</v>
      </c>
      <c r="E35" t="s">
        <v>364</v>
      </c>
      <c r="F35" t="s">
        <v>12</v>
      </c>
      <c r="G35" t="s">
        <v>525</v>
      </c>
      <c r="H35" t="s">
        <v>365</v>
      </c>
      <c r="I35" t="s">
        <v>31</v>
      </c>
      <c r="J35">
        <v>126498</v>
      </c>
      <c r="K35">
        <v>25</v>
      </c>
      <c r="L35" s="4">
        <v>3.8199999999999998E-2</v>
      </c>
      <c r="M35">
        <v>0.09</v>
      </c>
      <c r="N35" s="4">
        <v>4.832223599999999</v>
      </c>
      <c r="O35" s="4">
        <v>11.384819999999999</v>
      </c>
    </row>
    <row r="36" spans="2:15">
      <c r="B36" t="s">
        <v>501</v>
      </c>
      <c r="C36" t="s">
        <v>49</v>
      </c>
      <c r="D36" t="s">
        <v>526</v>
      </c>
      <c r="E36" t="s">
        <v>366</v>
      </c>
      <c r="F36" t="s">
        <v>12</v>
      </c>
      <c r="G36" t="s">
        <v>526</v>
      </c>
      <c r="H36" t="s">
        <v>368</v>
      </c>
      <c r="I36" t="s">
        <v>31</v>
      </c>
      <c r="J36">
        <v>2163833</v>
      </c>
      <c r="K36">
        <v>3337</v>
      </c>
      <c r="L36" s="4">
        <v>3.8199999999999998E-2</v>
      </c>
      <c r="M36">
        <v>0.09</v>
      </c>
      <c r="N36" s="4">
        <v>82.658420599999999</v>
      </c>
      <c r="O36" s="4">
        <v>194.74497</v>
      </c>
    </row>
    <row r="37" spans="2:15">
      <c r="B37" t="s">
        <v>501</v>
      </c>
      <c r="C37" t="s">
        <v>49</v>
      </c>
      <c r="D37" t="s">
        <v>527</v>
      </c>
      <c r="E37" t="s">
        <v>369</v>
      </c>
      <c r="F37" t="s">
        <v>12</v>
      </c>
      <c r="G37" t="s">
        <v>527</v>
      </c>
      <c r="H37" t="s">
        <v>370</v>
      </c>
      <c r="I37" t="s">
        <v>31</v>
      </c>
      <c r="J37">
        <v>243071</v>
      </c>
      <c r="K37">
        <v>979</v>
      </c>
      <c r="L37" s="4">
        <v>3.8199999999999998E-2</v>
      </c>
      <c r="M37">
        <v>0.09</v>
      </c>
      <c r="N37" s="4">
        <v>9.2853121999999999</v>
      </c>
      <c r="O37" s="4">
        <v>21.876390000000001</v>
      </c>
    </row>
    <row r="38" spans="2:15">
      <c r="B38" t="s">
        <v>501</v>
      </c>
      <c r="C38" t="s">
        <v>49</v>
      </c>
      <c r="D38" t="s">
        <v>528</v>
      </c>
      <c r="E38" t="s">
        <v>371</v>
      </c>
      <c r="F38" t="s">
        <v>12</v>
      </c>
      <c r="G38" t="s">
        <v>528</v>
      </c>
      <c r="H38" t="s">
        <v>372</v>
      </c>
      <c r="I38" t="s">
        <v>31</v>
      </c>
      <c r="J38">
        <v>710511</v>
      </c>
      <c r="K38">
        <v>1655</v>
      </c>
      <c r="L38" s="4">
        <v>3.8199999999999998E-2</v>
      </c>
      <c r="M38">
        <v>0.09</v>
      </c>
      <c r="N38" s="4">
        <v>27.141520199999999</v>
      </c>
      <c r="O38" s="4">
        <v>63.945989999999995</v>
      </c>
    </row>
    <row r="39" spans="2:15">
      <c r="B39" t="s">
        <v>501</v>
      </c>
      <c r="C39" t="s">
        <v>49</v>
      </c>
      <c r="D39" t="s">
        <v>529</v>
      </c>
      <c r="E39" t="s">
        <v>373</v>
      </c>
      <c r="F39" t="s">
        <v>12</v>
      </c>
      <c r="G39" t="s">
        <v>529</v>
      </c>
      <c r="H39" t="s">
        <v>374</v>
      </c>
      <c r="I39" t="s">
        <v>31</v>
      </c>
      <c r="J39">
        <v>484462</v>
      </c>
      <c r="K39">
        <v>188</v>
      </c>
      <c r="L39" s="4">
        <v>3.8199999999999998E-2</v>
      </c>
      <c r="M39">
        <v>0.09</v>
      </c>
      <c r="N39" s="4">
        <v>18.506448399999996</v>
      </c>
      <c r="O39" s="4">
        <v>43.601579999999998</v>
      </c>
    </row>
    <row r="40" spans="2:15">
      <c r="B40" t="s">
        <v>501</v>
      </c>
      <c r="C40" t="s">
        <v>49</v>
      </c>
      <c r="D40" t="s">
        <v>530</v>
      </c>
      <c r="E40" t="s">
        <v>375</v>
      </c>
      <c r="F40" t="s">
        <v>12</v>
      </c>
      <c r="G40" t="s">
        <v>530</v>
      </c>
      <c r="H40" t="s">
        <v>376</v>
      </c>
      <c r="I40" t="s">
        <v>31</v>
      </c>
      <c r="J40">
        <v>106683</v>
      </c>
      <c r="K40">
        <v>12</v>
      </c>
      <c r="L40" s="4">
        <v>3.8199999999999998E-2</v>
      </c>
      <c r="M40">
        <v>0.09</v>
      </c>
      <c r="N40" s="4">
        <v>4.0752905999999998</v>
      </c>
      <c r="O40" s="4">
        <v>9.6014699999999991</v>
      </c>
    </row>
    <row r="41" spans="2:15">
      <c r="B41" t="s">
        <v>501</v>
      </c>
      <c r="C41" t="s">
        <v>49</v>
      </c>
      <c r="D41" t="s">
        <v>531</v>
      </c>
      <c r="E41" t="s">
        <v>377</v>
      </c>
      <c r="F41" t="s">
        <v>12</v>
      </c>
      <c r="G41" t="s">
        <v>531</v>
      </c>
      <c r="H41" t="s">
        <v>378</v>
      </c>
      <c r="I41" t="s">
        <v>31</v>
      </c>
      <c r="J41">
        <v>2013334</v>
      </c>
      <c r="K41">
        <v>3321</v>
      </c>
      <c r="L41" s="4">
        <v>3.8199999999999998E-2</v>
      </c>
      <c r="M41">
        <v>0.09</v>
      </c>
      <c r="N41" s="4">
        <v>76.909358800000007</v>
      </c>
      <c r="O41" s="4">
        <v>181.20006000000001</v>
      </c>
    </row>
    <row r="42" spans="2:15">
      <c r="B42" t="s">
        <v>501</v>
      </c>
      <c r="C42" t="s">
        <v>49</v>
      </c>
      <c r="D42" t="s">
        <v>532</v>
      </c>
      <c r="E42" t="s">
        <v>379</v>
      </c>
      <c r="F42" t="s">
        <v>12</v>
      </c>
      <c r="G42" t="s">
        <v>532</v>
      </c>
      <c r="H42" t="s">
        <v>380</v>
      </c>
      <c r="I42" t="s">
        <v>31</v>
      </c>
      <c r="J42">
        <v>205879</v>
      </c>
      <c r="K42">
        <v>800</v>
      </c>
      <c r="L42" s="4">
        <v>3.8199999999999998E-2</v>
      </c>
      <c r="M42">
        <v>0.09</v>
      </c>
      <c r="N42" s="4">
        <v>7.8645777999999993</v>
      </c>
      <c r="O42" s="4">
        <v>18.529109999999999</v>
      </c>
    </row>
    <row r="43" spans="2:15">
      <c r="B43" t="s">
        <v>501</v>
      </c>
      <c r="C43" t="s">
        <v>49</v>
      </c>
      <c r="D43" t="s">
        <v>533</v>
      </c>
      <c r="E43" t="s">
        <v>381</v>
      </c>
      <c r="F43" t="s">
        <v>12</v>
      </c>
      <c r="G43" t="s">
        <v>533</v>
      </c>
      <c r="H43" t="s">
        <v>382</v>
      </c>
      <c r="I43" t="s">
        <v>31</v>
      </c>
      <c r="J43">
        <v>624873</v>
      </c>
      <c r="K43">
        <v>1459</v>
      </c>
      <c r="L43" s="4">
        <v>3.8199999999999998E-2</v>
      </c>
      <c r="M43">
        <v>0.09</v>
      </c>
      <c r="N43" s="4">
        <v>23.8701486</v>
      </c>
      <c r="O43" s="4">
        <v>56.238570000000003</v>
      </c>
    </row>
    <row r="44" spans="2:15">
      <c r="B44" t="s">
        <v>501</v>
      </c>
      <c r="C44" t="s">
        <v>49</v>
      </c>
      <c r="D44" t="s">
        <v>534</v>
      </c>
      <c r="E44" t="s">
        <v>383</v>
      </c>
      <c r="F44" t="s">
        <v>12</v>
      </c>
      <c r="G44" t="s">
        <v>534</v>
      </c>
      <c r="H44" t="s">
        <v>384</v>
      </c>
      <c r="I44" t="s">
        <v>31</v>
      </c>
      <c r="J44">
        <v>506446</v>
      </c>
      <c r="K44">
        <v>263</v>
      </c>
      <c r="L44" s="4">
        <v>3.8199999999999998E-2</v>
      </c>
      <c r="M44">
        <v>0.09</v>
      </c>
      <c r="N44" s="4">
        <v>19.346237200000001</v>
      </c>
      <c r="O44" s="4">
        <v>45.58014</v>
      </c>
    </row>
    <row r="45" spans="2:15">
      <c r="B45" t="s">
        <v>501</v>
      </c>
      <c r="C45" t="s">
        <v>49</v>
      </c>
      <c r="D45" t="s">
        <v>535</v>
      </c>
      <c r="E45" t="s">
        <v>385</v>
      </c>
      <c r="F45" t="s">
        <v>12</v>
      </c>
      <c r="G45" t="s">
        <v>535</v>
      </c>
      <c r="H45" t="s">
        <v>386</v>
      </c>
      <c r="I45" t="s">
        <v>31</v>
      </c>
      <c r="J45">
        <v>1111879</v>
      </c>
      <c r="K45">
        <v>737</v>
      </c>
      <c r="L45" s="4">
        <v>3.8199999999999998E-2</v>
      </c>
      <c r="M45">
        <v>0.09</v>
      </c>
      <c r="N45" s="4">
        <v>42.473777799999993</v>
      </c>
      <c r="O45" s="4">
        <v>100.06910999999999</v>
      </c>
    </row>
    <row r="46" spans="2:15">
      <c r="B46" t="s">
        <v>501</v>
      </c>
      <c r="C46" t="s">
        <v>49</v>
      </c>
      <c r="D46" t="s">
        <v>536</v>
      </c>
      <c r="E46" t="s">
        <v>387</v>
      </c>
      <c r="F46" t="s">
        <v>12</v>
      </c>
      <c r="G46" t="s">
        <v>536</v>
      </c>
      <c r="H46" t="s">
        <v>388</v>
      </c>
      <c r="I46" t="s">
        <v>31</v>
      </c>
      <c r="J46">
        <v>7785</v>
      </c>
      <c r="K46">
        <v>8</v>
      </c>
      <c r="L46" s="4">
        <v>3.8199999999999998E-2</v>
      </c>
      <c r="M46">
        <v>0.09</v>
      </c>
      <c r="N46" s="4">
        <v>0.29738700000000001</v>
      </c>
      <c r="O46" s="4">
        <v>0.70065</v>
      </c>
    </row>
    <row r="47" spans="2:15">
      <c r="B47" t="s">
        <v>501</v>
      </c>
      <c r="C47" t="s">
        <v>49</v>
      </c>
      <c r="D47" t="s">
        <v>537</v>
      </c>
      <c r="E47" t="s">
        <v>354</v>
      </c>
      <c r="F47" t="s">
        <v>12</v>
      </c>
      <c r="G47" t="s">
        <v>537</v>
      </c>
      <c r="H47" t="s">
        <v>355</v>
      </c>
      <c r="I47" t="s">
        <v>31</v>
      </c>
      <c r="J47">
        <v>94873</v>
      </c>
      <c r="K47">
        <v>61</v>
      </c>
      <c r="L47" s="4">
        <v>3.8199999999999998E-2</v>
      </c>
      <c r="M47">
        <v>0.09</v>
      </c>
      <c r="N47" s="4">
        <v>3.6241485999999998</v>
      </c>
      <c r="O47" s="4">
        <v>8.53857</v>
      </c>
    </row>
    <row r="48" spans="2:15">
      <c r="B48" t="s">
        <v>501</v>
      </c>
      <c r="C48" t="s">
        <v>49</v>
      </c>
      <c r="D48" t="s">
        <v>538</v>
      </c>
      <c r="E48" t="s">
        <v>356</v>
      </c>
      <c r="F48" t="s">
        <v>11</v>
      </c>
      <c r="G48" t="s">
        <v>115</v>
      </c>
      <c r="H48" t="s">
        <v>367</v>
      </c>
      <c r="I48" t="s">
        <v>31</v>
      </c>
      <c r="J48">
        <v>1</v>
      </c>
      <c r="K48">
        <v>0</v>
      </c>
      <c r="L48" s="4">
        <v>3.8199999999999998E-2</v>
      </c>
      <c r="M48">
        <v>0.09</v>
      </c>
      <c r="N48" s="4">
        <v>3.82E-5</v>
      </c>
      <c r="O48" s="4">
        <v>8.9999999999999992E-5</v>
      </c>
    </row>
    <row r="49" spans="2:15">
      <c r="B49" t="s">
        <v>501</v>
      </c>
      <c r="C49" t="s">
        <v>49</v>
      </c>
      <c r="D49" t="s">
        <v>538</v>
      </c>
      <c r="E49" t="s">
        <v>356</v>
      </c>
      <c r="F49" t="s">
        <v>12</v>
      </c>
      <c r="G49" t="s">
        <v>538</v>
      </c>
      <c r="H49" t="s">
        <v>357</v>
      </c>
      <c r="I49" t="s">
        <v>31</v>
      </c>
      <c r="J49">
        <v>5213924</v>
      </c>
      <c r="K49">
        <v>15105</v>
      </c>
      <c r="L49" s="4">
        <v>3.8199999999999998E-2</v>
      </c>
      <c r="M49">
        <v>0.09</v>
      </c>
      <c r="N49" s="4">
        <v>199.17189679999998</v>
      </c>
      <c r="O49" s="4">
        <v>469.25315999999998</v>
      </c>
    </row>
    <row r="50" spans="2:15">
      <c r="B50" t="s">
        <v>501</v>
      </c>
      <c r="C50" t="s">
        <v>49</v>
      </c>
      <c r="D50" t="s">
        <v>539</v>
      </c>
      <c r="E50" t="s">
        <v>358</v>
      </c>
      <c r="F50" t="s">
        <v>12</v>
      </c>
      <c r="G50" t="s">
        <v>539</v>
      </c>
      <c r="H50" t="s">
        <v>359</v>
      </c>
      <c r="I50" t="s">
        <v>31</v>
      </c>
      <c r="J50">
        <v>588085</v>
      </c>
      <c r="K50">
        <v>2693</v>
      </c>
      <c r="L50" s="4">
        <v>3.8199999999999998E-2</v>
      </c>
      <c r="M50">
        <v>0.09</v>
      </c>
      <c r="N50" s="4">
        <v>22.464846999999999</v>
      </c>
      <c r="O50" s="4">
        <v>52.92765</v>
      </c>
    </row>
    <row r="51" spans="2:15">
      <c r="B51" t="s">
        <v>501</v>
      </c>
      <c r="C51" t="s">
        <v>49</v>
      </c>
      <c r="D51" t="s">
        <v>540</v>
      </c>
      <c r="E51" t="s">
        <v>360</v>
      </c>
      <c r="F51" t="s">
        <v>12</v>
      </c>
      <c r="G51" t="s">
        <v>540</v>
      </c>
      <c r="H51" t="s">
        <v>361</v>
      </c>
      <c r="I51" t="s">
        <v>31</v>
      </c>
      <c r="J51">
        <v>2211289</v>
      </c>
      <c r="K51">
        <v>11853</v>
      </c>
      <c r="L51" s="4">
        <v>3.8199999999999998E-2</v>
      </c>
      <c r="M51">
        <v>0.09</v>
      </c>
      <c r="N51" s="4">
        <v>84.471239799999992</v>
      </c>
      <c r="O51" s="4">
        <v>199.01600999999999</v>
      </c>
    </row>
    <row r="52" spans="2:15">
      <c r="B52" t="s">
        <v>501</v>
      </c>
      <c r="C52" t="s">
        <v>49</v>
      </c>
      <c r="D52" t="s">
        <v>541</v>
      </c>
      <c r="E52" t="s">
        <v>362</v>
      </c>
      <c r="F52" t="s">
        <v>12</v>
      </c>
      <c r="G52" t="s">
        <v>541</v>
      </c>
      <c r="H52" t="s">
        <v>363</v>
      </c>
      <c r="I52" t="s">
        <v>31</v>
      </c>
      <c r="J52">
        <v>462308</v>
      </c>
      <c r="K52">
        <v>1170</v>
      </c>
      <c r="L52" s="4">
        <v>3.8199999999999998E-2</v>
      </c>
      <c r="M52">
        <v>0.09</v>
      </c>
      <c r="N52" s="4">
        <v>17.660165599999999</v>
      </c>
      <c r="O52" s="4">
        <v>41.60772</v>
      </c>
    </row>
    <row r="53" spans="2:15">
      <c r="B53" t="s">
        <v>501</v>
      </c>
      <c r="C53" t="s">
        <v>49</v>
      </c>
      <c r="D53" t="s">
        <v>542</v>
      </c>
      <c r="E53" t="s">
        <v>389</v>
      </c>
      <c r="F53" t="s">
        <v>12</v>
      </c>
      <c r="G53" t="s">
        <v>542</v>
      </c>
      <c r="H53" t="s">
        <v>390</v>
      </c>
      <c r="I53" t="s">
        <v>31</v>
      </c>
      <c r="J53">
        <v>42432</v>
      </c>
      <c r="K53">
        <v>32</v>
      </c>
      <c r="L53" s="4">
        <v>3.8199999999999998E-2</v>
      </c>
      <c r="M53">
        <v>0.09</v>
      </c>
      <c r="N53" s="4">
        <v>1.6209023999999999</v>
      </c>
      <c r="O53" s="4">
        <v>3.8188799999999996</v>
      </c>
    </row>
    <row r="54" spans="2:15">
      <c r="B54" t="s">
        <v>501</v>
      </c>
      <c r="C54" t="s">
        <v>49</v>
      </c>
      <c r="D54" t="s">
        <v>543</v>
      </c>
      <c r="E54" t="s">
        <v>391</v>
      </c>
      <c r="F54" t="s">
        <v>12</v>
      </c>
      <c r="G54" t="s">
        <v>543</v>
      </c>
      <c r="H54" t="s">
        <v>392</v>
      </c>
      <c r="I54" t="s">
        <v>31</v>
      </c>
      <c r="J54">
        <v>2627192</v>
      </c>
      <c r="K54">
        <v>5604</v>
      </c>
      <c r="L54" s="4">
        <v>3.8199999999999998E-2</v>
      </c>
      <c r="M54">
        <v>0.09</v>
      </c>
      <c r="N54" s="4">
        <v>100.3587344</v>
      </c>
      <c r="O54" s="4">
        <v>236.44728000000001</v>
      </c>
    </row>
    <row r="55" spans="2:15">
      <c r="B55" t="s">
        <v>501</v>
      </c>
      <c r="C55" t="s">
        <v>49</v>
      </c>
      <c r="D55" t="s">
        <v>544</v>
      </c>
      <c r="E55" t="s">
        <v>393</v>
      </c>
      <c r="F55" t="s">
        <v>12</v>
      </c>
      <c r="G55" t="s">
        <v>544</v>
      </c>
      <c r="H55" t="s">
        <v>394</v>
      </c>
      <c r="I55" t="s">
        <v>31</v>
      </c>
      <c r="J55">
        <v>428531</v>
      </c>
      <c r="K55">
        <v>1639</v>
      </c>
      <c r="L55" s="4">
        <v>3.8199999999999998E-2</v>
      </c>
      <c r="M55">
        <v>0.09</v>
      </c>
      <c r="N55" s="4">
        <v>16.369884199999998</v>
      </c>
      <c r="O55" s="4">
        <v>38.567790000000002</v>
      </c>
    </row>
    <row r="56" spans="2:15">
      <c r="B56" t="s">
        <v>501</v>
      </c>
      <c r="C56" t="s">
        <v>49</v>
      </c>
      <c r="D56" t="s">
        <v>545</v>
      </c>
      <c r="E56" t="s">
        <v>395</v>
      </c>
      <c r="F56" t="s">
        <v>12</v>
      </c>
      <c r="G56" t="s">
        <v>545</v>
      </c>
      <c r="H56" t="s">
        <v>396</v>
      </c>
      <c r="I56" t="s">
        <v>31</v>
      </c>
      <c r="J56">
        <v>233620</v>
      </c>
      <c r="K56">
        <v>797</v>
      </c>
      <c r="L56" s="4">
        <v>3.8199999999999998E-2</v>
      </c>
      <c r="M56">
        <v>0.09</v>
      </c>
      <c r="N56" s="4">
        <v>8.9242840000000001</v>
      </c>
      <c r="O56" s="4">
        <v>21.0258</v>
      </c>
    </row>
    <row r="57" spans="2:15">
      <c r="B57" t="s">
        <v>501</v>
      </c>
      <c r="C57" t="s">
        <v>49</v>
      </c>
      <c r="D57" t="s">
        <v>546</v>
      </c>
      <c r="E57" t="s">
        <v>397</v>
      </c>
      <c r="F57" t="s">
        <v>12</v>
      </c>
      <c r="G57" t="s">
        <v>546</v>
      </c>
      <c r="H57" t="s">
        <v>398</v>
      </c>
      <c r="I57" t="s">
        <v>31</v>
      </c>
      <c r="J57">
        <v>942190</v>
      </c>
      <c r="K57">
        <v>4143</v>
      </c>
      <c r="L57" s="4">
        <v>3.8199999999999998E-2</v>
      </c>
      <c r="M57">
        <v>0.09</v>
      </c>
      <c r="N57" s="4">
        <v>35.991657999999994</v>
      </c>
      <c r="O57" s="4">
        <v>84.797099999999986</v>
      </c>
    </row>
    <row r="58" spans="2:15">
      <c r="B58" t="s">
        <v>501</v>
      </c>
      <c r="C58" t="s">
        <v>49</v>
      </c>
      <c r="D58" t="s">
        <v>547</v>
      </c>
      <c r="E58" t="s">
        <v>399</v>
      </c>
      <c r="F58" t="s">
        <v>12</v>
      </c>
      <c r="G58" t="s">
        <v>547</v>
      </c>
      <c r="H58" t="s">
        <v>400</v>
      </c>
      <c r="I58" t="s">
        <v>31</v>
      </c>
      <c r="J58">
        <v>238049</v>
      </c>
      <c r="K58">
        <v>432</v>
      </c>
      <c r="L58" s="4">
        <v>3.8199999999999998E-2</v>
      </c>
      <c r="M58">
        <v>0.09</v>
      </c>
      <c r="N58" s="4">
        <v>9.0934717999999997</v>
      </c>
      <c r="O58" s="4">
        <v>21.424409999999998</v>
      </c>
    </row>
    <row r="59" spans="2:15">
      <c r="B59" t="s">
        <v>501</v>
      </c>
      <c r="C59" t="s">
        <v>49</v>
      </c>
      <c r="D59" t="s">
        <v>548</v>
      </c>
      <c r="E59" t="s">
        <v>191</v>
      </c>
      <c r="F59" t="s">
        <v>12</v>
      </c>
      <c r="G59" t="s">
        <v>548</v>
      </c>
      <c r="H59" t="s">
        <v>192</v>
      </c>
      <c r="I59" t="s">
        <v>31</v>
      </c>
      <c r="J59">
        <v>221199</v>
      </c>
      <c r="K59">
        <v>136</v>
      </c>
      <c r="L59" s="4">
        <v>3.8199999999999998E-2</v>
      </c>
      <c r="M59">
        <v>0.09</v>
      </c>
      <c r="N59" s="4">
        <v>8.4498017999999995</v>
      </c>
      <c r="O59" s="4">
        <v>19.907910000000001</v>
      </c>
    </row>
    <row r="60" spans="2:15">
      <c r="B60" t="s">
        <v>501</v>
      </c>
      <c r="C60" t="s">
        <v>49</v>
      </c>
      <c r="D60" t="s">
        <v>549</v>
      </c>
      <c r="E60" t="s">
        <v>193</v>
      </c>
      <c r="F60" t="s">
        <v>12</v>
      </c>
      <c r="G60" t="s">
        <v>549</v>
      </c>
      <c r="H60" t="s">
        <v>194</v>
      </c>
      <c r="I60" t="s">
        <v>31</v>
      </c>
      <c r="J60">
        <v>400589</v>
      </c>
      <c r="K60">
        <v>9</v>
      </c>
      <c r="L60" s="4">
        <v>3.8199999999999998E-2</v>
      </c>
      <c r="M60">
        <v>0.09</v>
      </c>
      <c r="N60" s="4">
        <v>15.3024998</v>
      </c>
      <c r="O60" s="4">
        <v>36.05301</v>
      </c>
    </row>
    <row r="61" spans="2:15">
      <c r="B61" t="s">
        <v>501</v>
      </c>
      <c r="C61" t="s">
        <v>49</v>
      </c>
      <c r="D61" t="s">
        <v>550</v>
      </c>
      <c r="E61" t="s">
        <v>401</v>
      </c>
      <c r="F61" t="s">
        <v>12</v>
      </c>
      <c r="G61" t="s">
        <v>550</v>
      </c>
      <c r="H61" t="s">
        <v>402</v>
      </c>
      <c r="I61" t="s">
        <v>31</v>
      </c>
      <c r="J61">
        <v>542685</v>
      </c>
      <c r="K61">
        <v>69</v>
      </c>
      <c r="L61" s="4">
        <v>3.8199999999999998E-2</v>
      </c>
      <c r="M61">
        <v>0.09</v>
      </c>
      <c r="N61" s="4">
        <v>20.730567000000001</v>
      </c>
      <c r="O61" s="4">
        <v>48.841650000000001</v>
      </c>
    </row>
    <row r="62" spans="2:15">
      <c r="B62" t="s">
        <v>501</v>
      </c>
      <c r="C62" t="s">
        <v>49</v>
      </c>
      <c r="D62" t="s">
        <v>551</v>
      </c>
      <c r="E62" t="s">
        <v>195</v>
      </c>
      <c r="F62" t="s">
        <v>12</v>
      </c>
      <c r="G62" t="s">
        <v>551</v>
      </c>
      <c r="H62" t="s">
        <v>196</v>
      </c>
      <c r="I62" t="s">
        <v>31</v>
      </c>
      <c r="J62">
        <v>68062</v>
      </c>
      <c r="K62">
        <v>4</v>
      </c>
      <c r="L62" s="4">
        <v>3.8199999999999998E-2</v>
      </c>
      <c r="M62">
        <v>0.09</v>
      </c>
      <c r="N62" s="4">
        <v>2.5999683999999998</v>
      </c>
      <c r="O62" s="4">
        <v>6.1255800000000002</v>
      </c>
    </row>
    <row r="63" spans="2:15">
      <c r="B63" t="s">
        <v>501</v>
      </c>
      <c r="C63" t="s">
        <v>49</v>
      </c>
      <c r="D63" t="s">
        <v>552</v>
      </c>
      <c r="E63" t="s">
        <v>197</v>
      </c>
      <c r="F63" t="s">
        <v>12</v>
      </c>
      <c r="G63" t="s">
        <v>552</v>
      </c>
      <c r="H63" t="s">
        <v>198</v>
      </c>
      <c r="I63" t="s">
        <v>31</v>
      </c>
      <c r="J63">
        <v>71733</v>
      </c>
      <c r="K63">
        <v>1</v>
      </c>
      <c r="L63" s="4">
        <v>3.8199999999999998E-2</v>
      </c>
      <c r="M63">
        <v>0.09</v>
      </c>
      <c r="N63" s="4">
        <v>2.7402005999999997</v>
      </c>
      <c r="O63" s="4">
        <v>6.4559699999999998</v>
      </c>
    </row>
    <row r="64" spans="2:15">
      <c r="B64" t="s">
        <v>501</v>
      </c>
      <c r="C64" t="s">
        <v>49</v>
      </c>
      <c r="D64" t="s">
        <v>553</v>
      </c>
      <c r="E64" t="s">
        <v>199</v>
      </c>
      <c r="F64" t="s">
        <v>12</v>
      </c>
      <c r="G64" t="s">
        <v>553</v>
      </c>
      <c r="H64" t="s">
        <v>200</v>
      </c>
      <c r="I64" t="s">
        <v>31</v>
      </c>
      <c r="J64">
        <v>175144</v>
      </c>
      <c r="K64">
        <v>15</v>
      </c>
      <c r="L64" s="4">
        <v>3.8199999999999998E-2</v>
      </c>
      <c r="M64">
        <v>0.09</v>
      </c>
      <c r="N64" s="4">
        <v>6.6905007999999997</v>
      </c>
      <c r="O64" s="4">
        <v>15.76296</v>
      </c>
    </row>
    <row r="65" spans="2:15">
      <c r="B65" t="s">
        <v>501</v>
      </c>
      <c r="C65" t="s">
        <v>49</v>
      </c>
      <c r="D65" t="s">
        <v>554</v>
      </c>
      <c r="E65" t="s">
        <v>201</v>
      </c>
      <c r="F65" t="s">
        <v>12</v>
      </c>
      <c r="G65" t="s">
        <v>554</v>
      </c>
      <c r="H65" t="s">
        <v>202</v>
      </c>
      <c r="I65" t="s">
        <v>31</v>
      </c>
      <c r="J65">
        <v>190709</v>
      </c>
      <c r="K65">
        <v>106</v>
      </c>
      <c r="L65" s="4">
        <v>3.8199999999999998E-2</v>
      </c>
      <c r="M65">
        <v>0.09</v>
      </c>
      <c r="N65" s="4">
        <v>7.2850837999999998</v>
      </c>
      <c r="O65" s="4">
        <v>17.163809999999998</v>
      </c>
    </row>
    <row r="66" spans="2:15">
      <c r="B66" t="s">
        <v>501</v>
      </c>
      <c r="C66" t="s">
        <v>49</v>
      </c>
      <c r="D66" t="s">
        <v>555</v>
      </c>
      <c r="E66" t="s">
        <v>203</v>
      </c>
      <c r="F66" t="s">
        <v>12</v>
      </c>
      <c r="G66" t="s">
        <v>555</v>
      </c>
      <c r="H66" t="s">
        <v>204</v>
      </c>
      <c r="I66" t="s">
        <v>31</v>
      </c>
      <c r="J66">
        <v>108392</v>
      </c>
      <c r="K66">
        <v>10</v>
      </c>
      <c r="L66" s="4">
        <v>3.8199999999999998E-2</v>
      </c>
      <c r="M66">
        <v>0.09</v>
      </c>
      <c r="N66" s="4">
        <v>4.1405743999999993</v>
      </c>
      <c r="O66" s="4">
        <v>9.7552799999999991</v>
      </c>
    </row>
    <row r="67" spans="2:15">
      <c r="B67" t="s">
        <v>501</v>
      </c>
      <c r="C67" t="s">
        <v>49</v>
      </c>
      <c r="D67" t="s">
        <v>556</v>
      </c>
      <c r="E67" t="s">
        <v>403</v>
      </c>
      <c r="F67" t="s">
        <v>12</v>
      </c>
      <c r="G67" t="s">
        <v>556</v>
      </c>
      <c r="H67" t="s">
        <v>404</v>
      </c>
      <c r="I67" t="s">
        <v>31</v>
      </c>
      <c r="J67">
        <v>679475</v>
      </c>
      <c r="K67">
        <v>241</v>
      </c>
      <c r="L67" s="4">
        <v>3.8199999999999998E-2</v>
      </c>
      <c r="M67">
        <v>0.09</v>
      </c>
      <c r="N67" s="4">
        <v>25.955945</v>
      </c>
      <c r="O67" s="4">
        <v>61.152749999999997</v>
      </c>
    </row>
    <row r="68" spans="2:15">
      <c r="B68" t="s">
        <v>501</v>
      </c>
      <c r="C68" t="s">
        <v>49</v>
      </c>
      <c r="D68" t="s">
        <v>557</v>
      </c>
      <c r="E68" t="s">
        <v>205</v>
      </c>
      <c r="F68" t="s">
        <v>12</v>
      </c>
      <c r="G68" t="s">
        <v>557</v>
      </c>
      <c r="H68" t="s">
        <v>206</v>
      </c>
      <c r="I68" t="s">
        <v>31</v>
      </c>
      <c r="J68">
        <v>27908</v>
      </c>
      <c r="K68">
        <v>2</v>
      </c>
      <c r="L68" s="4">
        <v>3.8199999999999998E-2</v>
      </c>
      <c r="M68">
        <v>0.09</v>
      </c>
      <c r="N68" s="4">
        <v>1.0660855999999999</v>
      </c>
      <c r="O68" s="4">
        <v>2.51172</v>
      </c>
    </row>
    <row r="69" spans="2:15">
      <c r="B69" t="s">
        <v>501</v>
      </c>
      <c r="C69" t="s">
        <v>49</v>
      </c>
      <c r="D69" t="s">
        <v>558</v>
      </c>
      <c r="E69" t="s">
        <v>207</v>
      </c>
      <c r="F69" t="s">
        <v>12</v>
      </c>
      <c r="G69" t="s">
        <v>558</v>
      </c>
      <c r="H69" t="s">
        <v>208</v>
      </c>
      <c r="I69" t="s">
        <v>31</v>
      </c>
      <c r="J69">
        <v>29362</v>
      </c>
      <c r="K69">
        <v>2</v>
      </c>
      <c r="L69" s="4">
        <v>3.8199999999999998E-2</v>
      </c>
      <c r="M69">
        <v>0.09</v>
      </c>
      <c r="N69" s="4">
        <v>1.1216283999999999</v>
      </c>
      <c r="O69" s="4">
        <v>2.6425799999999997</v>
      </c>
    </row>
    <row r="70" spans="2:15">
      <c r="B70" t="s">
        <v>501</v>
      </c>
      <c r="C70" t="s">
        <v>49</v>
      </c>
      <c r="D70" t="s">
        <v>559</v>
      </c>
      <c r="E70" t="s">
        <v>209</v>
      </c>
      <c r="F70" t="s">
        <v>12</v>
      </c>
      <c r="G70" t="s">
        <v>559</v>
      </c>
      <c r="H70" t="s">
        <v>210</v>
      </c>
      <c r="I70" t="s">
        <v>31</v>
      </c>
      <c r="J70">
        <v>85217</v>
      </c>
      <c r="K70">
        <v>9</v>
      </c>
      <c r="L70" s="4">
        <v>3.8199999999999998E-2</v>
      </c>
      <c r="M70">
        <v>0.09</v>
      </c>
      <c r="N70" s="4">
        <v>3.2552893999999997</v>
      </c>
      <c r="O70" s="4">
        <v>7.66953</v>
      </c>
    </row>
    <row r="71" spans="2:15">
      <c r="B71" t="s">
        <v>501</v>
      </c>
      <c r="C71" t="s">
        <v>53</v>
      </c>
      <c r="D71" t="s">
        <v>560</v>
      </c>
      <c r="E71" t="s">
        <v>561</v>
      </c>
      <c r="F71" t="s">
        <v>10</v>
      </c>
      <c r="G71" t="s">
        <v>560</v>
      </c>
      <c r="H71" t="s">
        <v>562</v>
      </c>
      <c r="I71" t="s">
        <v>32</v>
      </c>
      <c r="J71">
        <v>0</v>
      </c>
      <c r="K71">
        <v>1</v>
      </c>
      <c r="L71" s="4">
        <v>3.5000000000000001E-3</v>
      </c>
      <c r="M71">
        <v>0.02</v>
      </c>
      <c r="N71" s="4">
        <v>3.5000000000000001E-3</v>
      </c>
      <c r="O71" s="4">
        <v>0.02</v>
      </c>
    </row>
    <row r="72" spans="2:15">
      <c r="B72" t="s">
        <v>501</v>
      </c>
      <c r="C72" t="s">
        <v>111</v>
      </c>
      <c r="D72" t="s">
        <v>563</v>
      </c>
      <c r="E72" t="s">
        <v>405</v>
      </c>
      <c r="F72" t="s">
        <v>12</v>
      </c>
      <c r="G72" t="s">
        <v>563</v>
      </c>
      <c r="H72" t="s">
        <v>406</v>
      </c>
      <c r="I72" t="s">
        <v>31</v>
      </c>
      <c r="J72">
        <v>36379</v>
      </c>
      <c r="K72">
        <v>9</v>
      </c>
      <c r="L72" s="4">
        <v>3.8199999999999998E-2</v>
      </c>
      <c r="M72">
        <v>0.09</v>
      </c>
      <c r="N72" s="4">
        <v>1.3896777999999999</v>
      </c>
      <c r="O72" s="4">
        <v>3.2741099999999999</v>
      </c>
    </row>
    <row r="73" spans="2:15">
      <c r="B73" t="s">
        <v>501</v>
      </c>
      <c r="C73" t="s">
        <v>111</v>
      </c>
      <c r="D73" t="s">
        <v>564</v>
      </c>
      <c r="E73" t="s">
        <v>407</v>
      </c>
      <c r="F73" t="s">
        <v>12</v>
      </c>
      <c r="G73" t="s">
        <v>564</v>
      </c>
      <c r="H73" t="s">
        <v>408</v>
      </c>
      <c r="I73" t="s">
        <v>31</v>
      </c>
      <c r="J73">
        <v>5057227</v>
      </c>
      <c r="K73">
        <v>877</v>
      </c>
      <c r="L73" s="4">
        <v>3.8199999999999998E-2</v>
      </c>
      <c r="M73">
        <v>0.09</v>
      </c>
      <c r="N73" s="4">
        <v>193.18607139999997</v>
      </c>
      <c r="O73" s="4">
        <v>455.15042999999997</v>
      </c>
    </row>
    <row r="74" spans="2:15">
      <c r="B74" t="s">
        <v>501</v>
      </c>
      <c r="C74" t="s">
        <v>111</v>
      </c>
      <c r="D74" t="s">
        <v>565</v>
      </c>
      <c r="E74" t="s">
        <v>409</v>
      </c>
      <c r="F74" t="s">
        <v>12</v>
      </c>
      <c r="G74" t="s">
        <v>565</v>
      </c>
      <c r="H74" t="s">
        <v>410</v>
      </c>
      <c r="I74" t="s">
        <v>31</v>
      </c>
      <c r="J74">
        <v>879638</v>
      </c>
      <c r="K74">
        <v>1456</v>
      </c>
      <c r="L74" s="4">
        <v>3.8199999999999998E-2</v>
      </c>
      <c r="M74">
        <v>0.09</v>
      </c>
      <c r="N74" s="4">
        <v>33.602171599999998</v>
      </c>
      <c r="O74" s="4">
        <v>79.167419999999993</v>
      </c>
    </row>
    <row r="75" spans="2:15">
      <c r="B75" t="s">
        <v>501</v>
      </c>
      <c r="C75" t="s">
        <v>111</v>
      </c>
      <c r="D75" t="s">
        <v>566</v>
      </c>
      <c r="E75" t="s">
        <v>411</v>
      </c>
      <c r="F75" t="s">
        <v>12</v>
      </c>
      <c r="G75" t="s">
        <v>566</v>
      </c>
      <c r="H75" t="s">
        <v>412</v>
      </c>
      <c r="I75" t="s">
        <v>31</v>
      </c>
      <c r="J75">
        <v>1649859</v>
      </c>
      <c r="K75">
        <v>1773</v>
      </c>
      <c r="L75" s="4">
        <v>3.8199999999999998E-2</v>
      </c>
      <c r="M75">
        <v>0.09</v>
      </c>
      <c r="N75" s="4">
        <v>63.024613799999997</v>
      </c>
      <c r="O75" s="4">
        <v>148.48731000000001</v>
      </c>
    </row>
    <row r="76" spans="2:15">
      <c r="B76" t="s">
        <v>501</v>
      </c>
      <c r="C76" t="s">
        <v>111</v>
      </c>
      <c r="D76" t="s">
        <v>567</v>
      </c>
      <c r="E76" t="s">
        <v>413</v>
      </c>
      <c r="F76" t="s">
        <v>12</v>
      </c>
      <c r="G76" t="s">
        <v>567</v>
      </c>
      <c r="H76" t="s">
        <v>414</v>
      </c>
      <c r="I76" t="s">
        <v>31</v>
      </c>
      <c r="J76">
        <v>4873323</v>
      </c>
      <c r="K76">
        <v>302</v>
      </c>
      <c r="L76" s="4">
        <v>3.8199999999999998E-2</v>
      </c>
      <c r="M76">
        <v>0.09</v>
      </c>
      <c r="N76" s="4">
        <v>186.16093859999998</v>
      </c>
      <c r="O76" s="4">
        <v>438.59906999999998</v>
      </c>
    </row>
    <row r="77" spans="2:15">
      <c r="B77" t="s">
        <v>501</v>
      </c>
      <c r="C77" t="s">
        <v>111</v>
      </c>
      <c r="D77" t="s">
        <v>568</v>
      </c>
      <c r="E77" t="s">
        <v>415</v>
      </c>
      <c r="F77" t="s">
        <v>12</v>
      </c>
      <c r="G77" t="s">
        <v>568</v>
      </c>
      <c r="H77" t="s">
        <v>416</v>
      </c>
      <c r="I77" t="s">
        <v>31</v>
      </c>
      <c r="J77">
        <v>79442</v>
      </c>
      <c r="K77">
        <v>13</v>
      </c>
      <c r="L77" s="4">
        <v>3.8199999999999998E-2</v>
      </c>
      <c r="M77">
        <v>0.09</v>
      </c>
      <c r="N77" s="4">
        <v>3.0346843999999997</v>
      </c>
      <c r="O77" s="4">
        <v>7.1497799999999998</v>
      </c>
    </row>
    <row r="78" spans="2:15">
      <c r="B78" t="s">
        <v>501</v>
      </c>
      <c r="C78" t="s">
        <v>111</v>
      </c>
      <c r="D78" t="s">
        <v>569</v>
      </c>
      <c r="E78" t="s">
        <v>417</v>
      </c>
      <c r="F78" t="s">
        <v>11</v>
      </c>
      <c r="G78" t="s">
        <v>115</v>
      </c>
      <c r="H78" t="s">
        <v>367</v>
      </c>
      <c r="I78" t="s">
        <v>31</v>
      </c>
      <c r="J78">
        <v>1</v>
      </c>
      <c r="K78">
        <v>0</v>
      </c>
      <c r="L78" s="4">
        <v>3.8199999999999998E-2</v>
      </c>
      <c r="M78">
        <v>0.09</v>
      </c>
      <c r="N78" s="4">
        <v>3.82E-5</v>
      </c>
      <c r="O78" s="4">
        <v>8.9999999999999992E-5</v>
      </c>
    </row>
    <row r="79" spans="2:15">
      <c r="B79" t="s">
        <v>501</v>
      </c>
      <c r="C79" t="s">
        <v>111</v>
      </c>
      <c r="D79" t="s">
        <v>569</v>
      </c>
      <c r="E79" t="s">
        <v>417</v>
      </c>
      <c r="F79" t="s">
        <v>12</v>
      </c>
      <c r="G79" t="s">
        <v>569</v>
      </c>
      <c r="H79" t="s">
        <v>418</v>
      </c>
      <c r="I79" t="s">
        <v>31</v>
      </c>
      <c r="J79">
        <v>3367479</v>
      </c>
      <c r="K79">
        <v>3477</v>
      </c>
      <c r="L79" s="4">
        <v>3.8199999999999998E-2</v>
      </c>
      <c r="M79">
        <v>0.09</v>
      </c>
      <c r="N79" s="4">
        <v>128.63769779999998</v>
      </c>
      <c r="O79" s="4">
        <v>303.07310999999999</v>
      </c>
    </row>
    <row r="80" spans="2:15">
      <c r="B80" t="s">
        <v>501</v>
      </c>
      <c r="C80" t="s">
        <v>111</v>
      </c>
      <c r="D80" t="s">
        <v>570</v>
      </c>
      <c r="E80" t="s">
        <v>419</v>
      </c>
      <c r="F80" t="s">
        <v>12</v>
      </c>
      <c r="G80" t="s">
        <v>570</v>
      </c>
      <c r="H80" t="s">
        <v>420</v>
      </c>
      <c r="I80" t="s">
        <v>31</v>
      </c>
      <c r="J80">
        <v>1249628</v>
      </c>
      <c r="K80">
        <v>2065</v>
      </c>
      <c r="L80" s="4">
        <v>3.8199999999999998E-2</v>
      </c>
      <c r="M80">
        <v>0.09</v>
      </c>
      <c r="N80" s="4">
        <v>47.735789599999997</v>
      </c>
      <c r="O80" s="4">
        <v>112.46651999999999</v>
      </c>
    </row>
    <row r="81" spans="2:15">
      <c r="B81" t="s">
        <v>501</v>
      </c>
      <c r="C81" t="s">
        <v>111</v>
      </c>
      <c r="D81" t="s">
        <v>571</v>
      </c>
      <c r="E81" t="s">
        <v>421</v>
      </c>
      <c r="F81" t="s">
        <v>12</v>
      </c>
      <c r="G81" t="s">
        <v>571</v>
      </c>
      <c r="H81" t="s">
        <v>423</v>
      </c>
      <c r="I81" t="s">
        <v>31</v>
      </c>
      <c r="J81">
        <v>5112218</v>
      </c>
      <c r="K81">
        <v>8293</v>
      </c>
      <c r="L81" s="4">
        <v>3.8199999999999998E-2</v>
      </c>
      <c r="M81">
        <v>0.09</v>
      </c>
      <c r="N81" s="4">
        <v>195.28672759999998</v>
      </c>
      <c r="O81" s="4">
        <v>460.09962000000002</v>
      </c>
    </row>
    <row r="82" spans="2:15">
      <c r="B82" t="s">
        <v>501</v>
      </c>
      <c r="C82" t="s">
        <v>111</v>
      </c>
      <c r="D82" t="s">
        <v>572</v>
      </c>
      <c r="E82" t="s">
        <v>424</v>
      </c>
      <c r="F82" t="s">
        <v>12</v>
      </c>
      <c r="G82" t="s">
        <v>572</v>
      </c>
      <c r="H82" t="s">
        <v>425</v>
      </c>
      <c r="I82" t="s">
        <v>31</v>
      </c>
      <c r="J82">
        <v>1376302</v>
      </c>
      <c r="K82">
        <v>242</v>
      </c>
      <c r="L82" s="4">
        <v>3.8199999999999998E-2</v>
      </c>
      <c r="M82">
        <v>0.09</v>
      </c>
      <c r="N82" s="4">
        <v>52.574736399999992</v>
      </c>
      <c r="O82" s="4">
        <v>123.86717999999999</v>
      </c>
    </row>
    <row r="83" spans="2:15">
      <c r="B83" t="s">
        <v>501</v>
      </c>
      <c r="C83" t="s">
        <v>111</v>
      </c>
      <c r="D83" t="s">
        <v>573</v>
      </c>
      <c r="E83" t="s">
        <v>456</v>
      </c>
      <c r="F83" t="s">
        <v>12</v>
      </c>
      <c r="G83" t="s">
        <v>573</v>
      </c>
      <c r="H83" t="s">
        <v>457</v>
      </c>
      <c r="I83" t="s">
        <v>31</v>
      </c>
      <c r="J83">
        <v>34</v>
      </c>
      <c r="K83">
        <v>0</v>
      </c>
      <c r="L83" s="4">
        <v>3.8199999999999998E-2</v>
      </c>
      <c r="M83">
        <v>0.09</v>
      </c>
      <c r="N83" s="4">
        <v>1.2987999999999999E-3</v>
      </c>
      <c r="O83" s="4">
        <v>3.0600000000000002E-3</v>
      </c>
    </row>
    <row r="84" spans="2:15">
      <c r="B84" t="s">
        <v>501</v>
      </c>
      <c r="C84" t="s">
        <v>111</v>
      </c>
      <c r="D84" t="s">
        <v>574</v>
      </c>
      <c r="E84" t="s">
        <v>458</v>
      </c>
      <c r="F84" t="s">
        <v>12</v>
      </c>
      <c r="G84" t="s">
        <v>574</v>
      </c>
      <c r="H84" t="s">
        <v>459</v>
      </c>
      <c r="I84" t="s">
        <v>31</v>
      </c>
      <c r="J84">
        <v>4417525</v>
      </c>
      <c r="K84">
        <v>5325</v>
      </c>
      <c r="L84" s="4">
        <v>3.8199999999999998E-2</v>
      </c>
      <c r="M84">
        <v>0.09</v>
      </c>
      <c r="N84" s="4">
        <v>168.74945499999998</v>
      </c>
      <c r="O84" s="4">
        <v>397.57724999999999</v>
      </c>
    </row>
    <row r="85" spans="2:15">
      <c r="B85" t="s">
        <v>501</v>
      </c>
      <c r="C85" t="s">
        <v>111</v>
      </c>
      <c r="D85" t="s">
        <v>575</v>
      </c>
      <c r="E85" t="s">
        <v>460</v>
      </c>
      <c r="F85" t="s">
        <v>12</v>
      </c>
      <c r="G85" t="s">
        <v>575</v>
      </c>
      <c r="H85" t="s">
        <v>461</v>
      </c>
      <c r="I85" t="s">
        <v>31</v>
      </c>
      <c r="J85">
        <v>1922737</v>
      </c>
      <c r="K85">
        <v>702</v>
      </c>
      <c r="L85" s="4">
        <v>3.8199999999999998E-2</v>
      </c>
      <c r="M85">
        <v>0.09</v>
      </c>
      <c r="N85" s="4">
        <v>73.448553399999994</v>
      </c>
      <c r="O85" s="4">
        <v>173.04632999999998</v>
      </c>
    </row>
    <row r="86" spans="2:15">
      <c r="B86" t="s">
        <v>501</v>
      </c>
      <c r="C86" t="s">
        <v>111</v>
      </c>
      <c r="D86" t="s">
        <v>576</v>
      </c>
      <c r="E86" t="s">
        <v>462</v>
      </c>
      <c r="F86" t="s">
        <v>12</v>
      </c>
      <c r="G86" t="s">
        <v>576</v>
      </c>
      <c r="H86" t="s">
        <v>463</v>
      </c>
      <c r="I86" t="s">
        <v>31</v>
      </c>
      <c r="J86">
        <v>1153800</v>
      </c>
      <c r="K86">
        <v>90</v>
      </c>
      <c r="L86" s="4">
        <v>3.8199999999999998E-2</v>
      </c>
      <c r="M86">
        <v>0.09</v>
      </c>
      <c r="N86" s="4">
        <v>44.075159999999997</v>
      </c>
      <c r="O86" s="4">
        <v>103.842</v>
      </c>
    </row>
    <row r="87" spans="2:15">
      <c r="B87" t="s">
        <v>501</v>
      </c>
      <c r="C87" t="s">
        <v>111</v>
      </c>
      <c r="D87" t="s">
        <v>577</v>
      </c>
      <c r="E87" t="s">
        <v>426</v>
      </c>
      <c r="F87" t="s">
        <v>12</v>
      </c>
      <c r="G87" t="s">
        <v>577</v>
      </c>
      <c r="H87" t="s">
        <v>427</v>
      </c>
      <c r="I87" t="s">
        <v>31</v>
      </c>
      <c r="J87">
        <v>8</v>
      </c>
      <c r="K87">
        <v>0</v>
      </c>
      <c r="L87" s="4">
        <v>3.8199999999999998E-2</v>
      </c>
      <c r="M87">
        <v>0.09</v>
      </c>
      <c r="N87" s="4">
        <v>3.056E-4</v>
      </c>
      <c r="O87" s="4">
        <v>7.1999999999999994E-4</v>
      </c>
    </row>
    <row r="88" spans="2:15">
      <c r="B88" t="s">
        <v>501</v>
      </c>
      <c r="C88" t="s">
        <v>111</v>
      </c>
      <c r="D88" t="s">
        <v>578</v>
      </c>
      <c r="E88" t="s">
        <v>428</v>
      </c>
      <c r="F88" t="s">
        <v>12</v>
      </c>
      <c r="G88" t="s">
        <v>578</v>
      </c>
      <c r="H88" t="s">
        <v>429</v>
      </c>
      <c r="I88" t="s">
        <v>31</v>
      </c>
      <c r="J88">
        <v>1801499</v>
      </c>
      <c r="K88">
        <v>883</v>
      </c>
      <c r="L88" s="4">
        <v>3.8199999999999998E-2</v>
      </c>
      <c r="M88">
        <v>0.09</v>
      </c>
      <c r="N88" s="4">
        <v>68.817261799999997</v>
      </c>
      <c r="O88" s="4">
        <v>162.13490999999999</v>
      </c>
    </row>
    <row r="89" spans="2:15">
      <c r="B89" t="s">
        <v>501</v>
      </c>
      <c r="C89" t="s">
        <v>111</v>
      </c>
      <c r="D89" t="s">
        <v>579</v>
      </c>
      <c r="E89" t="s">
        <v>430</v>
      </c>
      <c r="F89" t="s">
        <v>12</v>
      </c>
      <c r="G89" t="s">
        <v>579</v>
      </c>
      <c r="H89" t="s">
        <v>431</v>
      </c>
      <c r="I89" t="s">
        <v>31</v>
      </c>
      <c r="J89">
        <v>806266</v>
      </c>
      <c r="K89">
        <v>1456</v>
      </c>
      <c r="L89" s="4">
        <v>3.8199999999999998E-2</v>
      </c>
      <c r="M89">
        <v>0.09</v>
      </c>
      <c r="N89" s="4">
        <v>30.7993612</v>
      </c>
      <c r="O89" s="4">
        <v>72.563940000000002</v>
      </c>
    </row>
    <row r="90" spans="2:15">
      <c r="B90" t="s">
        <v>501</v>
      </c>
      <c r="C90" t="s">
        <v>111</v>
      </c>
      <c r="D90" t="s">
        <v>580</v>
      </c>
      <c r="E90" t="s">
        <v>432</v>
      </c>
      <c r="F90" t="s">
        <v>12</v>
      </c>
      <c r="G90" t="s">
        <v>580</v>
      </c>
      <c r="H90" t="s">
        <v>433</v>
      </c>
      <c r="I90" t="s">
        <v>31</v>
      </c>
      <c r="J90">
        <v>5022047</v>
      </c>
      <c r="K90">
        <v>13900</v>
      </c>
      <c r="L90" s="4">
        <v>3.8199999999999998E-2</v>
      </c>
      <c r="M90">
        <v>0.09</v>
      </c>
      <c r="N90" s="4">
        <v>191.84219540000001</v>
      </c>
      <c r="O90" s="4">
        <v>451.98422999999997</v>
      </c>
    </row>
    <row r="91" spans="2:15">
      <c r="B91" t="s">
        <v>501</v>
      </c>
      <c r="C91" t="s">
        <v>111</v>
      </c>
      <c r="D91" t="s">
        <v>581</v>
      </c>
      <c r="E91" t="s">
        <v>434</v>
      </c>
      <c r="F91" t="s">
        <v>12</v>
      </c>
      <c r="G91" t="s">
        <v>581</v>
      </c>
      <c r="H91" t="s">
        <v>435</v>
      </c>
      <c r="I91" t="s">
        <v>31</v>
      </c>
      <c r="J91">
        <v>1479678</v>
      </c>
      <c r="K91">
        <v>105</v>
      </c>
      <c r="L91" s="4">
        <v>3.8199999999999998E-2</v>
      </c>
      <c r="M91">
        <v>0.09</v>
      </c>
      <c r="N91" s="4">
        <v>56.5236996</v>
      </c>
      <c r="O91" s="4">
        <v>133.17102</v>
      </c>
    </row>
    <row r="92" spans="2:15">
      <c r="B92" t="s">
        <v>501</v>
      </c>
      <c r="C92" t="s">
        <v>111</v>
      </c>
      <c r="D92" t="s">
        <v>582</v>
      </c>
      <c r="E92" t="s">
        <v>436</v>
      </c>
      <c r="F92" t="s">
        <v>12</v>
      </c>
      <c r="G92" t="s">
        <v>582</v>
      </c>
      <c r="H92" t="s">
        <v>437</v>
      </c>
      <c r="I92" t="s">
        <v>31</v>
      </c>
      <c r="J92">
        <v>9</v>
      </c>
      <c r="K92">
        <v>0</v>
      </c>
      <c r="L92" s="4">
        <v>3.8199999999999998E-2</v>
      </c>
      <c r="M92">
        <v>0.09</v>
      </c>
      <c r="N92" s="4">
        <v>3.4380000000000001E-4</v>
      </c>
      <c r="O92" s="4">
        <v>8.0999999999999996E-4</v>
      </c>
    </row>
    <row r="93" spans="2:15">
      <c r="B93" t="s">
        <v>501</v>
      </c>
      <c r="C93" t="s">
        <v>111</v>
      </c>
      <c r="D93" t="s">
        <v>583</v>
      </c>
      <c r="E93" t="s">
        <v>438</v>
      </c>
      <c r="F93" t="s">
        <v>12</v>
      </c>
      <c r="G93" t="s">
        <v>583</v>
      </c>
      <c r="H93" t="s">
        <v>439</v>
      </c>
      <c r="I93" t="s">
        <v>31</v>
      </c>
      <c r="J93">
        <v>528121</v>
      </c>
      <c r="K93">
        <v>727</v>
      </c>
      <c r="L93" s="4">
        <v>3.8199999999999998E-2</v>
      </c>
      <c r="M93">
        <v>0.09</v>
      </c>
      <c r="N93" s="4">
        <v>20.174222199999999</v>
      </c>
      <c r="O93" s="4">
        <v>47.530889999999999</v>
      </c>
    </row>
    <row r="94" spans="2:15">
      <c r="B94" t="s">
        <v>501</v>
      </c>
      <c r="C94" t="s">
        <v>111</v>
      </c>
      <c r="D94" t="s">
        <v>584</v>
      </c>
      <c r="E94" t="s">
        <v>440</v>
      </c>
      <c r="F94" t="s">
        <v>12</v>
      </c>
      <c r="G94" t="s">
        <v>584</v>
      </c>
      <c r="H94" t="s">
        <v>441</v>
      </c>
      <c r="I94" t="s">
        <v>31</v>
      </c>
      <c r="J94">
        <v>681950</v>
      </c>
      <c r="K94">
        <v>1279</v>
      </c>
      <c r="L94" s="4">
        <v>3.8199999999999998E-2</v>
      </c>
      <c r="M94">
        <v>0.09</v>
      </c>
      <c r="N94" s="4">
        <v>26.050489999999996</v>
      </c>
      <c r="O94" s="4">
        <v>61.375500000000002</v>
      </c>
    </row>
    <row r="95" spans="2:15">
      <c r="B95" t="s">
        <v>501</v>
      </c>
      <c r="C95" t="s">
        <v>111</v>
      </c>
      <c r="D95" t="s">
        <v>585</v>
      </c>
      <c r="E95" t="s">
        <v>442</v>
      </c>
      <c r="F95" t="s">
        <v>11</v>
      </c>
      <c r="G95" t="s">
        <v>122</v>
      </c>
      <c r="H95" t="s">
        <v>422</v>
      </c>
      <c r="I95" t="s">
        <v>31</v>
      </c>
      <c r="J95">
        <v>1</v>
      </c>
      <c r="K95">
        <v>0</v>
      </c>
      <c r="L95" s="4">
        <v>3.8199999999999998E-2</v>
      </c>
      <c r="M95">
        <v>0.09</v>
      </c>
      <c r="N95" s="4">
        <v>3.82E-5</v>
      </c>
      <c r="O95" s="4">
        <v>8.9999999999999992E-5</v>
      </c>
    </row>
    <row r="96" spans="2:15">
      <c r="B96" t="s">
        <v>501</v>
      </c>
      <c r="C96" t="s">
        <v>111</v>
      </c>
      <c r="D96" t="s">
        <v>585</v>
      </c>
      <c r="E96" t="s">
        <v>442</v>
      </c>
      <c r="F96" t="s">
        <v>12</v>
      </c>
      <c r="G96" t="s">
        <v>585</v>
      </c>
      <c r="H96" t="s">
        <v>443</v>
      </c>
      <c r="I96" t="s">
        <v>31</v>
      </c>
      <c r="J96">
        <v>3880511</v>
      </c>
      <c r="K96">
        <v>9990</v>
      </c>
      <c r="L96" s="4">
        <v>3.8199999999999998E-2</v>
      </c>
      <c r="M96">
        <v>0.09</v>
      </c>
      <c r="N96" s="4">
        <v>148.2355202</v>
      </c>
      <c r="O96" s="4">
        <v>349.24599000000001</v>
      </c>
    </row>
    <row r="97" spans="2:15">
      <c r="B97" t="s">
        <v>501</v>
      </c>
      <c r="C97" t="s">
        <v>111</v>
      </c>
      <c r="D97" t="s">
        <v>586</v>
      </c>
      <c r="E97" t="s">
        <v>444</v>
      </c>
      <c r="F97" t="s">
        <v>12</v>
      </c>
      <c r="G97" t="s">
        <v>586</v>
      </c>
      <c r="H97" t="s">
        <v>445</v>
      </c>
      <c r="I97" t="s">
        <v>31</v>
      </c>
      <c r="J97">
        <v>6053</v>
      </c>
      <c r="K97">
        <v>2</v>
      </c>
      <c r="L97" s="4">
        <v>3.8199999999999998E-2</v>
      </c>
      <c r="M97">
        <v>0.09</v>
      </c>
      <c r="N97" s="4">
        <v>0.23122459999999997</v>
      </c>
      <c r="O97" s="4">
        <v>0.54476999999999998</v>
      </c>
    </row>
    <row r="98" spans="2:15">
      <c r="B98" t="s">
        <v>501</v>
      </c>
      <c r="C98" t="s">
        <v>111</v>
      </c>
      <c r="D98" t="s">
        <v>587</v>
      </c>
      <c r="E98" t="s">
        <v>446</v>
      </c>
      <c r="F98" t="s">
        <v>12</v>
      </c>
      <c r="G98" t="s">
        <v>587</v>
      </c>
      <c r="H98" t="s">
        <v>447</v>
      </c>
      <c r="I98" t="s">
        <v>31</v>
      </c>
      <c r="J98">
        <v>4806</v>
      </c>
      <c r="K98">
        <v>2</v>
      </c>
      <c r="L98" s="4">
        <v>3.8199999999999998E-2</v>
      </c>
      <c r="M98">
        <v>0.09</v>
      </c>
      <c r="N98" s="4">
        <v>0.18358919999999998</v>
      </c>
      <c r="O98" s="4">
        <v>0.43253999999999998</v>
      </c>
    </row>
    <row r="99" spans="2:15">
      <c r="B99" t="s">
        <v>501</v>
      </c>
      <c r="C99" t="s">
        <v>111</v>
      </c>
      <c r="D99" t="s">
        <v>588</v>
      </c>
      <c r="E99" t="s">
        <v>448</v>
      </c>
      <c r="F99" t="s">
        <v>12</v>
      </c>
      <c r="G99" t="s">
        <v>588</v>
      </c>
      <c r="H99" t="s">
        <v>449</v>
      </c>
      <c r="I99" t="s">
        <v>31</v>
      </c>
      <c r="J99">
        <v>836281</v>
      </c>
      <c r="K99">
        <v>409</v>
      </c>
      <c r="L99" s="4">
        <v>3.8199999999999998E-2</v>
      </c>
      <c r="M99">
        <v>0.09</v>
      </c>
      <c r="N99" s="4">
        <v>31.9459342</v>
      </c>
      <c r="O99" s="4">
        <v>75.265289999999993</v>
      </c>
    </row>
    <row r="100" spans="2:15">
      <c r="B100" t="s">
        <v>501</v>
      </c>
      <c r="C100" t="s">
        <v>111</v>
      </c>
      <c r="D100" t="s">
        <v>589</v>
      </c>
      <c r="E100" t="s">
        <v>450</v>
      </c>
      <c r="F100" t="s">
        <v>12</v>
      </c>
      <c r="G100" t="s">
        <v>589</v>
      </c>
      <c r="H100" t="s">
        <v>451</v>
      </c>
      <c r="I100" t="s">
        <v>31</v>
      </c>
      <c r="J100">
        <v>659249</v>
      </c>
      <c r="K100">
        <v>1025</v>
      </c>
      <c r="L100" s="4">
        <v>3.8199999999999998E-2</v>
      </c>
      <c r="M100">
        <v>0.09</v>
      </c>
      <c r="N100" s="4">
        <v>25.183311799999998</v>
      </c>
      <c r="O100" s="4">
        <v>59.332409999999996</v>
      </c>
    </row>
    <row r="101" spans="2:15">
      <c r="B101" t="s">
        <v>501</v>
      </c>
      <c r="C101" t="s">
        <v>111</v>
      </c>
      <c r="D101" t="s">
        <v>590</v>
      </c>
      <c r="E101" t="s">
        <v>452</v>
      </c>
      <c r="F101" t="s">
        <v>12</v>
      </c>
      <c r="G101" t="s">
        <v>590</v>
      </c>
      <c r="H101" t="s">
        <v>453</v>
      </c>
      <c r="I101" t="s">
        <v>31</v>
      </c>
      <c r="J101">
        <v>3067951</v>
      </c>
      <c r="K101">
        <v>7185</v>
      </c>
      <c r="L101" s="4">
        <v>3.8199999999999998E-2</v>
      </c>
      <c r="M101">
        <v>0.09</v>
      </c>
      <c r="N101" s="4">
        <v>117.19572819999999</v>
      </c>
      <c r="O101" s="4">
        <v>276.11558999999994</v>
      </c>
    </row>
    <row r="102" spans="2:15">
      <c r="B102" t="s">
        <v>501</v>
      </c>
      <c r="C102" t="s">
        <v>111</v>
      </c>
      <c r="D102" t="s">
        <v>591</v>
      </c>
      <c r="E102" t="s">
        <v>454</v>
      </c>
      <c r="F102" t="s">
        <v>12</v>
      </c>
      <c r="G102" t="s">
        <v>591</v>
      </c>
      <c r="H102" t="s">
        <v>455</v>
      </c>
      <c r="I102" t="s">
        <v>31</v>
      </c>
      <c r="J102">
        <v>494158</v>
      </c>
      <c r="K102">
        <v>25</v>
      </c>
      <c r="L102" s="4">
        <v>3.8199999999999998E-2</v>
      </c>
      <c r="M102">
        <v>0.09</v>
      </c>
      <c r="N102" s="4">
        <v>18.8768356</v>
      </c>
      <c r="O102" s="4">
        <v>44.474220000000003</v>
      </c>
    </row>
    <row r="103" spans="2:15">
      <c r="B103" t="s">
        <v>501</v>
      </c>
      <c r="C103" t="s">
        <v>111</v>
      </c>
      <c r="D103" t="s">
        <v>592</v>
      </c>
      <c r="E103" t="s">
        <v>464</v>
      </c>
      <c r="F103" t="s">
        <v>10</v>
      </c>
      <c r="G103" t="s">
        <v>592</v>
      </c>
      <c r="H103" t="s">
        <v>465</v>
      </c>
      <c r="I103" t="s">
        <v>32</v>
      </c>
      <c r="J103">
        <v>3437549</v>
      </c>
      <c r="K103">
        <v>41978</v>
      </c>
      <c r="L103" s="4">
        <v>3.5000000000000001E-3</v>
      </c>
      <c r="M103">
        <v>0.02</v>
      </c>
      <c r="N103" s="4">
        <v>146.923</v>
      </c>
      <c r="O103" s="4">
        <v>839.56000000000006</v>
      </c>
    </row>
    <row r="104" spans="2:15">
      <c r="B104" t="s">
        <v>501</v>
      </c>
      <c r="C104" t="s">
        <v>111</v>
      </c>
      <c r="D104" t="s">
        <v>593</v>
      </c>
      <c r="E104" t="s">
        <v>594</v>
      </c>
      <c r="F104" t="s">
        <v>10</v>
      </c>
      <c r="G104" t="s">
        <v>593</v>
      </c>
      <c r="H104" t="s">
        <v>595</v>
      </c>
      <c r="I104" t="s">
        <v>32</v>
      </c>
      <c r="J104">
        <v>0</v>
      </c>
      <c r="K104">
        <v>1</v>
      </c>
      <c r="L104" s="4">
        <v>3.5000000000000001E-3</v>
      </c>
      <c r="M104">
        <v>0.02</v>
      </c>
      <c r="N104" s="4">
        <v>3.5000000000000001E-3</v>
      </c>
      <c r="O104" s="4">
        <v>0.02</v>
      </c>
    </row>
    <row r="105" spans="2:15">
      <c r="B105" t="s">
        <v>501</v>
      </c>
      <c r="C105" t="s">
        <v>111</v>
      </c>
      <c r="D105" t="s">
        <v>596</v>
      </c>
      <c r="E105" t="s">
        <v>597</v>
      </c>
      <c r="F105" t="s">
        <v>10</v>
      </c>
      <c r="G105" t="s">
        <v>596</v>
      </c>
      <c r="H105" t="s">
        <v>598</v>
      </c>
      <c r="I105" t="s">
        <v>32</v>
      </c>
      <c r="J105">
        <v>257205</v>
      </c>
      <c r="K105">
        <v>4623</v>
      </c>
      <c r="L105" s="4">
        <v>3.5000000000000001E-3</v>
      </c>
      <c r="M105">
        <v>0.02</v>
      </c>
      <c r="N105" s="4">
        <v>16.180500000000002</v>
      </c>
      <c r="O105" s="4">
        <v>92.460000000000008</v>
      </c>
    </row>
    <row r="106" spans="2:15">
      <c r="B106" t="s">
        <v>501</v>
      </c>
      <c r="C106" t="s">
        <v>111</v>
      </c>
      <c r="D106" t="s">
        <v>599</v>
      </c>
      <c r="E106" t="s">
        <v>600</v>
      </c>
      <c r="F106" t="s">
        <v>10</v>
      </c>
      <c r="G106" t="s">
        <v>599</v>
      </c>
      <c r="H106" t="s">
        <v>601</v>
      </c>
      <c r="I106" t="s">
        <v>32</v>
      </c>
      <c r="J106">
        <v>420587</v>
      </c>
      <c r="K106">
        <v>6862</v>
      </c>
      <c r="L106" s="4">
        <v>3.5000000000000001E-3</v>
      </c>
      <c r="M106">
        <v>0.02</v>
      </c>
      <c r="N106" s="4">
        <v>24.016999999999999</v>
      </c>
      <c r="O106" s="4">
        <v>137.24</v>
      </c>
    </row>
    <row r="107" spans="2:15">
      <c r="B107" t="s">
        <v>501</v>
      </c>
      <c r="C107" t="s">
        <v>111</v>
      </c>
      <c r="D107" t="s">
        <v>602</v>
      </c>
      <c r="E107" t="s">
        <v>466</v>
      </c>
      <c r="F107" t="s">
        <v>10</v>
      </c>
      <c r="G107" t="s">
        <v>602</v>
      </c>
      <c r="H107" t="s">
        <v>467</v>
      </c>
      <c r="I107" t="s">
        <v>32</v>
      </c>
      <c r="J107">
        <v>359355</v>
      </c>
      <c r="K107">
        <v>4675</v>
      </c>
      <c r="L107" s="4">
        <v>3.5000000000000001E-3</v>
      </c>
      <c r="M107">
        <v>0.02</v>
      </c>
      <c r="N107" s="4">
        <v>16.362500000000001</v>
      </c>
      <c r="O107" s="4">
        <v>93.5</v>
      </c>
    </row>
    <row r="108" spans="2:15">
      <c r="B108" t="s">
        <v>501</v>
      </c>
      <c r="C108" t="s">
        <v>111</v>
      </c>
      <c r="D108" t="s">
        <v>603</v>
      </c>
      <c r="E108" t="s">
        <v>211</v>
      </c>
      <c r="F108" t="s">
        <v>10</v>
      </c>
      <c r="G108" t="s">
        <v>603</v>
      </c>
      <c r="H108" t="s">
        <v>212</v>
      </c>
      <c r="I108" t="s">
        <v>32</v>
      </c>
      <c r="J108">
        <v>0</v>
      </c>
      <c r="K108">
        <v>9613</v>
      </c>
      <c r="L108" s="4">
        <v>3.5000000000000001E-3</v>
      </c>
      <c r="M108">
        <v>0.02</v>
      </c>
      <c r="N108" s="4">
        <v>33.645499999999998</v>
      </c>
      <c r="O108" s="4">
        <v>192.26</v>
      </c>
    </row>
    <row r="109" spans="2:15">
      <c r="B109" t="s">
        <v>501</v>
      </c>
      <c r="C109" t="s">
        <v>111</v>
      </c>
      <c r="D109" t="s">
        <v>604</v>
      </c>
      <c r="E109" t="s">
        <v>470</v>
      </c>
      <c r="F109" t="s">
        <v>10</v>
      </c>
      <c r="G109" t="s">
        <v>604</v>
      </c>
      <c r="H109" t="s">
        <v>471</v>
      </c>
      <c r="I109" t="s">
        <v>32</v>
      </c>
      <c r="J109">
        <v>0</v>
      </c>
      <c r="K109">
        <v>3364</v>
      </c>
      <c r="L109" s="4">
        <v>3.5000000000000001E-3</v>
      </c>
      <c r="M109">
        <v>0.02</v>
      </c>
      <c r="N109" s="4">
        <v>11.774000000000001</v>
      </c>
      <c r="O109" s="4">
        <v>67.28</v>
      </c>
    </row>
    <row r="110" spans="2:15">
      <c r="B110" t="s">
        <v>501</v>
      </c>
      <c r="C110" t="s">
        <v>111</v>
      </c>
      <c r="D110" t="s">
        <v>605</v>
      </c>
      <c r="E110" t="s">
        <v>468</v>
      </c>
      <c r="F110" t="s">
        <v>10</v>
      </c>
      <c r="G110" t="s">
        <v>605</v>
      </c>
      <c r="H110" t="s">
        <v>469</v>
      </c>
      <c r="I110" t="s">
        <v>32</v>
      </c>
      <c r="J110">
        <v>0</v>
      </c>
      <c r="K110">
        <v>3679</v>
      </c>
      <c r="L110" s="4">
        <v>3.5000000000000001E-3</v>
      </c>
      <c r="M110">
        <v>0.02</v>
      </c>
      <c r="N110" s="4">
        <v>12.8765</v>
      </c>
      <c r="O110" s="4">
        <v>73.58</v>
      </c>
    </row>
    <row r="111" spans="2:15">
      <c r="B111" t="s">
        <v>501</v>
      </c>
      <c r="C111" t="s">
        <v>111</v>
      </c>
      <c r="D111" t="s">
        <v>606</v>
      </c>
      <c r="E111" t="s">
        <v>607</v>
      </c>
      <c r="F111" t="s">
        <v>30</v>
      </c>
      <c r="G111" t="s">
        <v>606</v>
      </c>
      <c r="H111" t="s">
        <v>608</v>
      </c>
      <c r="I111" t="s">
        <v>84</v>
      </c>
      <c r="J111">
        <v>3413445</v>
      </c>
      <c r="K111">
        <v>28981</v>
      </c>
      <c r="L111" s="4">
        <v>0.6</v>
      </c>
      <c r="M111">
        <v>0.35</v>
      </c>
      <c r="N111" s="4">
        <v>2048.067</v>
      </c>
      <c r="O111" s="4">
        <v>1194.7057500000001</v>
      </c>
    </row>
    <row r="112" spans="2:15">
      <c r="B112" t="s">
        <v>501</v>
      </c>
      <c r="C112" t="s">
        <v>609</v>
      </c>
      <c r="D112" t="s">
        <v>610</v>
      </c>
      <c r="E112" t="s">
        <v>611</v>
      </c>
      <c r="F112" t="s">
        <v>10</v>
      </c>
      <c r="G112" t="s">
        <v>610</v>
      </c>
      <c r="H112" t="s">
        <v>612</v>
      </c>
      <c r="I112" t="s">
        <v>32</v>
      </c>
      <c r="J112">
        <v>0</v>
      </c>
      <c r="K112">
        <v>1</v>
      </c>
      <c r="L112" s="4">
        <v>3.5000000000000001E-3</v>
      </c>
      <c r="M112">
        <v>0.02</v>
      </c>
      <c r="N112" s="4">
        <v>3.5000000000000001E-3</v>
      </c>
      <c r="O112" s="4">
        <v>0.02</v>
      </c>
    </row>
    <row r="113" spans="2:15">
      <c r="B113" t="s">
        <v>501</v>
      </c>
      <c r="C113" t="s">
        <v>472</v>
      </c>
      <c r="D113" t="s">
        <v>613</v>
      </c>
      <c r="E113" t="s">
        <v>473</v>
      </c>
      <c r="F113" t="s">
        <v>10</v>
      </c>
      <c r="G113" t="s">
        <v>613</v>
      </c>
      <c r="H113" t="s">
        <v>474</v>
      </c>
      <c r="I113" t="s">
        <v>32</v>
      </c>
      <c r="J113">
        <v>753776</v>
      </c>
      <c r="K113">
        <v>1743</v>
      </c>
      <c r="L113" s="4">
        <v>3.5000000000000001E-3</v>
      </c>
      <c r="M113">
        <v>0.02</v>
      </c>
      <c r="N113" s="4">
        <v>6.1005000000000003</v>
      </c>
      <c r="O113" s="4">
        <v>34.86</v>
      </c>
    </row>
    <row r="114" spans="2:15">
      <c r="B114" t="s">
        <v>501</v>
      </c>
      <c r="C114" t="s">
        <v>472</v>
      </c>
      <c r="D114" t="s">
        <v>614</v>
      </c>
      <c r="E114" t="s">
        <v>477</v>
      </c>
      <c r="F114" t="s">
        <v>10</v>
      </c>
      <c r="G114" t="s">
        <v>614</v>
      </c>
      <c r="H114" t="s">
        <v>478</v>
      </c>
      <c r="I114" t="s">
        <v>32</v>
      </c>
      <c r="J114">
        <v>208697</v>
      </c>
      <c r="K114">
        <v>609</v>
      </c>
      <c r="L114" s="4">
        <v>3.5000000000000001E-3</v>
      </c>
      <c r="M114">
        <v>0.02</v>
      </c>
      <c r="N114" s="4">
        <v>2.1315</v>
      </c>
      <c r="O114" s="4">
        <v>12.18</v>
      </c>
    </row>
    <row r="115" spans="2:15">
      <c r="B115" t="s">
        <v>501</v>
      </c>
      <c r="C115" t="s">
        <v>472</v>
      </c>
      <c r="D115" t="s">
        <v>615</v>
      </c>
      <c r="E115" t="s">
        <v>483</v>
      </c>
      <c r="F115" t="s">
        <v>10</v>
      </c>
      <c r="G115" t="s">
        <v>615</v>
      </c>
      <c r="H115" t="s">
        <v>484</v>
      </c>
      <c r="I115" t="s">
        <v>32</v>
      </c>
      <c r="J115">
        <v>593316</v>
      </c>
      <c r="K115">
        <v>1424</v>
      </c>
      <c r="L115" s="4">
        <v>3.5000000000000001E-3</v>
      </c>
      <c r="M115">
        <v>0.02</v>
      </c>
      <c r="N115" s="4">
        <v>4.984</v>
      </c>
      <c r="O115" s="4">
        <v>28.48</v>
      </c>
    </row>
    <row r="116" spans="2:15">
      <c r="B116" t="s">
        <v>501</v>
      </c>
      <c r="C116" t="s">
        <v>472</v>
      </c>
      <c r="D116" t="s">
        <v>616</v>
      </c>
      <c r="E116" t="s">
        <v>489</v>
      </c>
      <c r="F116" t="s">
        <v>10</v>
      </c>
      <c r="G116" t="s">
        <v>616</v>
      </c>
      <c r="H116" t="s">
        <v>490</v>
      </c>
      <c r="I116" t="s">
        <v>32</v>
      </c>
      <c r="J116">
        <v>568543</v>
      </c>
      <c r="K116">
        <v>1611</v>
      </c>
      <c r="L116" s="4">
        <v>3.5000000000000001E-3</v>
      </c>
      <c r="M116">
        <v>0.02</v>
      </c>
      <c r="N116" s="4">
        <v>5.6385000000000005</v>
      </c>
      <c r="O116" s="4">
        <v>32.22</v>
      </c>
    </row>
    <row r="117" spans="2:15">
      <c r="B117" t="s">
        <v>501</v>
      </c>
      <c r="C117" t="s">
        <v>472</v>
      </c>
      <c r="D117" t="s">
        <v>617</v>
      </c>
      <c r="E117" t="s">
        <v>475</v>
      </c>
      <c r="F117" t="s">
        <v>10</v>
      </c>
      <c r="G117" t="s">
        <v>617</v>
      </c>
      <c r="H117" t="s">
        <v>476</v>
      </c>
      <c r="I117" t="s">
        <v>32</v>
      </c>
      <c r="J117">
        <v>343601</v>
      </c>
      <c r="K117">
        <v>692</v>
      </c>
      <c r="L117" s="4">
        <v>3.5000000000000001E-3</v>
      </c>
      <c r="M117">
        <v>0.02</v>
      </c>
      <c r="N117" s="4">
        <v>2.4220000000000002</v>
      </c>
      <c r="O117" s="4">
        <v>13.84</v>
      </c>
    </row>
    <row r="118" spans="2:15">
      <c r="B118" t="s">
        <v>501</v>
      </c>
      <c r="C118" t="s">
        <v>472</v>
      </c>
      <c r="D118" t="s">
        <v>618</v>
      </c>
      <c r="E118" t="s">
        <v>479</v>
      </c>
      <c r="F118" t="s">
        <v>10</v>
      </c>
      <c r="G118" t="s">
        <v>618</v>
      </c>
      <c r="H118" t="s">
        <v>480</v>
      </c>
      <c r="I118" t="s">
        <v>32</v>
      </c>
      <c r="J118">
        <v>389500</v>
      </c>
      <c r="K118">
        <v>854</v>
      </c>
      <c r="L118" s="4">
        <v>3.5000000000000001E-3</v>
      </c>
      <c r="M118">
        <v>0.02</v>
      </c>
      <c r="N118" s="4">
        <v>2.9889999999999999</v>
      </c>
      <c r="O118" s="4">
        <v>17.080000000000002</v>
      </c>
    </row>
    <row r="119" spans="2:15">
      <c r="B119" t="s">
        <v>501</v>
      </c>
      <c r="C119" t="s">
        <v>472</v>
      </c>
      <c r="D119" t="s">
        <v>619</v>
      </c>
      <c r="E119" t="s">
        <v>485</v>
      </c>
      <c r="F119" t="s">
        <v>10</v>
      </c>
      <c r="G119" t="s">
        <v>619</v>
      </c>
      <c r="H119" t="s">
        <v>486</v>
      </c>
      <c r="I119" t="s">
        <v>32</v>
      </c>
      <c r="J119">
        <v>575202</v>
      </c>
      <c r="K119">
        <v>1186</v>
      </c>
      <c r="L119" s="4">
        <v>3.5000000000000001E-3</v>
      </c>
      <c r="M119">
        <v>0.02</v>
      </c>
      <c r="N119" s="4">
        <v>4.1509999999999998</v>
      </c>
      <c r="O119" s="4">
        <v>23.72</v>
      </c>
    </row>
    <row r="120" spans="2:15">
      <c r="B120" t="s">
        <v>501</v>
      </c>
      <c r="C120" t="s">
        <v>472</v>
      </c>
      <c r="D120" t="s">
        <v>620</v>
      </c>
      <c r="E120" t="s">
        <v>491</v>
      </c>
      <c r="F120" t="s">
        <v>10</v>
      </c>
      <c r="G120" t="s">
        <v>620</v>
      </c>
      <c r="H120" t="s">
        <v>492</v>
      </c>
      <c r="I120" t="s">
        <v>32</v>
      </c>
      <c r="J120">
        <v>372092</v>
      </c>
      <c r="K120">
        <v>688</v>
      </c>
      <c r="L120" s="4">
        <v>3.5000000000000001E-3</v>
      </c>
      <c r="M120">
        <v>0.02</v>
      </c>
      <c r="N120" s="4">
        <v>2.4079999999999999</v>
      </c>
      <c r="O120" s="4">
        <v>13.76</v>
      </c>
    </row>
    <row r="121" spans="2:15">
      <c r="B121" t="s">
        <v>501</v>
      </c>
      <c r="C121" t="s">
        <v>472</v>
      </c>
      <c r="D121" t="s">
        <v>621</v>
      </c>
      <c r="E121" t="s">
        <v>481</v>
      </c>
      <c r="F121" t="s">
        <v>10</v>
      </c>
      <c r="G121" t="s">
        <v>621</v>
      </c>
      <c r="H121" t="s">
        <v>482</v>
      </c>
      <c r="I121" t="s">
        <v>32</v>
      </c>
      <c r="J121">
        <v>396969</v>
      </c>
      <c r="K121">
        <v>1391</v>
      </c>
      <c r="L121" s="4">
        <v>3.5000000000000001E-3</v>
      </c>
      <c r="M121">
        <v>0.02</v>
      </c>
      <c r="N121" s="4">
        <v>4.8685</v>
      </c>
      <c r="O121" s="4">
        <v>27.82</v>
      </c>
    </row>
    <row r="122" spans="2:15">
      <c r="B122" t="s">
        <v>501</v>
      </c>
      <c r="C122" t="s">
        <v>472</v>
      </c>
      <c r="D122" t="s">
        <v>622</v>
      </c>
      <c r="E122" t="s">
        <v>487</v>
      </c>
      <c r="F122" t="s">
        <v>10</v>
      </c>
      <c r="G122" t="s">
        <v>622</v>
      </c>
      <c r="H122" t="s">
        <v>488</v>
      </c>
      <c r="I122" t="s">
        <v>32</v>
      </c>
      <c r="J122">
        <v>706467</v>
      </c>
      <c r="K122">
        <v>2428</v>
      </c>
      <c r="L122" s="4">
        <v>3.5000000000000001E-3</v>
      </c>
      <c r="M122">
        <v>0.02</v>
      </c>
      <c r="N122" s="4">
        <v>8.4979999999999993</v>
      </c>
      <c r="O122" s="4">
        <v>48.56</v>
      </c>
    </row>
    <row r="123" spans="2:15">
      <c r="B123" t="s">
        <v>501</v>
      </c>
      <c r="C123" t="s">
        <v>472</v>
      </c>
      <c r="D123" t="s">
        <v>623</v>
      </c>
      <c r="E123" t="s">
        <v>493</v>
      </c>
      <c r="F123" t="s">
        <v>10</v>
      </c>
      <c r="G123" t="s">
        <v>623</v>
      </c>
      <c r="H123" t="s">
        <v>494</v>
      </c>
      <c r="I123" t="s">
        <v>32</v>
      </c>
      <c r="J123">
        <v>890431</v>
      </c>
      <c r="K123">
        <v>2937</v>
      </c>
      <c r="L123" s="4">
        <v>3.5000000000000001E-3</v>
      </c>
      <c r="M123">
        <v>0.02</v>
      </c>
      <c r="N123" s="4">
        <v>10.279500000000001</v>
      </c>
      <c r="O123" s="4">
        <v>58.74</v>
      </c>
    </row>
    <row r="124" spans="2:15">
      <c r="B124" t="s">
        <v>624</v>
      </c>
      <c r="C124" t="s">
        <v>228</v>
      </c>
      <c r="D124" t="s">
        <v>625</v>
      </c>
      <c r="E124" t="s">
        <v>229</v>
      </c>
      <c r="F124" t="s">
        <v>10</v>
      </c>
      <c r="G124" t="s">
        <v>625</v>
      </c>
      <c r="H124" t="s">
        <v>230</v>
      </c>
      <c r="I124" t="s">
        <v>32</v>
      </c>
      <c r="J124">
        <v>0</v>
      </c>
      <c r="K124">
        <v>17</v>
      </c>
      <c r="L124" s="4">
        <v>3.5000000000000001E-3</v>
      </c>
      <c r="M124">
        <v>0.02</v>
      </c>
      <c r="N124" s="4">
        <v>5.9500000000000004E-2</v>
      </c>
      <c r="O124" s="4">
        <v>0.34</v>
      </c>
    </row>
    <row r="125" spans="2:15">
      <c r="B125" t="s">
        <v>624</v>
      </c>
      <c r="C125" t="s">
        <v>50</v>
      </c>
      <c r="D125" t="s">
        <v>626</v>
      </c>
      <c r="E125" t="s">
        <v>75</v>
      </c>
      <c r="F125" t="s">
        <v>10</v>
      </c>
      <c r="G125" t="s">
        <v>626</v>
      </c>
      <c r="H125" t="s">
        <v>76</v>
      </c>
      <c r="I125" t="s">
        <v>32</v>
      </c>
      <c r="J125">
        <v>0</v>
      </c>
      <c r="K125">
        <v>2</v>
      </c>
      <c r="L125" s="4">
        <v>3.5000000000000001E-3</v>
      </c>
      <c r="M125">
        <v>0.02</v>
      </c>
      <c r="N125" s="4">
        <v>7.0000000000000001E-3</v>
      </c>
      <c r="O125" s="4">
        <v>0.04</v>
      </c>
    </row>
    <row r="126" spans="2:15">
      <c r="B126" t="s">
        <v>624</v>
      </c>
      <c r="C126" t="s">
        <v>50</v>
      </c>
      <c r="D126" t="s">
        <v>627</v>
      </c>
      <c r="E126" t="s">
        <v>57</v>
      </c>
      <c r="F126" t="s">
        <v>10</v>
      </c>
      <c r="G126" t="s">
        <v>627</v>
      </c>
      <c r="H126" t="s">
        <v>58</v>
      </c>
      <c r="I126" t="s">
        <v>32</v>
      </c>
      <c r="J126">
        <v>0</v>
      </c>
      <c r="K126">
        <v>15</v>
      </c>
      <c r="L126" s="4">
        <v>3.5000000000000001E-3</v>
      </c>
      <c r="M126">
        <v>0.02</v>
      </c>
      <c r="N126" s="4">
        <v>5.2499999999999998E-2</v>
      </c>
      <c r="O126" s="4">
        <v>0.3</v>
      </c>
    </row>
    <row r="127" spans="2:15">
      <c r="B127" t="s">
        <v>624</v>
      </c>
      <c r="C127" t="s">
        <v>50</v>
      </c>
      <c r="D127" t="s">
        <v>628</v>
      </c>
      <c r="E127" t="s">
        <v>77</v>
      </c>
      <c r="F127" t="s">
        <v>10</v>
      </c>
      <c r="G127" t="s">
        <v>628</v>
      </c>
      <c r="H127" t="s">
        <v>78</v>
      </c>
      <c r="I127" t="s">
        <v>32</v>
      </c>
      <c r="J127">
        <v>0</v>
      </c>
      <c r="K127">
        <v>2</v>
      </c>
      <c r="L127" s="4">
        <v>3.5000000000000001E-3</v>
      </c>
      <c r="M127">
        <v>0.02</v>
      </c>
      <c r="N127" s="4">
        <v>7.0000000000000001E-3</v>
      </c>
      <c r="O127" s="4">
        <v>0.04</v>
      </c>
    </row>
    <row r="128" spans="2:15">
      <c r="B128" t="s">
        <v>624</v>
      </c>
      <c r="C128" t="s">
        <v>50</v>
      </c>
      <c r="D128" t="s">
        <v>629</v>
      </c>
      <c r="E128" t="s">
        <v>85</v>
      </c>
      <c r="F128" t="s">
        <v>10</v>
      </c>
      <c r="G128" t="s">
        <v>629</v>
      </c>
      <c r="H128" t="s">
        <v>86</v>
      </c>
      <c r="I128" t="s">
        <v>32</v>
      </c>
      <c r="J128">
        <v>0</v>
      </c>
      <c r="K128">
        <v>1</v>
      </c>
      <c r="L128" s="4">
        <v>3.5000000000000001E-3</v>
      </c>
      <c r="M128">
        <v>0.02</v>
      </c>
      <c r="N128" s="4">
        <v>3.5000000000000001E-3</v>
      </c>
      <c r="O128" s="4">
        <v>0.02</v>
      </c>
    </row>
    <row r="129" spans="2:15">
      <c r="B129" t="s">
        <v>624</v>
      </c>
      <c r="C129" t="s">
        <v>50</v>
      </c>
      <c r="D129" t="s">
        <v>630</v>
      </c>
      <c r="E129" t="s">
        <v>59</v>
      </c>
      <c r="F129" t="s">
        <v>10</v>
      </c>
      <c r="G129" t="s">
        <v>630</v>
      </c>
      <c r="H129" t="s">
        <v>60</v>
      </c>
      <c r="I129" t="s">
        <v>32</v>
      </c>
      <c r="J129">
        <v>0</v>
      </c>
      <c r="K129">
        <v>8</v>
      </c>
      <c r="L129" s="4">
        <v>3.5000000000000001E-3</v>
      </c>
      <c r="M129">
        <v>0.02</v>
      </c>
      <c r="N129" s="4">
        <v>2.8000000000000001E-2</v>
      </c>
      <c r="O129" s="4">
        <v>0.16</v>
      </c>
    </row>
    <row r="130" spans="2:15">
      <c r="B130" t="s">
        <v>624</v>
      </c>
      <c r="C130" t="s">
        <v>50</v>
      </c>
      <c r="D130" t="s">
        <v>631</v>
      </c>
      <c r="E130" t="s">
        <v>632</v>
      </c>
      <c r="F130" t="s">
        <v>10</v>
      </c>
      <c r="G130" t="s">
        <v>631</v>
      </c>
      <c r="H130" t="s">
        <v>633</v>
      </c>
      <c r="I130" t="s">
        <v>32</v>
      </c>
      <c r="J130">
        <v>0</v>
      </c>
      <c r="K130">
        <v>4960</v>
      </c>
      <c r="L130" s="4">
        <v>3.5000000000000001E-3</v>
      </c>
      <c r="M130">
        <v>0.02</v>
      </c>
      <c r="N130" s="4">
        <v>17.36</v>
      </c>
      <c r="O130" s="4">
        <v>99.2</v>
      </c>
    </row>
    <row r="131" spans="2:15">
      <c r="B131" t="s">
        <v>624</v>
      </c>
      <c r="C131" t="s">
        <v>50</v>
      </c>
      <c r="D131" t="s">
        <v>634</v>
      </c>
      <c r="E131" t="s">
        <v>635</v>
      </c>
      <c r="F131" t="s">
        <v>10</v>
      </c>
      <c r="G131" t="s">
        <v>634</v>
      </c>
      <c r="H131" t="s">
        <v>636</v>
      </c>
      <c r="I131" t="s">
        <v>32</v>
      </c>
      <c r="J131">
        <v>0</v>
      </c>
      <c r="K131">
        <v>396</v>
      </c>
      <c r="L131" s="4">
        <v>3.5000000000000001E-3</v>
      </c>
      <c r="M131">
        <v>0.02</v>
      </c>
      <c r="N131" s="4">
        <v>1.3860000000000001</v>
      </c>
      <c r="O131" s="4">
        <v>7.92</v>
      </c>
    </row>
    <row r="132" spans="2:15">
      <c r="B132" t="s">
        <v>624</v>
      </c>
      <c r="C132" t="s">
        <v>50</v>
      </c>
      <c r="D132" t="s">
        <v>637</v>
      </c>
      <c r="E132" t="s">
        <v>638</v>
      </c>
      <c r="F132" t="s">
        <v>10</v>
      </c>
      <c r="G132" t="s">
        <v>637</v>
      </c>
      <c r="H132" t="s">
        <v>639</v>
      </c>
      <c r="I132" t="s">
        <v>32</v>
      </c>
      <c r="J132">
        <v>0</v>
      </c>
      <c r="K132">
        <v>443</v>
      </c>
      <c r="L132" s="4">
        <v>3.5000000000000001E-3</v>
      </c>
      <c r="M132">
        <v>0.02</v>
      </c>
      <c r="N132" s="4">
        <v>1.5505</v>
      </c>
      <c r="O132" s="4">
        <v>8.86</v>
      </c>
    </row>
    <row r="133" spans="2:15">
      <c r="B133" t="s">
        <v>624</v>
      </c>
      <c r="C133" t="s">
        <v>50</v>
      </c>
      <c r="D133" t="s">
        <v>640</v>
      </c>
      <c r="E133" t="s">
        <v>641</v>
      </c>
      <c r="F133" t="s">
        <v>10</v>
      </c>
      <c r="G133" t="s">
        <v>640</v>
      </c>
      <c r="H133" t="s">
        <v>642</v>
      </c>
      <c r="I133" t="s">
        <v>32</v>
      </c>
      <c r="J133">
        <v>0</v>
      </c>
      <c r="K133">
        <v>1140</v>
      </c>
      <c r="L133" s="4">
        <v>3.5000000000000001E-3</v>
      </c>
      <c r="M133">
        <v>0.02</v>
      </c>
      <c r="N133" s="4">
        <v>3.99</v>
      </c>
      <c r="O133" s="4">
        <v>22.8</v>
      </c>
    </row>
    <row r="134" spans="2:15">
      <c r="B134" t="s">
        <v>624</v>
      </c>
      <c r="C134" t="s">
        <v>50</v>
      </c>
      <c r="D134" t="s">
        <v>643</v>
      </c>
      <c r="E134" t="s">
        <v>644</v>
      </c>
      <c r="F134" t="s">
        <v>10</v>
      </c>
      <c r="G134" t="s">
        <v>643</v>
      </c>
      <c r="H134" t="s">
        <v>645</v>
      </c>
      <c r="I134" t="s">
        <v>32</v>
      </c>
      <c r="J134">
        <v>0</v>
      </c>
      <c r="K134">
        <v>1332</v>
      </c>
      <c r="L134" s="4">
        <v>3.5000000000000001E-3</v>
      </c>
      <c r="M134">
        <v>0.02</v>
      </c>
      <c r="N134" s="4">
        <v>4.6619999999999999</v>
      </c>
      <c r="O134" s="4">
        <v>26.64</v>
      </c>
    </row>
    <row r="135" spans="2:15">
      <c r="B135" t="s">
        <v>624</v>
      </c>
      <c r="C135" t="s">
        <v>50</v>
      </c>
      <c r="D135" t="s">
        <v>646</v>
      </c>
      <c r="E135" t="s">
        <v>647</v>
      </c>
      <c r="F135" t="s">
        <v>10</v>
      </c>
      <c r="G135" t="s">
        <v>646</v>
      </c>
      <c r="H135" t="s">
        <v>648</v>
      </c>
      <c r="I135" t="s">
        <v>32</v>
      </c>
      <c r="J135">
        <v>0</v>
      </c>
      <c r="K135">
        <v>3463</v>
      </c>
      <c r="L135" s="4">
        <v>3.5000000000000001E-3</v>
      </c>
      <c r="M135">
        <v>0.02</v>
      </c>
      <c r="N135" s="4">
        <v>12.1205</v>
      </c>
      <c r="O135" s="4">
        <v>69.260000000000005</v>
      </c>
    </row>
    <row r="136" spans="2:15">
      <c r="B136" t="s">
        <v>624</v>
      </c>
      <c r="C136" t="s">
        <v>83</v>
      </c>
      <c r="D136" t="s">
        <v>649</v>
      </c>
      <c r="E136" t="s">
        <v>650</v>
      </c>
      <c r="F136" t="s">
        <v>10</v>
      </c>
      <c r="G136" t="s">
        <v>649</v>
      </c>
      <c r="H136" t="s">
        <v>651</v>
      </c>
      <c r="I136" t="s">
        <v>32</v>
      </c>
      <c r="J136">
        <v>8556808</v>
      </c>
      <c r="K136">
        <v>62593</v>
      </c>
      <c r="L136" s="4">
        <v>3.5000000000000001E-3</v>
      </c>
      <c r="M136">
        <v>0.02</v>
      </c>
      <c r="N136" s="4">
        <v>219.07550000000001</v>
      </c>
      <c r="O136" s="4">
        <v>1251.8600000000001</v>
      </c>
    </row>
    <row r="137" spans="2:15">
      <c r="B137" t="s">
        <v>624</v>
      </c>
      <c r="C137" t="s">
        <v>83</v>
      </c>
      <c r="D137" t="s">
        <v>652</v>
      </c>
      <c r="E137" t="s">
        <v>653</v>
      </c>
      <c r="F137" t="s">
        <v>10</v>
      </c>
      <c r="G137" t="s">
        <v>652</v>
      </c>
      <c r="H137" t="s">
        <v>654</v>
      </c>
      <c r="I137" t="s">
        <v>32</v>
      </c>
      <c r="J137">
        <v>232896</v>
      </c>
      <c r="K137">
        <v>2810</v>
      </c>
      <c r="L137" s="4">
        <v>3.5000000000000001E-3</v>
      </c>
      <c r="M137">
        <v>0.02</v>
      </c>
      <c r="N137" s="4">
        <v>9.8350000000000009</v>
      </c>
      <c r="O137" s="4">
        <v>56.2</v>
      </c>
    </row>
    <row r="138" spans="2:15">
      <c r="B138" t="s">
        <v>624</v>
      </c>
      <c r="C138" t="s">
        <v>83</v>
      </c>
      <c r="D138" t="s">
        <v>655</v>
      </c>
      <c r="E138" t="s">
        <v>656</v>
      </c>
      <c r="F138" t="s">
        <v>10</v>
      </c>
      <c r="G138" t="s">
        <v>655</v>
      </c>
      <c r="H138" t="s">
        <v>657</v>
      </c>
      <c r="I138" t="s">
        <v>32</v>
      </c>
      <c r="J138">
        <v>0</v>
      </c>
      <c r="K138">
        <v>1</v>
      </c>
      <c r="L138" s="4">
        <v>3.5000000000000001E-3</v>
      </c>
      <c r="M138">
        <v>0.02</v>
      </c>
      <c r="N138" s="4">
        <v>3.5000000000000001E-3</v>
      </c>
      <c r="O138" s="4">
        <v>0.02</v>
      </c>
    </row>
    <row r="139" spans="2:15">
      <c r="B139" t="s">
        <v>624</v>
      </c>
      <c r="C139" t="s">
        <v>83</v>
      </c>
      <c r="D139" t="s">
        <v>658</v>
      </c>
      <c r="E139" t="s">
        <v>659</v>
      </c>
      <c r="F139" t="s">
        <v>10</v>
      </c>
      <c r="G139" t="s">
        <v>658</v>
      </c>
      <c r="H139" t="s">
        <v>660</v>
      </c>
      <c r="I139" t="s">
        <v>32</v>
      </c>
      <c r="J139">
        <v>5377859</v>
      </c>
      <c r="K139">
        <v>14732</v>
      </c>
      <c r="L139" s="4">
        <v>3.5000000000000001E-3</v>
      </c>
      <c r="M139">
        <v>0.02</v>
      </c>
      <c r="N139" s="4">
        <v>51.561999999999998</v>
      </c>
      <c r="O139" s="4">
        <v>294.64</v>
      </c>
    </row>
    <row r="140" spans="2:15">
      <c r="B140" t="s">
        <v>624</v>
      </c>
      <c r="C140" t="s">
        <v>83</v>
      </c>
      <c r="D140" t="s">
        <v>661</v>
      </c>
      <c r="E140" t="s">
        <v>662</v>
      </c>
      <c r="F140" t="s">
        <v>10</v>
      </c>
      <c r="G140" t="s">
        <v>661</v>
      </c>
      <c r="H140" t="s">
        <v>663</v>
      </c>
      <c r="I140" t="s">
        <v>32</v>
      </c>
      <c r="J140">
        <v>2425957</v>
      </c>
      <c r="K140">
        <v>38798</v>
      </c>
      <c r="L140" s="4">
        <v>3.5000000000000001E-3</v>
      </c>
      <c r="M140">
        <v>0.02</v>
      </c>
      <c r="N140" s="4">
        <v>135.79300000000001</v>
      </c>
      <c r="O140" s="4">
        <v>775.96</v>
      </c>
    </row>
    <row r="141" spans="2:15">
      <c r="B141" t="s">
        <v>624</v>
      </c>
      <c r="C141" t="s">
        <v>83</v>
      </c>
      <c r="D141" t="s">
        <v>664</v>
      </c>
      <c r="E141" t="s">
        <v>665</v>
      </c>
      <c r="F141" t="s">
        <v>10</v>
      </c>
      <c r="G141" t="s">
        <v>664</v>
      </c>
      <c r="H141" t="s">
        <v>666</v>
      </c>
      <c r="I141" t="s">
        <v>32</v>
      </c>
      <c r="J141">
        <v>10277338</v>
      </c>
      <c r="K141">
        <v>135858</v>
      </c>
      <c r="L141" s="4">
        <v>3.5000000000000001E-3</v>
      </c>
      <c r="M141">
        <v>0.02</v>
      </c>
      <c r="N141" s="4">
        <v>475.50299999999999</v>
      </c>
      <c r="O141" s="4">
        <v>2717.16</v>
      </c>
    </row>
    <row r="142" spans="2:15">
      <c r="B142" t="s">
        <v>624</v>
      </c>
      <c r="C142" t="s">
        <v>83</v>
      </c>
      <c r="D142" t="s">
        <v>667</v>
      </c>
      <c r="E142" t="s">
        <v>668</v>
      </c>
      <c r="F142" t="s">
        <v>10</v>
      </c>
      <c r="G142" t="s">
        <v>667</v>
      </c>
      <c r="H142" t="s">
        <v>669</v>
      </c>
      <c r="I142" t="s">
        <v>32</v>
      </c>
      <c r="J142">
        <v>0</v>
      </c>
      <c r="K142">
        <v>1</v>
      </c>
      <c r="L142" s="4">
        <v>3.5000000000000001E-3</v>
      </c>
      <c r="M142">
        <v>0.02</v>
      </c>
      <c r="N142" s="4">
        <v>3.5000000000000001E-3</v>
      </c>
      <c r="O142" s="4">
        <v>0.02</v>
      </c>
    </row>
    <row r="143" spans="2:15">
      <c r="B143" t="s">
        <v>624</v>
      </c>
      <c r="C143" t="s">
        <v>83</v>
      </c>
      <c r="D143" t="s">
        <v>670</v>
      </c>
      <c r="E143" t="s">
        <v>671</v>
      </c>
      <c r="F143" t="s">
        <v>10</v>
      </c>
      <c r="G143" t="s">
        <v>670</v>
      </c>
      <c r="H143" t="s">
        <v>672</v>
      </c>
      <c r="I143" t="s">
        <v>32</v>
      </c>
      <c r="J143">
        <v>523437</v>
      </c>
      <c r="K143">
        <v>6319</v>
      </c>
      <c r="L143" s="4">
        <v>3.5000000000000001E-3</v>
      </c>
      <c r="M143">
        <v>0.02</v>
      </c>
      <c r="N143" s="4">
        <v>22.116500000000002</v>
      </c>
      <c r="O143" s="4">
        <v>126.38000000000001</v>
      </c>
    </row>
    <row r="144" spans="2:15">
      <c r="B144" t="s">
        <v>624</v>
      </c>
      <c r="C144" t="s">
        <v>83</v>
      </c>
      <c r="D144" t="s">
        <v>673</v>
      </c>
      <c r="E144" t="s">
        <v>674</v>
      </c>
      <c r="F144" t="s">
        <v>10</v>
      </c>
      <c r="G144" t="s">
        <v>673</v>
      </c>
      <c r="H144" t="s">
        <v>675</v>
      </c>
      <c r="I144" t="s">
        <v>32</v>
      </c>
      <c r="J144">
        <v>60638</v>
      </c>
      <c r="K144">
        <v>656</v>
      </c>
      <c r="L144" s="4">
        <v>3.5000000000000001E-3</v>
      </c>
      <c r="M144">
        <v>0.02</v>
      </c>
      <c r="N144" s="4">
        <v>2.2960000000000003</v>
      </c>
      <c r="O144" s="4">
        <v>13.120000000000001</v>
      </c>
    </row>
    <row r="145" spans="2:15">
      <c r="B145" t="s">
        <v>624</v>
      </c>
      <c r="C145" t="s">
        <v>83</v>
      </c>
      <c r="D145" t="s">
        <v>676</v>
      </c>
      <c r="E145" t="s">
        <v>677</v>
      </c>
      <c r="F145" t="s">
        <v>10</v>
      </c>
      <c r="G145" t="s">
        <v>676</v>
      </c>
      <c r="H145" t="s">
        <v>678</v>
      </c>
      <c r="I145" t="s">
        <v>32</v>
      </c>
      <c r="J145">
        <v>164954</v>
      </c>
      <c r="K145">
        <v>1952</v>
      </c>
      <c r="L145" s="4">
        <v>3.5000000000000001E-3</v>
      </c>
      <c r="M145">
        <v>0.02</v>
      </c>
      <c r="N145" s="4">
        <v>6.8319999999999999</v>
      </c>
      <c r="O145" s="4">
        <v>39.04</v>
      </c>
    </row>
    <row r="146" spans="2:15">
      <c r="B146" t="s">
        <v>624</v>
      </c>
      <c r="C146" t="s">
        <v>83</v>
      </c>
      <c r="D146" t="s">
        <v>679</v>
      </c>
      <c r="E146" t="s">
        <v>680</v>
      </c>
      <c r="F146" t="s">
        <v>10</v>
      </c>
      <c r="G146" t="s">
        <v>679</v>
      </c>
      <c r="H146" t="s">
        <v>681</v>
      </c>
      <c r="I146" t="s">
        <v>32</v>
      </c>
      <c r="J146">
        <v>9937668</v>
      </c>
      <c r="K146">
        <v>58735</v>
      </c>
      <c r="L146" s="4">
        <v>3.5000000000000001E-3</v>
      </c>
      <c r="M146">
        <v>0.02</v>
      </c>
      <c r="N146" s="4">
        <v>205.57249999999999</v>
      </c>
      <c r="O146" s="4">
        <v>1174.7</v>
      </c>
    </row>
    <row r="147" spans="2:15">
      <c r="B147" t="s">
        <v>624</v>
      </c>
      <c r="C147" t="s">
        <v>83</v>
      </c>
      <c r="D147" t="s">
        <v>682</v>
      </c>
      <c r="E147" t="s">
        <v>683</v>
      </c>
      <c r="F147" t="s">
        <v>10</v>
      </c>
      <c r="G147" t="s">
        <v>682</v>
      </c>
      <c r="H147" t="s">
        <v>684</v>
      </c>
      <c r="I147" t="s">
        <v>32</v>
      </c>
      <c r="J147">
        <v>0</v>
      </c>
      <c r="K147">
        <v>1</v>
      </c>
      <c r="L147" s="4">
        <v>3.5000000000000001E-3</v>
      </c>
      <c r="M147">
        <v>0.02</v>
      </c>
      <c r="N147" s="4">
        <v>3.5000000000000001E-3</v>
      </c>
      <c r="O147" s="4">
        <v>0.02</v>
      </c>
    </row>
    <row r="148" spans="2:15">
      <c r="B148" t="s">
        <v>624</v>
      </c>
      <c r="C148" t="s">
        <v>83</v>
      </c>
      <c r="D148" t="s">
        <v>682</v>
      </c>
      <c r="E148" t="s">
        <v>685</v>
      </c>
      <c r="F148" t="s">
        <v>10</v>
      </c>
      <c r="G148" t="s">
        <v>682</v>
      </c>
      <c r="H148" t="s">
        <v>686</v>
      </c>
      <c r="I148" t="s">
        <v>32</v>
      </c>
      <c r="J148">
        <v>0</v>
      </c>
      <c r="K148">
        <v>1</v>
      </c>
      <c r="L148" s="4">
        <v>3.5000000000000001E-3</v>
      </c>
      <c r="M148">
        <v>0.02</v>
      </c>
      <c r="N148" s="4">
        <v>3.5000000000000001E-3</v>
      </c>
      <c r="O148" s="4">
        <v>0.02</v>
      </c>
    </row>
    <row r="149" spans="2:15">
      <c r="B149" t="s">
        <v>624</v>
      </c>
      <c r="C149" t="s">
        <v>83</v>
      </c>
      <c r="D149" t="s">
        <v>682</v>
      </c>
      <c r="E149" t="s">
        <v>687</v>
      </c>
      <c r="F149" t="s">
        <v>10</v>
      </c>
      <c r="G149" t="s">
        <v>682</v>
      </c>
      <c r="H149" t="s">
        <v>688</v>
      </c>
      <c r="I149" t="s">
        <v>32</v>
      </c>
      <c r="J149">
        <v>0</v>
      </c>
      <c r="K149">
        <v>1</v>
      </c>
      <c r="L149" s="4">
        <v>3.5000000000000001E-3</v>
      </c>
      <c r="M149">
        <v>0.02</v>
      </c>
      <c r="N149" s="4">
        <v>3.5000000000000001E-3</v>
      </c>
      <c r="O149" s="4">
        <v>0.02</v>
      </c>
    </row>
    <row r="150" spans="2:15">
      <c r="B150" t="s">
        <v>624</v>
      </c>
      <c r="C150" t="s">
        <v>83</v>
      </c>
      <c r="D150" t="s">
        <v>689</v>
      </c>
      <c r="E150" t="s">
        <v>690</v>
      </c>
      <c r="F150" t="s">
        <v>10</v>
      </c>
      <c r="G150" t="s">
        <v>682</v>
      </c>
      <c r="H150" t="s">
        <v>691</v>
      </c>
      <c r="I150" t="s">
        <v>32</v>
      </c>
      <c r="J150">
        <v>0</v>
      </c>
      <c r="K150">
        <v>1</v>
      </c>
      <c r="L150" s="4">
        <v>3.5000000000000001E-3</v>
      </c>
      <c r="M150">
        <v>0.02</v>
      </c>
      <c r="N150" s="4">
        <v>3.5000000000000001E-3</v>
      </c>
      <c r="O150" s="4">
        <v>0.02</v>
      </c>
    </row>
    <row r="151" spans="2:15">
      <c r="B151" t="s">
        <v>624</v>
      </c>
      <c r="C151" t="s">
        <v>49</v>
      </c>
      <c r="D151" t="s">
        <v>670</v>
      </c>
      <c r="E151" t="s">
        <v>231</v>
      </c>
      <c r="F151" t="s">
        <v>10</v>
      </c>
      <c r="G151" t="s">
        <v>670</v>
      </c>
      <c r="H151" t="s">
        <v>232</v>
      </c>
      <c r="I151" t="s">
        <v>32</v>
      </c>
      <c r="J151">
        <v>3</v>
      </c>
      <c r="K151">
        <v>0</v>
      </c>
      <c r="L151" s="4">
        <v>3.5000000000000001E-3</v>
      </c>
      <c r="M151">
        <v>0.02</v>
      </c>
      <c r="N151" s="4">
        <v>0</v>
      </c>
      <c r="O151" s="4">
        <v>0</v>
      </c>
    </row>
    <row r="152" spans="2:15">
      <c r="B152" t="s">
        <v>624</v>
      </c>
      <c r="C152" t="s">
        <v>49</v>
      </c>
      <c r="D152" t="s">
        <v>692</v>
      </c>
      <c r="E152" t="s">
        <v>233</v>
      </c>
      <c r="F152" t="s">
        <v>10</v>
      </c>
      <c r="G152" t="s">
        <v>692</v>
      </c>
      <c r="H152" t="s">
        <v>234</v>
      </c>
      <c r="I152" t="s">
        <v>32</v>
      </c>
      <c r="J152">
        <v>40</v>
      </c>
      <c r="K152">
        <v>61</v>
      </c>
      <c r="L152" s="4">
        <v>3.5000000000000001E-3</v>
      </c>
      <c r="M152">
        <v>0.02</v>
      </c>
      <c r="N152" s="4">
        <v>0.2135</v>
      </c>
      <c r="O152" s="4">
        <v>1.22</v>
      </c>
    </row>
    <row r="153" spans="2:15">
      <c r="B153" t="s">
        <v>624</v>
      </c>
      <c r="C153" t="s">
        <v>49</v>
      </c>
      <c r="D153" t="s">
        <v>693</v>
      </c>
      <c r="E153" t="s">
        <v>235</v>
      </c>
      <c r="F153" t="s">
        <v>10</v>
      </c>
      <c r="G153" t="s">
        <v>693</v>
      </c>
      <c r="H153" t="s">
        <v>236</v>
      </c>
      <c r="I153" t="s">
        <v>32</v>
      </c>
      <c r="J153">
        <v>0</v>
      </c>
      <c r="K153">
        <v>1</v>
      </c>
      <c r="L153" s="4">
        <v>3.5000000000000001E-3</v>
      </c>
      <c r="M153">
        <v>0.02</v>
      </c>
      <c r="N153" s="4">
        <v>3.5000000000000001E-3</v>
      </c>
      <c r="O153" s="4">
        <v>0.02</v>
      </c>
    </row>
    <row r="154" spans="2:15">
      <c r="B154" t="s">
        <v>624</v>
      </c>
      <c r="C154" t="s">
        <v>49</v>
      </c>
      <c r="D154" t="s">
        <v>694</v>
      </c>
      <c r="E154" t="s">
        <v>237</v>
      </c>
      <c r="F154" t="s">
        <v>10</v>
      </c>
      <c r="G154" t="s">
        <v>694</v>
      </c>
      <c r="H154" t="s">
        <v>238</v>
      </c>
      <c r="I154" t="s">
        <v>32</v>
      </c>
      <c r="J154">
        <v>57</v>
      </c>
      <c r="K154">
        <v>61</v>
      </c>
      <c r="L154" s="4">
        <v>3.5000000000000001E-3</v>
      </c>
      <c r="M154">
        <v>0.02</v>
      </c>
      <c r="N154" s="4">
        <v>0.2135</v>
      </c>
      <c r="O154" s="4">
        <v>1.22</v>
      </c>
    </row>
    <row r="155" spans="2:15">
      <c r="B155" t="s">
        <v>624</v>
      </c>
      <c r="C155" t="s">
        <v>49</v>
      </c>
      <c r="D155" t="s">
        <v>695</v>
      </c>
      <c r="E155" t="s">
        <v>696</v>
      </c>
      <c r="F155" t="s">
        <v>12</v>
      </c>
      <c r="G155" t="s">
        <v>695</v>
      </c>
      <c r="H155" t="s">
        <v>697</v>
      </c>
      <c r="I155" t="s">
        <v>31</v>
      </c>
      <c r="J155">
        <v>31365</v>
      </c>
      <c r="K155">
        <v>8</v>
      </c>
      <c r="L155" s="4">
        <v>3.8199999999999998E-2</v>
      </c>
      <c r="M155">
        <v>0.09</v>
      </c>
      <c r="N155" s="4">
        <v>1.198143</v>
      </c>
      <c r="O155" s="4">
        <v>2.8228499999999999</v>
      </c>
    </row>
    <row r="156" spans="2:15">
      <c r="B156" t="s">
        <v>624</v>
      </c>
      <c r="C156" t="s">
        <v>49</v>
      </c>
      <c r="D156" t="s">
        <v>698</v>
      </c>
      <c r="E156" t="s">
        <v>699</v>
      </c>
      <c r="F156" t="s">
        <v>12</v>
      </c>
      <c r="G156" t="s">
        <v>698</v>
      </c>
      <c r="H156" t="s">
        <v>700</v>
      </c>
      <c r="I156" t="s">
        <v>31</v>
      </c>
      <c r="J156">
        <v>95745</v>
      </c>
      <c r="K156">
        <v>6</v>
      </c>
      <c r="L156" s="4">
        <v>3.8199999999999998E-2</v>
      </c>
      <c r="M156">
        <v>0.09</v>
      </c>
      <c r="N156" s="4">
        <v>3.6574589999999998</v>
      </c>
      <c r="O156" s="4">
        <v>8.617049999999999</v>
      </c>
    </row>
    <row r="157" spans="2:15">
      <c r="B157" t="s">
        <v>624</v>
      </c>
      <c r="C157" t="s">
        <v>49</v>
      </c>
      <c r="D157" t="s">
        <v>701</v>
      </c>
      <c r="E157" t="s">
        <v>702</v>
      </c>
      <c r="F157" t="s">
        <v>12</v>
      </c>
      <c r="G157" t="s">
        <v>701</v>
      </c>
      <c r="H157" t="s">
        <v>703</v>
      </c>
      <c r="I157" t="s">
        <v>31</v>
      </c>
      <c r="J157">
        <v>1209858</v>
      </c>
      <c r="K157">
        <v>1200</v>
      </c>
      <c r="L157" s="4">
        <v>3.8199999999999998E-2</v>
      </c>
      <c r="M157">
        <v>0.09</v>
      </c>
      <c r="N157" s="4">
        <v>46.216575599999999</v>
      </c>
      <c r="O157" s="4">
        <v>108.88722</v>
      </c>
    </row>
    <row r="158" spans="2:15">
      <c r="B158" t="s">
        <v>624</v>
      </c>
      <c r="C158" t="s">
        <v>49</v>
      </c>
      <c r="D158" t="s">
        <v>704</v>
      </c>
      <c r="E158" t="s">
        <v>705</v>
      </c>
      <c r="F158" t="s">
        <v>12</v>
      </c>
      <c r="G158" t="s">
        <v>704</v>
      </c>
      <c r="H158" t="s">
        <v>706</v>
      </c>
      <c r="I158" t="s">
        <v>31</v>
      </c>
      <c r="J158">
        <v>3651380</v>
      </c>
      <c r="K158">
        <v>5467</v>
      </c>
      <c r="L158" s="4">
        <v>3.8199999999999998E-2</v>
      </c>
      <c r="M158">
        <v>0.09</v>
      </c>
      <c r="N158" s="4">
        <v>139.48271599999998</v>
      </c>
      <c r="O158" s="4">
        <v>328.62420000000003</v>
      </c>
    </row>
    <row r="159" spans="2:15">
      <c r="B159" t="s">
        <v>624</v>
      </c>
      <c r="C159" t="s">
        <v>49</v>
      </c>
      <c r="D159" t="s">
        <v>707</v>
      </c>
      <c r="E159" t="s">
        <v>708</v>
      </c>
      <c r="F159" t="s">
        <v>12</v>
      </c>
      <c r="G159" t="s">
        <v>707</v>
      </c>
      <c r="H159" t="s">
        <v>709</v>
      </c>
      <c r="I159" t="s">
        <v>31</v>
      </c>
      <c r="J159">
        <v>377314</v>
      </c>
      <c r="K159">
        <v>867</v>
      </c>
      <c r="L159" s="4">
        <v>3.8199999999999998E-2</v>
      </c>
      <c r="M159">
        <v>0.09</v>
      </c>
      <c r="N159" s="4">
        <v>14.413394800000001</v>
      </c>
      <c r="O159" s="4">
        <v>33.958260000000003</v>
      </c>
    </row>
    <row r="160" spans="2:15">
      <c r="B160" t="s">
        <v>624</v>
      </c>
      <c r="C160" t="s">
        <v>49</v>
      </c>
      <c r="D160" t="s">
        <v>710</v>
      </c>
      <c r="E160" t="s">
        <v>711</v>
      </c>
      <c r="F160" t="s">
        <v>12</v>
      </c>
      <c r="G160" t="s">
        <v>710</v>
      </c>
      <c r="H160" t="s">
        <v>712</v>
      </c>
      <c r="I160" t="s">
        <v>31</v>
      </c>
      <c r="J160">
        <v>1235647</v>
      </c>
      <c r="K160">
        <v>1849</v>
      </c>
      <c r="L160" s="4">
        <v>3.8199999999999998E-2</v>
      </c>
      <c r="M160">
        <v>0.09</v>
      </c>
      <c r="N160" s="4">
        <v>47.201715399999998</v>
      </c>
      <c r="O160" s="4">
        <v>111.20823</v>
      </c>
    </row>
    <row r="161" spans="2:15">
      <c r="B161" t="s">
        <v>624</v>
      </c>
      <c r="C161" t="s">
        <v>49</v>
      </c>
      <c r="D161" t="s">
        <v>713</v>
      </c>
      <c r="E161" t="s">
        <v>714</v>
      </c>
      <c r="F161" t="s">
        <v>12</v>
      </c>
      <c r="G161" t="s">
        <v>713</v>
      </c>
      <c r="H161" t="s">
        <v>715</v>
      </c>
      <c r="I161" t="s">
        <v>31</v>
      </c>
      <c r="J161">
        <v>52872</v>
      </c>
      <c r="K161">
        <v>84</v>
      </c>
      <c r="L161" s="4">
        <v>3.8199999999999998E-2</v>
      </c>
      <c r="M161">
        <v>0.09</v>
      </c>
      <c r="N161" s="4">
        <v>2.0197104000000001</v>
      </c>
      <c r="O161" s="4">
        <v>4.7584799999999996</v>
      </c>
    </row>
    <row r="162" spans="2:15">
      <c r="B162" t="s">
        <v>624</v>
      </c>
      <c r="C162" t="s">
        <v>49</v>
      </c>
      <c r="D162" t="s">
        <v>716</v>
      </c>
      <c r="E162" t="s">
        <v>717</v>
      </c>
      <c r="F162" t="s">
        <v>12</v>
      </c>
      <c r="G162" t="s">
        <v>716</v>
      </c>
      <c r="H162" t="s">
        <v>718</v>
      </c>
      <c r="I162" t="s">
        <v>31</v>
      </c>
      <c r="J162">
        <v>436867</v>
      </c>
      <c r="K162">
        <v>734</v>
      </c>
      <c r="L162" s="4">
        <v>3.8199999999999998E-2</v>
      </c>
      <c r="M162">
        <v>0.09</v>
      </c>
      <c r="N162" s="4">
        <v>16.688319400000001</v>
      </c>
      <c r="O162" s="4">
        <v>39.31803</v>
      </c>
    </row>
    <row r="163" spans="2:15">
      <c r="B163" t="s">
        <v>624</v>
      </c>
      <c r="C163" t="s">
        <v>49</v>
      </c>
      <c r="D163" t="s">
        <v>719</v>
      </c>
      <c r="E163" t="s">
        <v>720</v>
      </c>
      <c r="F163" t="s">
        <v>12</v>
      </c>
      <c r="G163" t="s">
        <v>719</v>
      </c>
      <c r="H163" t="s">
        <v>721</v>
      </c>
      <c r="I163" t="s">
        <v>31</v>
      </c>
      <c r="J163">
        <v>108193</v>
      </c>
      <c r="K163">
        <v>27</v>
      </c>
      <c r="L163" s="4">
        <v>3.8199999999999998E-2</v>
      </c>
      <c r="M163">
        <v>0.09</v>
      </c>
      <c r="N163" s="4">
        <v>4.1329726000000004</v>
      </c>
      <c r="O163" s="4">
        <v>9.7373699999999985</v>
      </c>
    </row>
    <row r="164" spans="2:15">
      <c r="B164" t="s">
        <v>624</v>
      </c>
      <c r="C164" t="s">
        <v>49</v>
      </c>
      <c r="D164" t="s">
        <v>722</v>
      </c>
      <c r="E164" t="s">
        <v>723</v>
      </c>
      <c r="F164" t="s">
        <v>12</v>
      </c>
      <c r="G164" t="s">
        <v>722</v>
      </c>
      <c r="H164" t="s">
        <v>724</v>
      </c>
      <c r="I164" t="s">
        <v>31</v>
      </c>
      <c r="J164">
        <v>274995</v>
      </c>
      <c r="K164">
        <v>114</v>
      </c>
      <c r="L164" s="4">
        <v>3.8199999999999998E-2</v>
      </c>
      <c r="M164">
        <v>0.09</v>
      </c>
      <c r="N164" s="4">
        <v>10.504809</v>
      </c>
      <c r="O164" s="4">
        <v>24.749549999999999</v>
      </c>
    </row>
    <row r="165" spans="2:15">
      <c r="B165" t="s">
        <v>624</v>
      </c>
      <c r="C165" t="s">
        <v>49</v>
      </c>
      <c r="D165" t="s">
        <v>725</v>
      </c>
      <c r="E165" t="s">
        <v>726</v>
      </c>
      <c r="F165" t="s">
        <v>12</v>
      </c>
      <c r="G165" t="s">
        <v>725</v>
      </c>
      <c r="H165" t="s">
        <v>727</v>
      </c>
      <c r="I165" t="s">
        <v>31</v>
      </c>
      <c r="J165">
        <v>1</v>
      </c>
      <c r="K165">
        <v>1</v>
      </c>
      <c r="L165" s="4">
        <v>3.8199999999999998E-2</v>
      </c>
      <c r="M165">
        <v>0.09</v>
      </c>
      <c r="N165" s="4">
        <v>3.82E-5</v>
      </c>
      <c r="O165" s="4">
        <v>8.9999999999999992E-5</v>
      </c>
    </row>
    <row r="166" spans="2:15">
      <c r="B166" t="s">
        <v>624</v>
      </c>
      <c r="C166" t="s">
        <v>49</v>
      </c>
      <c r="D166" t="s">
        <v>728</v>
      </c>
      <c r="E166" t="s">
        <v>729</v>
      </c>
      <c r="F166" t="s">
        <v>12</v>
      </c>
      <c r="G166" t="s">
        <v>728</v>
      </c>
      <c r="H166" t="s">
        <v>730</v>
      </c>
      <c r="I166" t="s">
        <v>31</v>
      </c>
      <c r="J166">
        <v>1</v>
      </c>
      <c r="K166">
        <v>1</v>
      </c>
      <c r="L166" s="4">
        <v>3.8199999999999998E-2</v>
      </c>
      <c r="M166">
        <v>0.09</v>
      </c>
      <c r="N166" s="4">
        <v>3.82E-5</v>
      </c>
      <c r="O166" s="4">
        <v>8.9999999999999992E-5</v>
      </c>
    </row>
    <row r="167" spans="2:15">
      <c r="B167" t="s">
        <v>624</v>
      </c>
      <c r="C167" t="s">
        <v>49</v>
      </c>
      <c r="D167" t="s">
        <v>731</v>
      </c>
      <c r="E167" t="s">
        <v>114</v>
      </c>
      <c r="F167" t="s">
        <v>12</v>
      </c>
      <c r="G167" t="s">
        <v>731</v>
      </c>
      <c r="H167" t="s">
        <v>116</v>
      </c>
      <c r="I167" t="s">
        <v>31</v>
      </c>
      <c r="J167">
        <v>0</v>
      </c>
      <c r="K167">
        <v>2</v>
      </c>
      <c r="L167" s="4">
        <v>3.8199999999999998E-2</v>
      </c>
      <c r="M167">
        <v>0.09</v>
      </c>
      <c r="N167" s="4">
        <v>0</v>
      </c>
      <c r="O167" s="4">
        <v>0</v>
      </c>
    </row>
    <row r="168" spans="2:15">
      <c r="B168" t="s">
        <v>624</v>
      </c>
      <c r="C168" t="s">
        <v>49</v>
      </c>
      <c r="D168" t="s">
        <v>732</v>
      </c>
      <c r="E168" t="s">
        <v>117</v>
      </c>
      <c r="F168" t="s">
        <v>12</v>
      </c>
      <c r="G168" t="s">
        <v>732</v>
      </c>
      <c r="H168" t="s">
        <v>118</v>
      </c>
      <c r="I168" t="s">
        <v>31</v>
      </c>
      <c r="J168">
        <v>0</v>
      </c>
      <c r="K168">
        <v>26</v>
      </c>
      <c r="L168" s="4">
        <v>3.8199999999999998E-2</v>
      </c>
      <c r="M168">
        <v>0.09</v>
      </c>
      <c r="N168" s="4">
        <v>0</v>
      </c>
      <c r="O168" s="4">
        <v>0</v>
      </c>
    </row>
    <row r="169" spans="2:15">
      <c r="B169" t="s">
        <v>624</v>
      </c>
      <c r="C169" t="s">
        <v>49</v>
      </c>
      <c r="D169" t="s">
        <v>733</v>
      </c>
      <c r="E169" t="s">
        <v>119</v>
      </c>
      <c r="F169" t="s">
        <v>12</v>
      </c>
      <c r="G169" t="s">
        <v>733</v>
      </c>
      <c r="H169" t="s">
        <v>121</v>
      </c>
      <c r="I169" t="s">
        <v>31</v>
      </c>
      <c r="J169">
        <v>0</v>
      </c>
      <c r="K169">
        <v>1</v>
      </c>
      <c r="L169" s="4">
        <v>3.8199999999999998E-2</v>
      </c>
      <c r="M169">
        <v>0.09</v>
      </c>
      <c r="N169" s="4">
        <v>0</v>
      </c>
      <c r="O169" s="4">
        <v>0</v>
      </c>
    </row>
    <row r="170" spans="2:15">
      <c r="B170" t="s">
        <v>624</v>
      </c>
      <c r="C170" t="s">
        <v>49</v>
      </c>
      <c r="D170" t="s">
        <v>733</v>
      </c>
      <c r="E170" t="s">
        <v>119</v>
      </c>
      <c r="F170" t="s">
        <v>12</v>
      </c>
      <c r="G170" t="s">
        <v>733</v>
      </c>
      <c r="H170" t="s">
        <v>120</v>
      </c>
      <c r="I170" t="s">
        <v>31</v>
      </c>
      <c r="J170">
        <v>0</v>
      </c>
      <c r="K170">
        <v>2</v>
      </c>
      <c r="L170" s="4">
        <v>3.8199999999999998E-2</v>
      </c>
      <c r="M170">
        <v>0.09</v>
      </c>
      <c r="N170" s="4">
        <v>0</v>
      </c>
      <c r="O170" s="4">
        <v>0</v>
      </c>
    </row>
    <row r="171" spans="2:15">
      <c r="B171" t="s">
        <v>624</v>
      </c>
      <c r="C171" t="s">
        <v>49</v>
      </c>
      <c r="D171" t="s">
        <v>734</v>
      </c>
      <c r="E171" t="s">
        <v>735</v>
      </c>
      <c r="F171" t="s">
        <v>12</v>
      </c>
      <c r="G171" t="s">
        <v>734</v>
      </c>
      <c r="H171" t="s">
        <v>736</v>
      </c>
      <c r="I171" t="s">
        <v>31</v>
      </c>
      <c r="J171">
        <v>1</v>
      </c>
      <c r="K171">
        <v>1</v>
      </c>
      <c r="L171" s="4">
        <v>3.8199999999999998E-2</v>
      </c>
      <c r="M171">
        <v>0.09</v>
      </c>
      <c r="N171" s="4">
        <v>3.82E-5</v>
      </c>
      <c r="O171" s="4">
        <v>8.9999999999999992E-5</v>
      </c>
    </row>
    <row r="172" spans="2:15">
      <c r="B172" t="s">
        <v>624</v>
      </c>
      <c r="C172" t="s">
        <v>49</v>
      </c>
      <c r="D172" t="s">
        <v>737</v>
      </c>
      <c r="E172" t="s">
        <v>738</v>
      </c>
      <c r="F172" t="s">
        <v>12</v>
      </c>
      <c r="G172" t="s">
        <v>737</v>
      </c>
      <c r="H172" t="s">
        <v>739</v>
      </c>
      <c r="I172" t="s">
        <v>31</v>
      </c>
      <c r="J172">
        <v>1</v>
      </c>
      <c r="K172">
        <v>1</v>
      </c>
      <c r="L172" s="4">
        <v>3.8199999999999998E-2</v>
      </c>
      <c r="M172">
        <v>0.09</v>
      </c>
      <c r="N172" s="4">
        <v>3.82E-5</v>
      </c>
      <c r="O172" s="4">
        <v>8.9999999999999992E-5</v>
      </c>
    </row>
    <row r="173" spans="2:15">
      <c r="B173" t="s">
        <v>624</v>
      </c>
      <c r="C173" t="s">
        <v>49</v>
      </c>
      <c r="D173" t="s">
        <v>740</v>
      </c>
      <c r="E173" t="s">
        <v>123</v>
      </c>
      <c r="F173" t="s">
        <v>10</v>
      </c>
      <c r="G173" t="s">
        <v>740</v>
      </c>
      <c r="H173" t="s">
        <v>124</v>
      </c>
      <c r="I173" t="s">
        <v>32</v>
      </c>
      <c r="J173">
        <v>0</v>
      </c>
      <c r="K173">
        <v>19</v>
      </c>
      <c r="L173" s="4">
        <v>3.5000000000000001E-3</v>
      </c>
      <c r="M173">
        <v>0.02</v>
      </c>
      <c r="N173" s="4">
        <v>6.6500000000000004E-2</v>
      </c>
      <c r="O173" s="4">
        <v>0.38</v>
      </c>
    </row>
    <row r="174" spans="2:15">
      <c r="B174" t="s">
        <v>624</v>
      </c>
      <c r="C174" t="s">
        <v>49</v>
      </c>
      <c r="D174" t="s">
        <v>741</v>
      </c>
      <c r="E174" t="s">
        <v>125</v>
      </c>
      <c r="F174" t="s">
        <v>10</v>
      </c>
      <c r="G174" t="s">
        <v>741</v>
      </c>
      <c r="H174" t="s">
        <v>126</v>
      </c>
      <c r="I174" t="s">
        <v>32</v>
      </c>
      <c r="J174">
        <v>0</v>
      </c>
      <c r="K174">
        <v>2</v>
      </c>
      <c r="L174" s="4">
        <v>3.5000000000000001E-3</v>
      </c>
      <c r="M174">
        <v>0.02</v>
      </c>
      <c r="N174" s="4">
        <v>7.0000000000000001E-3</v>
      </c>
      <c r="O174" s="4">
        <v>0.04</v>
      </c>
    </row>
    <row r="175" spans="2:15">
      <c r="B175" t="s">
        <v>624</v>
      </c>
      <c r="C175" t="s">
        <v>52</v>
      </c>
      <c r="D175" t="s">
        <v>742</v>
      </c>
      <c r="E175" t="s">
        <v>743</v>
      </c>
      <c r="F175" t="s">
        <v>10</v>
      </c>
      <c r="G175" t="s">
        <v>742</v>
      </c>
      <c r="H175" t="s">
        <v>744</v>
      </c>
      <c r="I175" t="s">
        <v>32</v>
      </c>
      <c r="J175">
        <v>2</v>
      </c>
      <c r="K175">
        <v>0</v>
      </c>
      <c r="L175" s="4">
        <v>3.5000000000000001E-3</v>
      </c>
      <c r="M175">
        <v>0.02</v>
      </c>
      <c r="N175" s="4">
        <v>0</v>
      </c>
      <c r="O175" s="4">
        <v>0</v>
      </c>
    </row>
    <row r="176" spans="2:15">
      <c r="B176" t="s">
        <v>624</v>
      </c>
      <c r="C176" t="s">
        <v>52</v>
      </c>
      <c r="D176" t="s">
        <v>745</v>
      </c>
      <c r="E176" t="s">
        <v>61</v>
      </c>
      <c r="F176" t="s">
        <v>10</v>
      </c>
      <c r="G176" t="s">
        <v>745</v>
      </c>
      <c r="H176" t="s">
        <v>62</v>
      </c>
      <c r="I176" t="s">
        <v>32</v>
      </c>
      <c r="J176">
        <v>0</v>
      </c>
      <c r="K176">
        <v>8</v>
      </c>
      <c r="L176" s="4">
        <v>3.5000000000000001E-3</v>
      </c>
      <c r="M176">
        <v>0.02</v>
      </c>
      <c r="N176" s="4">
        <v>2.8000000000000001E-2</v>
      </c>
      <c r="O176" s="4">
        <v>0.16</v>
      </c>
    </row>
    <row r="177" spans="2:15">
      <c r="B177" t="s">
        <v>624</v>
      </c>
      <c r="C177" t="s">
        <v>52</v>
      </c>
      <c r="D177" t="s">
        <v>746</v>
      </c>
      <c r="E177" t="s">
        <v>87</v>
      </c>
      <c r="F177" t="s">
        <v>10</v>
      </c>
      <c r="G177" t="s">
        <v>746</v>
      </c>
      <c r="H177" t="s">
        <v>88</v>
      </c>
      <c r="I177" t="s">
        <v>32</v>
      </c>
      <c r="J177">
        <v>18</v>
      </c>
      <c r="K177">
        <v>0</v>
      </c>
      <c r="L177" s="4">
        <v>3.5000000000000001E-3</v>
      </c>
      <c r="M177">
        <v>0.02</v>
      </c>
      <c r="N177" s="4">
        <v>0</v>
      </c>
      <c r="O177" s="4">
        <v>0</v>
      </c>
    </row>
    <row r="178" spans="2:15">
      <c r="B178" t="s">
        <v>624</v>
      </c>
      <c r="C178" t="s">
        <v>52</v>
      </c>
      <c r="D178" t="s">
        <v>747</v>
      </c>
      <c r="E178" t="s">
        <v>748</v>
      </c>
      <c r="F178" t="s">
        <v>10</v>
      </c>
      <c r="G178" t="s">
        <v>747</v>
      </c>
      <c r="H178" t="s">
        <v>749</v>
      </c>
      <c r="I178" t="s">
        <v>32</v>
      </c>
      <c r="J178">
        <v>0</v>
      </c>
      <c r="K178">
        <v>1</v>
      </c>
      <c r="L178" s="4">
        <v>3.5000000000000001E-3</v>
      </c>
      <c r="M178">
        <v>0.02</v>
      </c>
      <c r="N178" s="4">
        <v>3.5000000000000001E-3</v>
      </c>
      <c r="O178" s="4">
        <v>0.02</v>
      </c>
    </row>
    <row r="179" spans="2:15">
      <c r="B179" t="s">
        <v>624</v>
      </c>
      <c r="C179" t="s">
        <v>52</v>
      </c>
      <c r="D179" t="s">
        <v>750</v>
      </c>
      <c r="E179" t="s">
        <v>239</v>
      </c>
      <c r="F179" t="s">
        <v>30</v>
      </c>
      <c r="G179" t="s">
        <v>750</v>
      </c>
      <c r="H179" t="s">
        <v>240</v>
      </c>
      <c r="I179" t="s">
        <v>84</v>
      </c>
      <c r="J179">
        <v>49</v>
      </c>
      <c r="K179">
        <v>3</v>
      </c>
      <c r="L179" s="4">
        <v>0.6</v>
      </c>
      <c r="M179">
        <v>0.35</v>
      </c>
      <c r="N179" s="4">
        <v>2.9399999999999999E-2</v>
      </c>
      <c r="O179" s="4">
        <v>1.7149999999999999E-2</v>
      </c>
    </row>
    <row r="180" spans="2:15">
      <c r="B180" t="s">
        <v>624</v>
      </c>
      <c r="C180" t="s">
        <v>52</v>
      </c>
      <c r="D180" t="s">
        <v>751</v>
      </c>
      <c r="E180" t="s">
        <v>241</v>
      </c>
      <c r="F180" t="s">
        <v>30</v>
      </c>
      <c r="G180" t="s">
        <v>751</v>
      </c>
      <c r="H180" t="s">
        <v>242</v>
      </c>
      <c r="I180" t="s">
        <v>84</v>
      </c>
      <c r="J180">
        <v>27</v>
      </c>
      <c r="K180">
        <v>0</v>
      </c>
      <c r="L180" s="4">
        <v>0.6</v>
      </c>
      <c r="M180">
        <v>0.35</v>
      </c>
      <c r="N180" s="4">
        <v>1.6199999999999999E-2</v>
      </c>
      <c r="O180" s="4">
        <v>9.4500000000000001E-3</v>
      </c>
    </row>
    <row r="181" spans="2:15">
      <c r="B181" t="s">
        <v>624</v>
      </c>
      <c r="C181" t="s">
        <v>52</v>
      </c>
      <c r="D181" t="s">
        <v>752</v>
      </c>
      <c r="E181" t="s">
        <v>127</v>
      </c>
      <c r="F181" t="s">
        <v>10</v>
      </c>
      <c r="G181" t="s">
        <v>752</v>
      </c>
      <c r="H181" t="s">
        <v>128</v>
      </c>
      <c r="I181" t="s">
        <v>32</v>
      </c>
      <c r="J181">
        <v>0</v>
      </c>
      <c r="K181">
        <v>1</v>
      </c>
      <c r="L181" s="4">
        <v>3.5000000000000001E-3</v>
      </c>
      <c r="M181">
        <v>0.02</v>
      </c>
      <c r="N181" s="4">
        <v>3.5000000000000001E-3</v>
      </c>
      <c r="O181" s="4">
        <v>0.02</v>
      </c>
    </row>
    <row r="182" spans="2:15">
      <c r="B182" t="s">
        <v>624</v>
      </c>
      <c r="C182" t="s">
        <v>63</v>
      </c>
      <c r="D182" t="s">
        <v>753</v>
      </c>
      <c r="E182" t="s">
        <v>64</v>
      </c>
      <c r="F182" t="s">
        <v>10</v>
      </c>
      <c r="G182" t="s">
        <v>753</v>
      </c>
      <c r="H182" t="s">
        <v>65</v>
      </c>
      <c r="I182" t="s">
        <v>32</v>
      </c>
      <c r="J182">
        <v>0</v>
      </c>
      <c r="K182">
        <v>38247</v>
      </c>
      <c r="L182" s="4">
        <v>3.5000000000000001E-3</v>
      </c>
      <c r="M182">
        <v>0.02</v>
      </c>
      <c r="N182" s="4">
        <v>133.86449999999999</v>
      </c>
      <c r="O182" s="4">
        <v>764.94</v>
      </c>
    </row>
    <row r="183" spans="2:15">
      <c r="B183" t="s">
        <v>624</v>
      </c>
      <c r="C183" t="s">
        <v>111</v>
      </c>
      <c r="D183" t="s">
        <v>754</v>
      </c>
      <c r="E183" t="s">
        <v>755</v>
      </c>
      <c r="F183" t="s">
        <v>30</v>
      </c>
      <c r="G183" t="s">
        <v>754</v>
      </c>
      <c r="H183" t="s">
        <v>756</v>
      </c>
      <c r="I183" t="s">
        <v>84</v>
      </c>
      <c r="J183">
        <v>6577578</v>
      </c>
      <c r="K183">
        <v>93266</v>
      </c>
      <c r="L183" s="4">
        <v>0.6</v>
      </c>
      <c r="M183">
        <v>0.35</v>
      </c>
      <c r="N183" s="4">
        <v>3946.5467999999996</v>
      </c>
      <c r="O183" s="4">
        <v>2302.1522999999997</v>
      </c>
    </row>
    <row r="184" spans="2:15">
      <c r="B184" t="s">
        <v>624</v>
      </c>
      <c r="C184" t="s">
        <v>111</v>
      </c>
      <c r="D184" t="s">
        <v>757</v>
      </c>
      <c r="E184" t="s">
        <v>758</v>
      </c>
      <c r="F184" t="s">
        <v>30</v>
      </c>
      <c r="G184" t="s">
        <v>757</v>
      </c>
      <c r="H184" t="s">
        <v>759</v>
      </c>
      <c r="I184" t="s">
        <v>84</v>
      </c>
      <c r="J184">
        <v>3622429</v>
      </c>
      <c r="K184">
        <v>22119</v>
      </c>
      <c r="L184" s="4">
        <v>0.6</v>
      </c>
      <c r="M184">
        <v>0.35</v>
      </c>
      <c r="N184" s="4">
        <v>2173.4573999999998</v>
      </c>
      <c r="O184" s="4">
        <v>1267.85015</v>
      </c>
    </row>
    <row r="185" spans="2:15">
      <c r="B185" t="s">
        <v>624</v>
      </c>
      <c r="C185" t="s">
        <v>111</v>
      </c>
      <c r="D185" t="s">
        <v>760</v>
      </c>
      <c r="E185" t="s">
        <v>761</v>
      </c>
      <c r="F185" t="s">
        <v>30</v>
      </c>
      <c r="G185" t="s">
        <v>760</v>
      </c>
      <c r="H185" t="s">
        <v>762</v>
      </c>
      <c r="I185" t="s">
        <v>84</v>
      </c>
      <c r="J185">
        <v>3178279</v>
      </c>
      <c r="K185">
        <v>21115</v>
      </c>
      <c r="L185" s="4">
        <v>0.6</v>
      </c>
      <c r="M185">
        <v>0.35</v>
      </c>
      <c r="N185" s="4">
        <v>1906.9674</v>
      </c>
      <c r="O185" s="4">
        <v>1112.3976499999999</v>
      </c>
    </row>
    <row r="186" spans="2:15">
      <c r="B186" t="s">
        <v>624</v>
      </c>
      <c r="C186" t="s">
        <v>111</v>
      </c>
      <c r="D186" t="s">
        <v>763</v>
      </c>
      <c r="E186" t="s">
        <v>764</v>
      </c>
      <c r="F186" t="s">
        <v>30</v>
      </c>
      <c r="G186" t="s">
        <v>763</v>
      </c>
      <c r="H186" t="s">
        <v>765</v>
      </c>
      <c r="I186" t="s">
        <v>84</v>
      </c>
      <c r="J186">
        <v>5762527</v>
      </c>
      <c r="K186">
        <v>33221</v>
      </c>
      <c r="L186" s="4">
        <v>0.6</v>
      </c>
      <c r="M186">
        <v>0.35</v>
      </c>
      <c r="N186" s="4">
        <v>3457.5161999999996</v>
      </c>
      <c r="O186" s="4">
        <v>2016.88445</v>
      </c>
    </row>
    <row r="187" spans="2:15">
      <c r="B187" t="s">
        <v>624</v>
      </c>
      <c r="C187" t="s">
        <v>111</v>
      </c>
      <c r="D187" t="s">
        <v>766</v>
      </c>
      <c r="E187" t="s">
        <v>767</v>
      </c>
      <c r="F187" t="s">
        <v>30</v>
      </c>
      <c r="G187" t="s">
        <v>766</v>
      </c>
      <c r="H187" t="s">
        <v>768</v>
      </c>
      <c r="I187" t="s">
        <v>84</v>
      </c>
      <c r="J187">
        <v>5692152</v>
      </c>
      <c r="K187">
        <v>247376</v>
      </c>
      <c r="L187" s="4">
        <v>0.6</v>
      </c>
      <c r="M187">
        <v>0.35</v>
      </c>
      <c r="N187" s="4">
        <v>3415.2911999999997</v>
      </c>
      <c r="O187" s="4">
        <v>1992.2531999999999</v>
      </c>
    </row>
    <row r="188" spans="2:15">
      <c r="B188" t="s">
        <v>624</v>
      </c>
      <c r="C188" t="s">
        <v>243</v>
      </c>
      <c r="D188" t="s">
        <v>769</v>
      </c>
      <c r="E188" t="s">
        <v>244</v>
      </c>
      <c r="F188" t="s">
        <v>30</v>
      </c>
      <c r="G188" t="s">
        <v>769</v>
      </c>
      <c r="H188" t="s">
        <v>245</v>
      </c>
      <c r="I188" t="s">
        <v>84</v>
      </c>
      <c r="J188">
        <v>149</v>
      </c>
      <c r="K188">
        <v>0</v>
      </c>
      <c r="L188" s="4">
        <v>0.6</v>
      </c>
      <c r="M188">
        <v>0.35</v>
      </c>
      <c r="N188" s="4">
        <v>8.9399999999999993E-2</v>
      </c>
      <c r="O188" s="4">
        <v>5.2150000000000002E-2</v>
      </c>
    </row>
    <row r="189" spans="2:15">
      <c r="B189" t="s">
        <v>624</v>
      </c>
      <c r="C189" t="s">
        <v>243</v>
      </c>
      <c r="D189" t="s">
        <v>770</v>
      </c>
      <c r="E189" t="s">
        <v>246</v>
      </c>
      <c r="F189" t="s">
        <v>30</v>
      </c>
      <c r="G189" t="s">
        <v>770</v>
      </c>
      <c r="H189" t="s">
        <v>247</v>
      </c>
      <c r="I189" t="s">
        <v>84</v>
      </c>
      <c r="J189">
        <v>121</v>
      </c>
      <c r="K189">
        <v>1</v>
      </c>
      <c r="L189" s="4">
        <v>0.6</v>
      </c>
      <c r="M189">
        <v>0.35</v>
      </c>
      <c r="N189" s="4">
        <v>7.2599999999999998E-2</v>
      </c>
      <c r="O189" s="4">
        <v>4.2349999999999992E-2</v>
      </c>
    </row>
    <row r="190" spans="2:15">
      <c r="B190" t="s">
        <v>771</v>
      </c>
      <c r="C190" t="s">
        <v>50</v>
      </c>
      <c r="D190" t="s">
        <v>772</v>
      </c>
      <c r="E190" t="s">
        <v>773</v>
      </c>
      <c r="F190" t="s">
        <v>10</v>
      </c>
      <c r="G190" t="s">
        <v>772</v>
      </c>
      <c r="H190" t="s">
        <v>774</v>
      </c>
      <c r="I190" t="s">
        <v>32</v>
      </c>
      <c r="J190">
        <v>0</v>
      </c>
      <c r="K190">
        <v>24</v>
      </c>
      <c r="L190" s="4">
        <v>3.5000000000000001E-3</v>
      </c>
      <c r="M190">
        <v>0.02</v>
      </c>
      <c r="N190" s="4">
        <v>8.4000000000000005E-2</v>
      </c>
      <c r="O190" s="4">
        <v>0.48</v>
      </c>
    </row>
    <row r="191" spans="2:15">
      <c r="B191" t="s">
        <v>771</v>
      </c>
      <c r="C191" t="s">
        <v>50</v>
      </c>
      <c r="D191" t="s">
        <v>772</v>
      </c>
      <c r="E191" t="s">
        <v>775</v>
      </c>
      <c r="F191" t="s">
        <v>10</v>
      </c>
      <c r="G191" t="s">
        <v>772</v>
      </c>
      <c r="H191" t="s">
        <v>776</v>
      </c>
      <c r="I191" t="s">
        <v>32</v>
      </c>
      <c r="J191">
        <v>0</v>
      </c>
      <c r="K191">
        <v>2</v>
      </c>
      <c r="L191" s="4">
        <v>3.5000000000000001E-3</v>
      </c>
      <c r="M191">
        <v>0.02</v>
      </c>
      <c r="N191" s="4">
        <v>7.0000000000000001E-3</v>
      </c>
      <c r="O191" s="4">
        <v>0.04</v>
      </c>
    </row>
    <row r="192" spans="2:15">
      <c r="B192" t="s">
        <v>771</v>
      </c>
      <c r="C192" t="s">
        <v>50</v>
      </c>
      <c r="D192" t="s">
        <v>777</v>
      </c>
      <c r="E192" t="s">
        <v>778</v>
      </c>
      <c r="F192" t="s">
        <v>10</v>
      </c>
      <c r="G192" t="s">
        <v>777</v>
      </c>
      <c r="H192" t="s">
        <v>779</v>
      </c>
      <c r="I192" t="s">
        <v>32</v>
      </c>
      <c r="J192">
        <v>0</v>
      </c>
      <c r="K192">
        <v>33</v>
      </c>
      <c r="L192" s="4">
        <v>3.5000000000000001E-3</v>
      </c>
      <c r="M192">
        <v>0.02</v>
      </c>
      <c r="N192" s="4">
        <v>0.11550000000000001</v>
      </c>
      <c r="O192" s="4">
        <v>0.66</v>
      </c>
    </row>
    <row r="193" spans="2:15">
      <c r="B193" t="s">
        <v>771</v>
      </c>
      <c r="C193" t="s">
        <v>50</v>
      </c>
      <c r="D193" t="s">
        <v>777</v>
      </c>
      <c r="E193" t="s">
        <v>780</v>
      </c>
      <c r="F193" t="s">
        <v>10</v>
      </c>
      <c r="G193" t="s">
        <v>777</v>
      </c>
      <c r="H193" t="s">
        <v>781</v>
      </c>
      <c r="I193" t="s">
        <v>32</v>
      </c>
      <c r="J193">
        <v>0</v>
      </c>
      <c r="K193">
        <v>1</v>
      </c>
      <c r="L193" s="4">
        <v>3.5000000000000001E-3</v>
      </c>
      <c r="M193">
        <v>0.02</v>
      </c>
      <c r="N193" s="4">
        <v>3.5000000000000001E-3</v>
      </c>
      <c r="O193" s="4">
        <v>0.02</v>
      </c>
    </row>
    <row r="194" spans="2:15">
      <c r="B194" t="s">
        <v>771</v>
      </c>
      <c r="C194" t="s">
        <v>50</v>
      </c>
      <c r="D194" t="s">
        <v>782</v>
      </c>
      <c r="E194" t="s">
        <v>783</v>
      </c>
      <c r="F194" t="s">
        <v>10</v>
      </c>
      <c r="G194" t="s">
        <v>782</v>
      </c>
      <c r="H194" t="s">
        <v>784</v>
      </c>
      <c r="I194" t="s">
        <v>32</v>
      </c>
      <c r="J194">
        <v>0</v>
      </c>
      <c r="K194">
        <v>32</v>
      </c>
      <c r="L194" s="4">
        <v>3.5000000000000001E-3</v>
      </c>
      <c r="M194">
        <v>0.02</v>
      </c>
      <c r="N194" s="4">
        <v>0.112</v>
      </c>
      <c r="O194" s="4">
        <v>0.64</v>
      </c>
    </row>
    <row r="195" spans="2:15">
      <c r="B195" t="s">
        <v>771</v>
      </c>
      <c r="C195" t="s">
        <v>50</v>
      </c>
      <c r="D195" t="s">
        <v>782</v>
      </c>
      <c r="E195" t="s">
        <v>785</v>
      </c>
      <c r="F195" t="s">
        <v>10</v>
      </c>
      <c r="G195" t="s">
        <v>782</v>
      </c>
      <c r="H195" t="s">
        <v>786</v>
      </c>
      <c r="I195" t="s">
        <v>32</v>
      </c>
      <c r="J195">
        <v>0</v>
      </c>
      <c r="K195">
        <v>1</v>
      </c>
      <c r="L195" s="4">
        <v>3.5000000000000001E-3</v>
      </c>
      <c r="M195">
        <v>0.02</v>
      </c>
      <c r="N195" s="4">
        <v>3.5000000000000001E-3</v>
      </c>
      <c r="O195" s="4">
        <v>0.02</v>
      </c>
    </row>
    <row r="196" spans="2:15">
      <c r="B196" t="s">
        <v>771</v>
      </c>
      <c r="C196" t="s">
        <v>50</v>
      </c>
      <c r="D196" t="s">
        <v>782</v>
      </c>
      <c r="E196" t="s">
        <v>787</v>
      </c>
      <c r="F196" t="s">
        <v>10</v>
      </c>
      <c r="G196" t="s">
        <v>782</v>
      </c>
      <c r="H196" t="s">
        <v>788</v>
      </c>
      <c r="I196" t="s">
        <v>32</v>
      </c>
      <c r="J196">
        <v>0</v>
      </c>
      <c r="K196">
        <v>2</v>
      </c>
      <c r="L196" s="4">
        <v>3.5000000000000001E-3</v>
      </c>
      <c r="M196">
        <v>0.02</v>
      </c>
      <c r="N196" s="4">
        <v>7.0000000000000001E-3</v>
      </c>
      <c r="O196" s="4">
        <v>0.04</v>
      </c>
    </row>
    <row r="197" spans="2:15">
      <c r="B197" t="s">
        <v>771</v>
      </c>
      <c r="C197" t="s">
        <v>50</v>
      </c>
      <c r="D197" t="s">
        <v>789</v>
      </c>
      <c r="E197" t="s">
        <v>790</v>
      </c>
      <c r="F197" t="s">
        <v>10</v>
      </c>
      <c r="G197" t="s">
        <v>789</v>
      </c>
      <c r="H197" t="s">
        <v>791</v>
      </c>
      <c r="I197" t="s">
        <v>32</v>
      </c>
      <c r="J197">
        <v>0</v>
      </c>
      <c r="K197">
        <v>1</v>
      </c>
      <c r="L197" s="4">
        <v>3.5000000000000001E-3</v>
      </c>
      <c r="M197">
        <v>0.02</v>
      </c>
      <c r="N197" s="4">
        <v>3.5000000000000001E-3</v>
      </c>
      <c r="O197" s="4">
        <v>0.02</v>
      </c>
    </row>
    <row r="198" spans="2:15">
      <c r="B198" t="s">
        <v>771</v>
      </c>
      <c r="C198" t="s">
        <v>50</v>
      </c>
      <c r="D198" t="s">
        <v>789</v>
      </c>
      <c r="E198" t="s">
        <v>792</v>
      </c>
      <c r="F198" t="s">
        <v>10</v>
      </c>
      <c r="G198" t="s">
        <v>789</v>
      </c>
      <c r="H198" t="s">
        <v>793</v>
      </c>
      <c r="I198" t="s">
        <v>32</v>
      </c>
      <c r="J198">
        <v>0</v>
      </c>
      <c r="K198">
        <v>1</v>
      </c>
      <c r="L198" s="4">
        <v>3.5000000000000001E-3</v>
      </c>
      <c r="M198">
        <v>0.02</v>
      </c>
      <c r="N198" s="4">
        <v>3.5000000000000001E-3</v>
      </c>
      <c r="O198" s="4">
        <v>0.02</v>
      </c>
    </row>
    <row r="199" spans="2:15">
      <c r="B199" t="s">
        <v>771</v>
      </c>
      <c r="C199" t="s">
        <v>50</v>
      </c>
      <c r="D199" t="s">
        <v>789</v>
      </c>
      <c r="E199" t="s">
        <v>794</v>
      </c>
      <c r="F199" t="s">
        <v>10</v>
      </c>
      <c r="G199" t="s">
        <v>789</v>
      </c>
      <c r="H199" t="s">
        <v>795</v>
      </c>
      <c r="I199" t="s">
        <v>32</v>
      </c>
      <c r="J199">
        <v>0</v>
      </c>
      <c r="K199">
        <v>1</v>
      </c>
      <c r="L199" s="4">
        <v>3.5000000000000001E-3</v>
      </c>
      <c r="M199">
        <v>0.02</v>
      </c>
      <c r="N199" s="4">
        <v>3.5000000000000001E-3</v>
      </c>
      <c r="O199" s="4">
        <v>0.02</v>
      </c>
    </row>
    <row r="200" spans="2:15">
      <c r="B200" t="s">
        <v>771</v>
      </c>
      <c r="C200" t="s">
        <v>50</v>
      </c>
      <c r="D200" t="s">
        <v>796</v>
      </c>
      <c r="E200" t="s">
        <v>797</v>
      </c>
      <c r="F200" t="s">
        <v>10</v>
      </c>
      <c r="G200" t="s">
        <v>796</v>
      </c>
      <c r="H200" t="s">
        <v>798</v>
      </c>
      <c r="I200" t="s">
        <v>32</v>
      </c>
      <c r="J200">
        <v>0</v>
      </c>
      <c r="K200">
        <v>1</v>
      </c>
      <c r="L200" s="4">
        <v>3.5000000000000001E-3</v>
      </c>
      <c r="M200">
        <v>0.02</v>
      </c>
      <c r="N200" s="4">
        <v>3.5000000000000001E-3</v>
      </c>
      <c r="O200" s="4">
        <v>0.02</v>
      </c>
    </row>
    <row r="201" spans="2:15">
      <c r="B201" t="s">
        <v>771</v>
      </c>
      <c r="C201" t="s">
        <v>50</v>
      </c>
      <c r="D201" t="s">
        <v>796</v>
      </c>
      <c r="E201" t="s">
        <v>799</v>
      </c>
      <c r="F201" t="s">
        <v>10</v>
      </c>
      <c r="G201" t="s">
        <v>796</v>
      </c>
      <c r="H201" t="s">
        <v>800</v>
      </c>
      <c r="I201" t="s">
        <v>32</v>
      </c>
      <c r="J201">
        <v>0</v>
      </c>
      <c r="K201">
        <v>2</v>
      </c>
      <c r="L201" s="4">
        <v>3.5000000000000001E-3</v>
      </c>
      <c r="M201">
        <v>0.02</v>
      </c>
      <c r="N201" s="4">
        <v>7.0000000000000001E-3</v>
      </c>
      <c r="O201" s="4">
        <v>0.04</v>
      </c>
    </row>
    <row r="202" spans="2:15">
      <c r="B202" t="s">
        <v>771</v>
      </c>
      <c r="C202" t="s">
        <v>50</v>
      </c>
      <c r="D202" t="s">
        <v>801</v>
      </c>
      <c r="E202" t="s">
        <v>802</v>
      </c>
      <c r="F202" t="s">
        <v>10</v>
      </c>
      <c r="G202" t="s">
        <v>801</v>
      </c>
      <c r="H202" t="s">
        <v>803</v>
      </c>
      <c r="I202" t="s">
        <v>32</v>
      </c>
      <c r="J202">
        <v>0</v>
      </c>
      <c r="K202">
        <v>1</v>
      </c>
      <c r="L202" s="4">
        <v>3.5000000000000001E-3</v>
      </c>
      <c r="M202">
        <v>0.02</v>
      </c>
      <c r="N202" s="4">
        <v>3.5000000000000001E-3</v>
      </c>
      <c r="O202" s="4">
        <v>0.02</v>
      </c>
    </row>
    <row r="203" spans="2:15">
      <c r="B203" t="s">
        <v>771</v>
      </c>
      <c r="C203" t="s">
        <v>50</v>
      </c>
      <c r="D203" t="s">
        <v>801</v>
      </c>
      <c r="E203" t="s">
        <v>804</v>
      </c>
      <c r="F203" t="s">
        <v>10</v>
      </c>
      <c r="G203" t="s">
        <v>801</v>
      </c>
      <c r="H203" t="s">
        <v>805</v>
      </c>
      <c r="I203" t="s">
        <v>32</v>
      </c>
      <c r="J203">
        <v>0</v>
      </c>
      <c r="K203">
        <v>1</v>
      </c>
      <c r="L203" s="4">
        <v>3.5000000000000001E-3</v>
      </c>
      <c r="M203">
        <v>0.02</v>
      </c>
      <c r="N203" s="4">
        <v>3.5000000000000001E-3</v>
      </c>
      <c r="O203" s="4">
        <v>0.02</v>
      </c>
    </row>
    <row r="204" spans="2:15">
      <c r="B204" t="s">
        <v>771</v>
      </c>
      <c r="C204" t="s">
        <v>50</v>
      </c>
      <c r="D204" t="s">
        <v>806</v>
      </c>
      <c r="E204" t="s">
        <v>807</v>
      </c>
      <c r="F204" t="s">
        <v>10</v>
      </c>
      <c r="G204" t="s">
        <v>806</v>
      </c>
      <c r="H204" t="s">
        <v>808</v>
      </c>
      <c r="I204" t="s">
        <v>32</v>
      </c>
      <c r="J204">
        <v>0</v>
      </c>
      <c r="K204">
        <v>272</v>
      </c>
      <c r="L204" s="4">
        <v>3.5000000000000001E-3</v>
      </c>
      <c r="M204">
        <v>0.02</v>
      </c>
      <c r="N204" s="4">
        <v>0.95200000000000007</v>
      </c>
      <c r="O204" s="4">
        <v>5.44</v>
      </c>
    </row>
    <row r="205" spans="2:15">
      <c r="B205" t="s">
        <v>771</v>
      </c>
      <c r="C205" t="s">
        <v>50</v>
      </c>
      <c r="D205" t="s">
        <v>806</v>
      </c>
      <c r="E205" t="s">
        <v>809</v>
      </c>
      <c r="F205" t="s">
        <v>10</v>
      </c>
      <c r="G205" t="s">
        <v>806</v>
      </c>
      <c r="H205" t="s">
        <v>810</v>
      </c>
      <c r="I205" t="s">
        <v>32</v>
      </c>
      <c r="J205">
        <v>0</v>
      </c>
      <c r="K205">
        <v>1</v>
      </c>
      <c r="L205" s="4">
        <v>3.5000000000000001E-3</v>
      </c>
      <c r="M205">
        <v>0.02</v>
      </c>
      <c r="N205" s="4">
        <v>3.5000000000000001E-3</v>
      </c>
      <c r="O205" s="4">
        <v>0.02</v>
      </c>
    </row>
    <row r="206" spans="2:15">
      <c r="B206" t="s">
        <v>771</v>
      </c>
      <c r="C206" t="s">
        <v>50</v>
      </c>
      <c r="D206" t="s">
        <v>806</v>
      </c>
      <c r="E206" t="s">
        <v>811</v>
      </c>
      <c r="F206" t="s">
        <v>10</v>
      </c>
      <c r="G206" t="s">
        <v>806</v>
      </c>
      <c r="H206" t="s">
        <v>812</v>
      </c>
      <c r="I206" t="s">
        <v>32</v>
      </c>
      <c r="J206">
        <v>0</v>
      </c>
      <c r="K206">
        <v>1</v>
      </c>
      <c r="L206" s="4">
        <v>3.5000000000000001E-3</v>
      </c>
      <c r="M206">
        <v>0.02</v>
      </c>
      <c r="N206" s="4">
        <v>3.5000000000000001E-3</v>
      </c>
      <c r="O206" s="4">
        <v>0.02</v>
      </c>
    </row>
    <row r="207" spans="2:15">
      <c r="B207" t="s">
        <v>771</v>
      </c>
      <c r="C207" t="s">
        <v>50</v>
      </c>
      <c r="D207" t="s">
        <v>806</v>
      </c>
      <c r="E207" t="s">
        <v>813</v>
      </c>
      <c r="F207" t="s">
        <v>10</v>
      </c>
      <c r="G207" t="s">
        <v>806</v>
      </c>
      <c r="H207" t="s">
        <v>814</v>
      </c>
      <c r="I207" t="s">
        <v>32</v>
      </c>
      <c r="J207">
        <v>0</v>
      </c>
      <c r="K207">
        <v>1</v>
      </c>
      <c r="L207" s="4">
        <v>3.5000000000000001E-3</v>
      </c>
      <c r="M207">
        <v>0.02</v>
      </c>
      <c r="N207" s="4">
        <v>3.5000000000000001E-3</v>
      </c>
      <c r="O207" s="4">
        <v>0.02</v>
      </c>
    </row>
    <row r="208" spans="2:15">
      <c r="B208" t="s">
        <v>771</v>
      </c>
      <c r="C208" t="s">
        <v>50</v>
      </c>
      <c r="D208" t="s">
        <v>815</v>
      </c>
      <c r="E208" t="s">
        <v>816</v>
      </c>
      <c r="F208" t="s">
        <v>10</v>
      </c>
      <c r="G208" t="s">
        <v>815</v>
      </c>
      <c r="H208" t="s">
        <v>817</v>
      </c>
      <c r="I208" t="s">
        <v>32</v>
      </c>
      <c r="J208">
        <v>0</v>
      </c>
      <c r="K208">
        <v>1</v>
      </c>
      <c r="L208" s="4">
        <v>3.5000000000000001E-3</v>
      </c>
      <c r="M208">
        <v>0.02</v>
      </c>
      <c r="N208" s="4">
        <v>3.5000000000000001E-3</v>
      </c>
      <c r="O208" s="4">
        <v>0.02</v>
      </c>
    </row>
    <row r="209" spans="2:15">
      <c r="B209" t="s">
        <v>771</v>
      </c>
      <c r="C209" t="s">
        <v>50</v>
      </c>
      <c r="D209" t="s">
        <v>818</v>
      </c>
      <c r="E209" t="s">
        <v>819</v>
      </c>
      <c r="F209" t="s">
        <v>10</v>
      </c>
      <c r="G209" t="s">
        <v>818</v>
      </c>
      <c r="H209" t="s">
        <v>820</v>
      </c>
      <c r="I209" t="s">
        <v>32</v>
      </c>
      <c r="J209">
        <v>0</v>
      </c>
      <c r="K209">
        <v>1</v>
      </c>
      <c r="L209" s="4">
        <v>3.5000000000000001E-3</v>
      </c>
      <c r="M209">
        <v>0.02</v>
      </c>
      <c r="N209" s="4">
        <v>3.5000000000000001E-3</v>
      </c>
      <c r="O209" s="4">
        <v>0.02</v>
      </c>
    </row>
    <row r="210" spans="2:15">
      <c r="B210" t="s">
        <v>771</v>
      </c>
      <c r="C210" t="s">
        <v>50</v>
      </c>
      <c r="D210" t="s">
        <v>818</v>
      </c>
      <c r="E210" t="s">
        <v>821</v>
      </c>
      <c r="F210" t="s">
        <v>10</v>
      </c>
      <c r="G210" t="s">
        <v>818</v>
      </c>
      <c r="H210" t="s">
        <v>822</v>
      </c>
      <c r="I210" t="s">
        <v>32</v>
      </c>
      <c r="J210">
        <v>0</v>
      </c>
      <c r="K210">
        <v>1</v>
      </c>
      <c r="L210" s="4">
        <v>3.5000000000000001E-3</v>
      </c>
      <c r="M210">
        <v>0.02</v>
      </c>
      <c r="N210" s="4">
        <v>3.5000000000000001E-3</v>
      </c>
      <c r="O210" s="4">
        <v>0.02</v>
      </c>
    </row>
    <row r="211" spans="2:15">
      <c r="B211" t="s">
        <v>771</v>
      </c>
      <c r="C211" t="s">
        <v>50</v>
      </c>
      <c r="D211" t="s">
        <v>818</v>
      </c>
      <c r="E211" t="s">
        <v>823</v>
      </c>
      <c r="F211" t="s">
        <v>10</v>
      </c>
      <c r="G211" t="s">
        <v>818</v>
      </c>
      <c r="H211" t="s">
        <v>824</v>
      </c>
      <c r="I211" t="s">
        <v>32</v>
      </c>
      <c r="J211">
        <v>0</v>
      </c>
      <c r="K211">
        <v>1</v>
      </c>
      <c r="L211" s="4">
        <v>3.5000000000000001E-3</v>
      </c>
      <c r="M211">
        <v>0.02</v>
      </c>
      <c r="N211" s="4">
        <v>3.5000000000000001E-3</v>
      </c>
      <c r="O211" s="4">
        <v>0.02</v>
      </c>
    </row>
    <row r="212" spans="2:15">
      <c r="B212" t="s">
        <v>771</v>
      </c>
      <c r="C212" t="s">
        <v>50</v>
      </c>
      <c r="D212" t="s">
        <v>818</v>
      </c>
      <c r="E212" t="s">
        <v>825</v>
      </c>
      <c r="F212" t="s">
        <v>10</v>
      </c>
      <c r="G212" t="s">
        <v>818</v>
      </c>
      <c r="H212" t="s">
        <v>826</v>
      </c>
      <c r="I212" t="s">
        <v>32</v>
      </c>
      <c r="J212">
        <v>0</v>
      </c>
      <c r="K212">
        <v>2</v>
      </c>
      <c r="L212" s="4">
        <v>3.5000000000000001E-3</v>
      </c>
      <c r="M212">
        <v>0.02</v>
      </c>
      <c r="N212" s="4">
        <v>7.0000000000000001E-3</v>
      </c>
      <c r="O212" s="4">
        <v>0.04</v>
      </c>
    </row>
    <row r="213" spans="2:15">
      <c r="B213" t="s">
        <v>771</v>
      </c>
      <c r="C213" t="s">
        <v>50</v>
      </c>
      <c r="D213" t="s">
        <v>827</v>
      </c>
      <c r="E213" t="s">
        <v>828</v>
      </c>
      <c r="F213" t="s">
        <v>10</v>
      </c>
      <c r="G213" t="s">
        <v>827</v>
      </c>
      <c r="H213" t="s">
        <v>829</v>
      </c>
      <c r="I213" t="s">
        <v>32</v>
      </c>
      <c r="J213">
        <v>0</v>
      </c>
      <c r="K213">
        <v>1</v>
      </c>
      <c r="L213" s="4">
        <v>3.5000000000000001E-3</v>
      </c>
      <c r="M213">
        <v>0.02</v>
      </c>
      <c r="N213" s="4">
        <v>3.5000000000000001E-3</v>
      </c>
      <c r="O213" s="4">
        <v>0.02</v>
      </c>
    </row>
    <row r="214" spans="2:15">
      <c r="B214" t="s">
        <v>771</v>
      </c>
      <c r="C214" t="s">
        <v>50</v>
      </c>
      <c r="D214" t="s">
        <v>830</v>
      </c>
      <c r="E214" t="s">
        <v>831</v>
      </c>
      <c r="F214" t="s">
        <v>10</v>
      </c>
      <c r="G214" t="s">
        <v>830</v>
      </c>
      <c r="H214" t="s">
        <v>832</v>
      </c>
      <c r="I214" t="s">
        <v>32</v>
      </c>
      <c r="J214">
        <v>0</v>
      </c>
      <c r="K214">
        <v>122</v>
      </c>
      <c r="L214" s="4">
        <v>3.5000000000000001E-3</v>
      </c>
      <c r="M214">
        <v>0.02</v>
      </c>
      <c r="N214" s="4">
        <v>0.42699999999999999</v>
      </c>
      <c r="O214" s="4">
        <v>2.44</v>
      </c>
    </row>
    <row r="215" spans="2:15">
      <c r="B215" t="s">
        <v>771</v>
      </c>
      <c r="C215" t="s">
        <v>50</v>
      </c>
      <c r="D215" t="s">
        <v>830</v>
      </c>
      <c r="E215" t="s">
        <v>833</v>
      </c>
      <c r="F215" t="s">
        <v>10</v>
      </c>
      <c r="G215" t="s">
        <v>830</v>
      </c>
      <c r="H215" t="s">
        <v>834</v>
      </c>
      <c r="I215" t="s">
        <v>32</v>
      </c>
      <c r="J215">
        <v>0</v>
      </c>
      <c r="K215">
        <v>2</v>
      </c>
      <c r="L215" s="4">
        <v>3.5000000000000001E-3</v>
      </c>
      <c r="M215">
        <v>0.02</v>
      </c>
      <c r="N215" s="4">
        <v>7.0000000000000001E-3</v>
      </c>
      <c r="O215" s="4">
        <v>0.04</v>
      </c>
    </row>
    <row r="216" spans="2:15">
      <c r="B216" t="s">
        <v>771</v>
      </c>
      <c r="C216" t="s">
        <v>50</v>
      </c>
      <c r="D216" t="s">
        <v>830</v>
      </c>
      <c r="E216" t="s">
        <v>835</v>
      </c>
      <c r="F216" t="s">
        <v>10</v>
      </c>
      <c r="G216" t="s">
        <v>830</v>
      </c>
      <c r="H216" t="s">
        <v>836</v>
      </c>
      <c r="I216" t="s">
        <v>32</v>
      </c>
      <c r="J216">
        <v>0</v>
      </c>
      <c r="K216">
        <v>1</v>
      </c>
      <c r="L216" s="4">
        <v>3.5000000000000001E-3</v>
      </c>
      <c r="M216">
        <v>0.02</v>
      </c>
      <c r="N216" s="4">
        <v>3.5000000000000001E-3</v>
      </c>
      <c r="O216" s="4">
        <v>0.02</v>
      </c>
    </row>
    <row r="217" spans="2:15">
      <c r="B217" t="s">
        <v>771</v>
      </c>
      <c r="C217" t="s">
        <v>50</v>
      </c>
      <c r="D217" t="s">
        <v>837</v>
      </c>
      <c r="E217" t="s">
        <v>838</v>
      </c>
      <c r="F217" t="s">
        <v>10</v>
      </c>
      <c r="G217" t="s">
        <v>837</v>
      </c>
      <c r="H217" t="s">
        <v>839</v>
      </c>
      <c r="I217" t="s">
        <v>32</v>
      </c>
      <c r="J217">
        <v>0</v>
      </c>
      <c r="K217">
        <v>112</v>
      </c>
      <c r="L217" s="4">
        <v>3.5000000000000001E-3</v>
      </c>
      <c r="M217">
        <v>0.02</v>
      </c>
      <c r="N217" s="4">
        <v>0.39200000000000002</v>
      </c>
      <c r="O217" s="4">
        <v>2.2400000000000002</v>
      </c>
    </row>
    <row r="218" spans="2:15">
      <c r="B218" t="s">
        <v>771</v>
      </c>
      <c r="C218" t="s">
        <v>50</v>
      </c>
      <c r="D218" t="s">
        <v>837</v>
      </c>
      <c r="E218" t="s">
        <v>840</v>
      </c>
      <c r="F218" t="s">
        <v>10</v>
      </c>
      <c r="G218" t="s">
        <v>837</v>
      </c>
      <c r="H218" t="s">
        <v>841</v>
      </c>
      <c r="I218" t="s">
        <v>32</v>
      </c>
      <c r="J218">
        <v>0</v>
      </c>
      <c r="K218">
        <v>2</v>
      </c>
      <c r="L218" s="4">
        <v>3.5000000000000001E-3</v>
      </c>
      <c r="M218">
        <v>0.02</v>
      </c>
      <c r="N218" s="4">
        <v>7.0000000000000001E-3</v>
      </c>
      <c r="O218" s="4">
        <v>0.04</v>
      </c>
    </row>
    <row r="219" spans="2:15">
      <c r="B219" t="s">
        <v>771</v>
      </c>
      <c r="C219" t="s">
        <v>50</v>
      </c>
      <c r="D219" t="s">
        <v>837</v>
      </c>
      <c r="E219" t="s">
        <v>842</v>
      </c>
      <c r="F219" t="s">
        <v>10</v>
      </c>
      <c r="G219" t="s">
        <v>837</v>
      </c>
      <c r="H219" t="s">
        <v>843</v>
      </c>
      <c r="I219" t="s">
        <v>32</v>
      </c>
      <c r="J219">
        <v>0</v>
      </c>
      <c r="K219">
        <v>1</v>
      </c>
      <c r="L219" s="4">
        <v>3.5000000000000001E-3</v>
      </c>
      <c r="M219">
        <v>0.02</v>
      </c>
      <c r="N219" s="4">
        <v>3.5000000000000001E-3</v>
      </c>
      <c r="O219" s="4">
        <v>0.02</v>
      </c>
    </row>
    <row r="220" spans="2:15">
      <c r="B220" t="s">
        <v>771</v>
      </c>
      <c r="C220" t="s">
        <v>50</v>
      </c>
      <c r="D220" t="s">
        <v>844</v>
      </c>
      <c r="E220" t="s">
        <v>845</v>
      </c>
      <c r="F220" t="s">
        <v>10</v>
      </c>
      <c r="G220" t="s">
        <v>844</v>
      </c>
      <c r="H220" t="s">
        <v>846</v>
      </c>
      <c r="I220" t="s">
        <v>32</v>
      </c>
      <c r="J220">
        <v>0</v>
      </c>
      <c r="K220">
        <v>2</v>
      </c>
      <c r="L220" s="4">
        <v>3.5000000000000001E-3</v>
      </c>
      <c r="M220">
        <v>0.02</v>
      </c>
      <c r="N220" s="4">
        <v>7.0000000000000001E-3</v>
      </c>
      <c r="O220" s="4">
        <v>0.04</v>
      </c>
    </row>
    <row r="221" spans="2:15">
      <c r="B221" t="s">
        <v>771</v>
      </c>
      <c r="C221" t="s">
        <v>50</v>
      </c>
      <c r="D221" t="s">
        <v>844</v>
      </c>
      <c r="E221" t="s">
        <v>847</v>
      </c>
      <c r="F221" t="s">
        <v>10</v>
      </c>
      <c r="G221" t="s">
        <v>844</v>
      </c>
      <c r="H221" t="s">
        <v>848</v>
      </c>
      <c r="I221" t="s">
        <v>32</v>
      </c>
      <c r="J221">
        <v>0</v>
      </c>
      <c r="K221">
        <v>1</v>
      </c>
      <c r="L221" s="4">
        <v>3.5000000000000001E-3</v>
      </c>
      <c r="M221">
        <v>0.02</v>
      </c>
      <c r="N221" s="4">
        <v>3.5000000000000001E-3</v>
      </c>
      <c r="O221" s="4">
        <v>0.02</v>
      </c>
    </row>
    <row r="222" spans="2:15">
      <c r="B222" t="s">
        <v>771</v>
      </c>
      <c r="C222" t="s">
        <v>50</v>
      </c>
      <c r="D222" t="s">
        <v>849</v>
      </c>
      <c r="E222" t="s">
        <v>850</v>
      </c>
      <c r="F222" t="s">
        <v>10</v>
      </c>
      <c r="G222" t="s">
        <v>849</v>
      </c>
      <c r="H222" t="s">
        <v>851</v>
      </c>
      <c r="I222" t="s">
        <v>32</v>
      </c>
      <c r="J222">
        <v>0</v>
      </c>
      <c r="K222">
        <v>1</v>
      </c>
      <c r="L222" s="4">
        <v>3.5000000000000001E-3</v>
      </c>
      <c r="M222">
        <v>0.02</v>
      </c>
      <c r="N222" s="4">
        <v>3.5000000000000001E-3</v>
      </c>
      <c r="O222" s="4">
        <v>0.02</v>
      </c>
    </row>
    <row r="223" spans="2:15">
      <c r="B223" t="s">
        <v>771</v>
      </c>
      <c r="C223" t="s">
        <v>50</v>
      </c>
      <c r="D223" t="s">
        <v>852</v>
      </c>
      <c r="E223" t="s">
        <v>853</v>
      </c>
      <c r="F223" t="s">
        <v>10</v>
      </c>
      <c r="G223" t="s">
        <v>852</v>
      </c>
      <c r="H223" t="s">
        <v>854</v>
      </c>
      <c r="I223" t="s">
        <v>32</v>
      </c>
      <c r="J223">
        <v>0</v>
      </c>
      <c r="K223">
        <v>39</v>
      </c>
      <c r="L223" s="4">
        <v>3.5000000000000001E-3</v>
      </c>
      <c r="M223">
        <v>0.02</v>
      </c>
      <c r="N223" s="4">
        <v>0.13650000000000001</v>
      </c>
      <c r="O223" s="4">
        <v>0.78</v>
      </c>
    </row>
    <row r="224" spans="2:15">
      <c r="B224" t="s">
        <v>771</v>
      </c>
      <c r="C224" t="s">
        <v>50</v>
      </c>
      <c r="D224" t="s">
        <v>852</v>
      </c>
      <c r="E224" t="s">
        <v>855</v>
      </c>
      <c r="F224" t="s">
        <v>10</v>
      </c>
      <c r="G224" t="s">
        <v>852</v>
      </c>
      <c r="H224" t="s">
        <v>856</v>
      </c>
      <c r="I224" t="s">
        <v>32</v>
      </c>
      <c r="J224">
        <v>0</v>
      </c>
      <c r="K224">
        <v>1</v>
      </c>
      <c r="L224" s="4">
        <v>3.5000000000000001E-3</v>
      </c>
      <c r="M224">
        <v>0.02</v>
      </c>
      <c r="N224" s="4">
        <v>3.5000000000000001E-3</v>
      </c>
      <c r="O224" s="4">
        <v>0.02</v>
      </c>
    </row>
    <row r="225" spans="2:15">
      <c r="B225" t="s">
        <v>771</v>
      </c>
      <c r="C225" t="s">
        <v>50</v>
      </c>
      <c r="D225" t="s">
        <v>852</v>
      </c>
      <c r="E225" t="s">
        <v>857</v>
      </c>
      <c r="F225" t="s">
        <v>10</v>
      </c>
      <c r="G225" t="s">
        <v>852</v>
      </c>
      <c r="H225" t="s">
        <v>858</v>
      </c>
      <c r="I225" t="s">
        <v>32</v>
      </c>
      <c r="J225">
        <v>0</v>
      </c>
      <c r="K225">
        <v>1</v>
      </c>
      <c r="L225" s="4">
        <v>3.5000000000000001E-3</v>
      </c>
      <c r="M225">
        <v>0.02</v>
      </c>
      <c r="N225" s="4">
        <v>3.5000000000000001E-3</v>
      </c>
      <c r="O225" s="4">
        <v>0.02</v>
      </c>
    </row>
    <row r="226" spans="2:15">
      <c r="B226" t="s">
        <v>771</v>
      </c>
      <c r="C226" t="s">
        <v>50</v>
      </c>
      <c r="D226" t="s">
        <v>859</v>
      </c>
      <c r="E226" t="s">
        <v>860</v>
      </c>
      <c r="F226" t="s">
        <v>10</v>
      </c>
      <c r="G226" t="s">
        <v>859</v>
      </c>
      <c r="H226" t="s">
        <v>861</v>
      </c>
      <c r="I226" t="s">
        <v>32</v>
      </c>
      <c r="J226">
        <v>0</v>
      </c>
      <c r="K226">
        <v>38</v>
      </c>
      <c r="L226" s="4">
        <v>3.5000000000000001E-3</v>
      </c>
      <c r="M226">
        <v>0.02</v>
      </c>
      <c r="N226" s="4">
        <v>0.13300000000000001</v>
      </c>
      <c r="O226" s="4">
        <v>0.76</v>
      </c>
    </row>
    <row r="227" spans="2:15">
      <c r="B227" t="s">
        <v>771</v>
      </c>
      <c r="C227" t="s">
        <v>50</v>
      </c>
      <c r="D227" t="s">
        <v>859</v>
      </c>
      <c r="E227" t="s">
        <v>862</v>
      </c>
      <c r="F227" t="s">
        <v>10</v>
      </c>
      <c r="G227" t="s">
        <v>859</v>
      </c>
      <c r="H227" t="s">
        <v>863</v>
      </c>
      <c r="I227" t="s">
        <v>32</v>
      </c>
      <c r="J227">
        <v>0</v>
      </c>
      <c r="K227">
        <v>1</v>
      </c>
      <c r="L227" s="4">
        <v>3.5000000000000001E-3</v>
      </c>
      <c r="M227">
        <v>0.02</v>
      </c>
      <c r="N227" s="4">
        <v>3.5000000000000001E-3</v>
      </c>
      <c r="O227" s="4">
        <v>0.02</v>
      </c>
    </row>
    <row r="228" spans="2:15">
      <c r="B228" t="s">
        <v>771</v>
      </c>
      <c r="C228" t="s">
        <v>50</v>
      </c>
      <c r="D228" t="s">
        <v>859</v>
      </c>
      <c r="E228" t="s">
        <v>864</v>
      </c>
      <c r="F228" t="s">
        <v>10</v>
      </c>
      <c r="G228" t="s">
        <v>859</v>
      </c>
      <c r="H228" t="s">
        <v>865</v>
      </c>
      <c r="I228" t="s">
        <v>32</v>
      </c>
      <c r="J228">
        <v>0</v>
      </c>
      <c r="K228">
        <v>1</v>
      </c>
      <c r="L228" s="4">
        <v>3.5000000000000001E-3</v>
      </c>
      <c r="M228">
        <v>0.02</v>
      </c>
      <c r="N228" s="4">
        <v>3.5000000000000001E-3</v>
      </c>
      <c r="O228" s="4">
        <v>0.02</v>
      </c>
    </row>
    <row r="229" spans="2:15">
      <c r="B229" t="s">
        <v>771</v>
      </c>
      <c r="C229" t="s">
        <v>50</v>
      </c>
      <c r="D229" t="s">
        <v>866</v>
      </c>
      <c r="E229" t="s">
        <v>867</v>
      </c>
      <c r="F229" t="s">
        <v>10</v>
      </c>
      <c r="G229" t="s">
        <v>866</v>
      </c>
      <c r="H229" t="s">
        <v>868</v>
      </c>
      <c r="I229" t="s">
        <v>32</v>
      </c>
      <c r="J229">
        <v>0</v>
      </c>
      <c r="K229">
        <v>37</v>
      </c>
      <c r="L229" s="4">
        <v>3.5000000000000001E-3</v>
      </c>
      <c r="M229">
        <v>0.02</v>
      </c>
      <c r="N229" s="4">
        <v>0.1295</v>
      </c>
      <c r="O229" s="4">
        <v>0.74</v>
      </c>
    </row>
    <row r="230" spans="2:15">
      <c r="B230" t="s">
        <v>771</v>
      </c>
      <c r="C230" t="s">
        <v>50</v>
      </c>
      <c r="D230" t="s">
        <v>869</v>
      </c>
      <c r="E230" t="s">
        <v>870</v>
      </c>
      <c r="F230" t="s">
        <v>10</v>
      </c>
      <c r="G230" t="s">
        <v>869</v>
      </c>
      <c r="H230" t="s">
        <v>871</v>
      </c>
      <c r="I230" t="s">
        <v>32</v>
      </c>
      <c r="J230">
        <v>0</v>
      </c>
      <c r="K230">
        <v>12</v>
      </c>
      <c r="L230" s="4">
        <v>3.5000000000000001E-3</v>
      </c>
      <c r="M230">
        <v>0.02</v>
      </c>
      <c r="N230" s="4">
        <v>4.2000000000000003E-2</v>
      </c>
      <c r="O230" s="4">
        <v>0.24</v>
      </c>
    </row>
    <row r="231" spans="2:15">
      <c r="B231" t="s">
        <v>771</v>
      </c>
      <c r="C231" t="s">
        <v>50</v>
      </c>
      <c r="D231" t="s">
        <v>872</v>
      </c>
      <c r="E231" t="s">
        <v>873</v>
      </c>
      <c r="F231" t="s">
        <v>10</v>
      </c>
      <c r="G231" t="s">
        <v>872</v>
      </c>
      <c r="H231" t="s">
        <v>874</v>
      </c>
      <c r="I231" t="s">
        <v>32</v>
      </c>
      <c r="J231">
        <v>0</v>
      </c>
      <c r="K231">
        <v>85</v>
      </c>
      <c r="L231" s="4">
        <v>3.5000000000000001E-3</v>
      </c>
      <c r="M231">
        <v>0.02</v>
      </c>
      <c r="N231" s="4">
        <v>0.29749999999999999</v>
      </c>
      <c r="O231" s="4">
        <v>1.7</v>
      </c>
    </row>
    <row r="232" spans="2:15">
      <c r="B232" t="s">
        <v>771</v>
      </c>
      <c r="C232" t="s">
        <v>50</v>
      </c>
      <c r="D232" t="s">
        <v>872</v>
      </c>
      <c r="E232" t="s">
        <v>875</v>
      </c>
      <c r="F232" t="s">
        <v>10</v>
      </c>
      <c r="G232" t="s">
        <v>872</v>
      </c>
      <c r="H232" t="s">
        <v>876</v>
      </c>
      <c r="I232" t="s">
        <v>32</v>
      </c>
      <c r="J232">
        <v>0</v>
      </c>
      <c r="K232">
        <v>2</v>
      </c>
      <c r="L232" s="4">
        <v>3.5000000000000001E-3</v>
      </c>
      <c r="M232">
        <v>0.02</v>
      </c>
      <c r="N232" s="4">
        <v>7.0000000000000001E-3</v>
      </c>
      <c r="O232" s="4">
        <v>0.04</v>
      </c>
    </row>
    <row r="233" spans="2:15">
      <c r="B233" t="s">
        <v>771</v>
      </c>
      <c r="C233" t="s">
        <v>50</v>
      </c>
      <c r="D233" t="s">
        <v>872</v>
      </c>
      <c r="E233" t="s">
        <v>877</v>
      </c>
      <c r="F233" t="s">
        <v>10</v>
      </c>
      <c r="G233" t="s">
        <v>872</v>
      </c>
      <c r="H233" t="s">
        <v>878</v>
      </c>
      <c r="I233" t="s">
        <v>32</v>
      </c>
      <c r="J233">
        <v>0</v>
      </c>
      <c r="K233">
        <v>2</v>
      </c>
      <c r="L233" s="4">
        <v>3.5000000000000001E-3</v>
      </c>
      <c r="M233">
        <v>0.02</v>
      </c>
      <c r="N233" s="4">
        <v>7.0000000000000001E-3</v>
      </c>
      <c r="O233" s="4">
        <v>0.04</v>
      </c>
    </row>
    <row r="234" spans="2:15">
      <c r="B234" t="s">
        <v>771</v>
      </c>
      <c r="C234" t="s">
        <v>50</v>
      </c>
      <c r="D234" t="s">
        <v>879</v>
      </c>
      <c r="E234" t="s">
        <v>880</v>
      </c>
      <c r="F234" t="s">
        <v>10</v>
      </c>
      <c r="G234" t="s">
        <v>879</v>
      </c>
      <c r="H234" t="s">
        <v>881</v>
      </c>
      <c r="I234" t="s">
        <v>32</v>
      </c>
      <c r="J234">
        <v>0</v>
      </c>
      <c r="K234">
        <v>40</v>
      </c>
      <c r="L234" s="4">
        <v>3.5000000000000001E-3</v>
      </c>
      <c r="M234">
        <v>0.02</v>
      </c>
      <c r="N234" s="4">
        <v>0.14000000000000001</v>
      </c>
      <c r="O234" s="4">
        <v>0.8</v>
      </c>
    </row>
    <row r="235" spans="2:15">
      <c r="B235" t="s">
        <v>771</v>
      </c>
      <c r="C235" t="s">
        <v>50</v>
      </c>
      <c r="D235" t="s">
        <v>879</v>
      </c>
      <c r="E235" t="s">
        <v>882</v>
      </c>
      <c r="F235" t="s">
        <v>10</v>
      </c>
      <c r="G235" t="s">
        <v>879</v>
      </c>
      <c r="H235" t="s">
        <v>883</v>
      </c>
      <c r="I235" t="s">
        <v>32</v>
      </c>
      <c r="J235">
        <v>0</v>
      </c>
      <c r="K235">
        <v>1</v>
      </c>
      <c r="L235" s="4">
        <v>3.5000000000000001E-3</v>
      </c>
      <c r="M235">
        <v>0.02</v>
      </c>
      <c r="N235" s="4">
        <v>3.5000000000000001E-3</v>
      </c>
      <c r="O235" s="4">
        <v>0.02</v>
      </c>
    </row>
    <row r="236" spans="2:15">
      <c r="B236" t="s">
        <v>771</v>
      </c>
      <c r="C236" t="s">
        <v>50</v>
      </c>
      <c r="D236" t="s">
        <v>879</v>
      </c>
      <c r="E236" t="s">
        <v>884</v>
      </c>
      <c r="F236" t="s">
        <v>10</v>
      </c>
      <c r="G236" t="s">
        <v>879</v>
      </c>
      <c r="H236" t="s">
        <v>885</v>
      </c>
      <c r="I236" t="s">
        <v>32</v>
      </c>
      <c r="J236">
        <v>0</v>
      </c>
      <c r="K236">
        <v>1</v>
      </c>
      <c r="L236" s="4">
        <v>3.5000000000000001E-3</v>
      </c>
      <c r="M236">
        <v>0.02</v>
      </c>
      <c r="N236" s="4">
        <v>3.5000000000000001E-3</v>
      </c>
      <c r="O236" s="4">
        <v>0.02</v>
      </c>
    </row>
    <row r="237" spans="2:15">
      <c r="B237" t="s">
        <v>771</v>
      </c>
      <c r="C237" t="s">
        <v>50</v>
      </c>
      <c r="D237" t="s">
        <v>886</v>
      </c>
      <c r="E237" t="s">
        <v>887</v>
      </c>
      <c r="F237" t="s">
        <v>10</v>
      </c>
      <c r="G237" t="s">
        <v>886</v>
      </c>
      <c r="H237" t="s">
        <v>888</v>
      </c>
      <c r="I237" t="s">
        <v>32</v>
      </c>
      <c r="J237">
        <v>0</v>
      </c>
      <c r="K237">
        <v>47</v>
      </c>
      <c r="L237" s="4">
        <v>3.5000000000000001E-3</v>
      </c>
      <c r="M237">
        <v>0.02</v>
      </c>
      <c r="N237" s="4">
        <v>0.16450000000000001</v>
      </c>
      <c r="O237" s="4">
        <v>0.94000000000000006</v>
      </c>
    </row>
    <row r="238" spans="2:15">
      <c r="B238" t="s">
        <v>771</v>
      </c>
      <c r="C238" t="s">
        <v>50</v>
      </c>
      <c r="D238" t="s">
        <v>886</v>
      </c>
      <c r="E238" t="s">
        <v>889</v>
      </c>
      <c r="F238" t="s">
        <v>10</v>
      </c>
      <c r="G238" t="s">
        <v>886</v>
      </c>
      <c r="H238" t="s">
        <v>890</v>
      </c>
      <c r="I238" t="s">
        <v>32</v>
      </c>
      <c r="J238">
        <v>0</v>
      </c>
      <c r="K238">
        <v>1</v>
      </c>
      <c r="L238" s="4">
        <v>3.5000000000000001E-3</v>
      </c>
      <c r="M238">
        <v>0.02</v>
      </c>
      <c r="N238" s="4">
        <v>3.5000000000000001E-3</v>
      </c>
      <c r="O238" s="4">
        <v>0.02</v>
      </c>
    </row>
    <row r="239" spans="2:15">
      <c r="B239" t="s">
        <v>771</v>
      </c>
      <c r="C239" t="s">
        <v>50</v>
      </c>
      <c r="D239" t="s">
        <v>891</v>
      </c>
      <c r="E239" t="s">
        <v>892</v>
      </c>
      <c r="F239" t="s">
        <v>10</v>
      </c>
      <c r="G239" t="s">
        <v>891</v>
      </c>
      <c r="H239" t="s">
        <v>893</v>
      </c>
      <c r="I239" t="s">
        <v>32</v>
      </c>
      <c r="J239">
        <v>0</v>
      </c>
      <c r="K239">
        <v>61</v>
      </c>
      <c r="L239" s="4">
        <v>3.5000000000000001E-3</v>
      </c>
      <c r="M239">
        <v>0.02</v>
      </c>
      <c r="N239" s="4">
        <v>0.2135</v>
      </c>
      <c r="O239" s="4">
        <v>1.22</v>
      </c>
    </row>
    <row r="240" spans="2:15">
      <c r="B240" t="s">
        <v>771</v>
      </c>
      <c r="C240" t="s">
        <v>50</v>
      </c>
      <c r="D240" t="s">
        <v>891</v>
      </c>
      <c r="E240" t="s">
        <v>894</v>
      </c>
      <c r="F240" t="s">
        <v>10</v>
      </c>
      <c r="G240" t="s">
        <v>891</v>
      </c>
      <c r="H240" t="s">
        <v>895</v>
      </c>
      <c r="I240" t="s">
        <v>32</v>
      </c>
      <c r="J240">
        <v>0</v>
      </c>
      <c r="K240">
        <v>1</v>
      </c>
      <c r="L240" s="4">
        <v>3.5000000000000001E-3</v>
      </c>
      <c r="M240">
        <v>0.02</v>
      </c>
      <c r="N240" s="4">
        <v>3.5000000000000001E-3</v>
      </c>
      <c r="O240" s="4">
        <v>0.02</v>
      </c>
    </row>
    <row r="241" spans="2:15">
      <c r="B241" t="s">
        <v>771</v>
      </c>
      <c r="C241" t="s">
        <v>50</v>
      </c>
      <c r="D241" t="s">
        <v>896</v>
      </c>
      <c r="E241" t="s">
        <v>897</v>
      </c>
      <c r="F241" t="s">
        <v>10</v>
      </c>
      <c r="G241" t="s">
        <v>896</v>
      </c>
      <c r="H241" t="s">
        <v>898</v>
      </c>
      <c r="I241" t="s">
        <v>32</v>
      </c>
      <c r="J241">
        <v>0</v>
      </c>
      <c r="K241">
        <v>84</v>
      </c>
      <c r="L241" s="4">
        <v>3.5000000000000001E-3</v>
      </c>
      <c r="M241">
        <v>0.02</v>
      </c>
      <c r="N241" s="4">
        <v>0.29399999999999998</v>
      </c>
      <c r="O241" s="4">
        <v>1.68</v>
      </c>
    </row>
    <row r="242" spans="2:15">
      <c r="B242" t="s">
        <v>771</v>
      </c>
      <c r="C242" t="s">
        <v>50</v>
      </c>
      <c r="D242" t="s">
        <v>896</v>
      </c>
      <c r="E242" t="s">
        <v>899</v>
      </c>
      <c r="F242" t="s">
        <v>10</v>
      </c>
      <c r="G242" t="s">
        <v>896</v>
      </c>
      <c r="H242" t="s">
        <v>900</v>
      </c>
      <c r="I242" t="s">
        <v>32</v>
      </c>
      <c r="J242">
        <v>0</v>
      </c>
      <c r="K242">
        <v>1</v>
      </c>
      <c r="L242" s="4">
        <v>3.5000000000000001E-3</v>
      </c>
      <c r="M242">
        <v>0.02</v>
      </c>
      <c r="N242" s="4">
        <v>3.5000000000000001E-3</v>
      </c>
      <c r="O242" s="4">
        <v>0.02</v>
      </c>
    </row>
    <row r="243" spans="2:15">
      <c r="B243" t="s">
        <v>771</v>
      </c>
      <c r="C243" t="s">
        <v>50</v>
      </c>
      <c r="D243" t="s">
        <v>896</v>
      </c>
      <c r="E243" t="s">
        <v>901</v>
      </c>
      <c r="F243" t="s">
        <v>10</v>
      </c>
      <c r="G243" t="s">
        <v>896</v>
      </c>
      <c r="H243" t="s">
        <v>902</v>
      </c>
      <c r="I243" t="s">
        <v>32</v>
      </c>
      <c r="J243">
        <v>0</v>
      </c>
      <c r="K243">
        <v>1</v>
      </c>
      <c r="L243" s="4">
        <v>3.5000000000000001E-3</v>
      </c>
      <c r="M243">
        <v>0.02</v>
      </c>
      <c r="N243" s="4">
        <v>3.5000000000000001E-3</v>
      </c>
      <c r="O243" s="4">
        <v>0.02</v>
      </c>
    </row>
    <row r="244" spans="2:15">
      <c r="B244" t="s">
        <v>771</v>
      </c>
      <c r="C244" t="s">
        <v>50</v>
      </c>
      <c r="D244" t="s">
        <v>903</v>
      </c>
      <c r="E244" t="s">
        <v>904</v>
      </c>
      <c r="F244" t="s">
        <v>10</v>
      </c>
      <c r="G244" t="s">
        <v>903</v>
      </c>
      <c r="H244" t="s">
        <v>905</v>
      </c>
      <c r="I244" t="s">
        <v>32</v>
      </c>
      <c r="J244">
        <v>0</v>
      </c>
      <c r="K244">
        <v>16</v>
      </c>
      <c r="L244" s="4">
        <v>3.5000000000000001E-3</v>
      </c>
      <c r="M244">
        <v>0.02</v>
      </c>
      <c r="N244" s="4">
        <v>5.6000000000000001E-2</v>
      </c>
      <c r="O244" s="4">
        <v>0.32</v>
      </c>
    </row>
    <row r="245" spans="2:15">
      <c r="B245" t="s">
        <v>771</v>
      </c>
      <c r="C245" t="s">
        <v>50</v>
      </c>
      <c r="D245" t="s">
        <v>903</v>
      </c>
      <c r="E245" t="s">
        <v>906</v>
      </c>
      <c r="F245" t="s">
        <v>10</v>
      </c>
      <c r="G245" t="s">
        <v>903</v>
      </c>
      <c r="H245" t="s">
        <v>907</v>
      </c>
      <c r="I245" t="s">
        <v>32</v>
      </c>
      <c r="J245">
        <v>0</v>
      </c>
      <c r="K245">
        <v>1</v>
      </c>
      <c r="L245" s="4">
        <v>3.5000000000000001E-3</v>
      </c>
      <c r="M245">
        <v>0.02</v>
      </c>
      <c r="N245" s="4">
        <v>3.5000000000000001E-3</v>
      </c>
      <c r="O245" s="4">
        <v>0.02</v>
      </c>
    </row>
    <row r="246" spans="2:15">
      <c r="B246" t="s">
        <v>771</v>
      </c>
      <c r="C246" t="s">
        <v>50</v>
      </c>
      <c r="D246" t="s">
        <v>903</v>
      </c>
      <c r="E246" t="s">
        <v>908</v>
      </c>
      <c r="F246" t="s">
        <v>10</v>
      </c>
      <c r="G246" t="s">
        <v>903</v>
      </c>
      <c r="H246" t="s">
        <v>909</v>
      </c>
      <c r="I246" t="s">
        <v>32</v>
      </c>
      <c r="J246">
        <v>0</v>
      </c>
      <c r="K246">
        <v>1</v>
      </c>
      <c r="L246" s="4">
        <v>3.5000000000000001E-3</v>
      </c>
      <c r="M246">
        <v>0.02</v>
      </c>
      <c r="N246" s="4">
        <v>3.5000000000000001E-3</v>
      </c>
      <c r="O246" s="4">
        <v>0.02</v>
      </c>
    </row>
    <row r="247" spans="2:15">
      <c r="B247" t="s">
        <v>771</v>
      </c>
      <c r="C247" t="s">
        <v>50</v>
      </c>
      <c r="D247" t="s">
        <v>910</v>
      </c>
      <c r="E247" t="s">
        <v>911</v>
      </c>
      <c r="F247" t="s">
        <v>10</v>
      </c>
      <c r="G247" t="s">
        <v>910</v>
      </c>
      <c r="H247" t="s">
        <v>912</v>
      </c>
      <c r="I247" t="s">
        <v>32</v>
      </c>
      <c r="J247">
        <v>0</v>
      </c>
      <c r="K247">
        <v>2</v>
      </c>
      <c r="L247" s="4">
        <v>3.5000000000000001E-3</v>
      </c>
      <c r="M247">
        <v>0.02</v>
      </c>
      <c r="N247" s="4">
        <v>7.0000000000000001E-3</v>
      </c>
      <c r="O247" s="4">
        <v>0.04</v>
      </c>
    </row>
    <row r="248" spans="2:15">
      <c r="B248" t="s">
        <v>771</v>
      </c>
      <c r="C248" t="s">
        <v>50</v>
      </c>
      <c r="D248" t="s">
        <v>913</v>
      </c>
      <c r="E248" t="s">
        <v>914</v>
      </c>
      <c r="F248" t="s">
        <v>10</v>
      </c>
      <c r="G248" t="s">
        <v>913</v>
      </c>
      <c r="H248" t="s">
        <v>915</v>
      </c>
      <c r="I248" t="s">
        <v>32</v>
      </c>
      <c r="J248">
        <v>0</v>
      </c>
      <c r="K248">
        <v>49</v>
      </c>
      <c r="L248" s="4">
        <v>3.5000000000000001E-3</v>
      </c>
      <c r="M248">
        <v>0.02</v>
      </c>
      <c r="N248" s="4">
        <v>0.17150000000000001</v>
      </c>
      <c r="O248" s="4">
        <v>0.98</v>
      </c>
    </row>
    <row r="249" spans="2:15">
      <c r="B249" t="s">
        <v>771</v>
      </c>
      <c r="C249" t="s">
        <v>50</v>
      </c>
      <c r="D249" t="s">
        <v>916</v>
      </c>
      <c r="E249" t="s">
        <v>917</v>
      </c>
      <c r="F249" t="s">
        <v>10</v>
      </c>
      <c r="G249" t="s">
        <v>916</v>
      </c>
      <c r="H249" t="s">
        <v>918</v>
      </c>
      <c r="I249" t="s">
        <v>32</v>
      </c>
      <c r="J249">
        <v>0</v>
      </c>
      <c r="K249">
        <v>2</v>
      </c>
      <c r="L249" s="4">
        <v>3.5000000000000001E-3</v>
      </c>
      <c r="M249">
        <v>0.02</v>
      </c>
      <c r="N249" s="4">
        <v>7.0000000000000001E-3</v>
      </c>
      <c r="O249" s="4">
        <v>0.04</v>
      </c>
    </row>
    <row r="250" spans="2:15">
      <c r="B250" t="s">
        <v>771</v>
      </c>
      <c r="C250" t="s">
        <v>50</v>
      </c>
      <c r="D250" t="s">
        <v>916</v>
      </c>
      <c r="E250" t="s">
        <v>919</v>
      </c>
      <c r="F250" t="s">
        <v>10</v>
      </c>
      <c r="G250" t="s">
        <v>916</v>
      </c>
      <c r="H250" t="s">
        <v>920</v>
      </c>
      <c r="I250" t="s">
        <v>32</v>
      </c>
      <c r="J250">
        <v>0</v>
      </c>
      <c r="K250">
        <v>1</v>
      </c>
      <c r="L250" s="4">
        <v>3.5000000000000001E-3</v>
      </c>
      <c r="M250">
        <v>0.02</v>
      </c>
      <c r="N250" s="4">
        <v>3.5000000000000001E-3</v>
      </c>
      <c r="O250" s="4">
        <v>0.02</v>
      </c>
    </row>
    <row r="251" spans="2:15">
      <c r="B251" t="s">
        <v>771</v>
      </c>
      <c r="C251" t="s">
        <v>50</v>
      </c>
      <c r="D251" t="s">
        <v>921</v>
      </c>
      <c r="E251" t="s">
        <v>922</v>
      </c>
      <c r="F251" t="s">
        <v>10</v>
      </c>
      <c r="G251" t="s">
        <v>921</v>
      </c>
      <c r="H251" t="s">
        <v>923</v>
      </c>
      <c r="I251" t="s">
        <v>32</v>
      </c>
      <c r="J251">
        <v>0</v>
      </c>
      <c r="K251">
        <v>56</v>
      </c>
      <c r="L251" s="4">
        <v>3.5000000000000001E-3</v>
      </c>
      <c r="M251">
        <v>0.02</v>
      </c>
      <c r="N251" s="4">
        <v>0.19600000000000001</v>
      </c>
      <c r="O251" s="4">
        <v>1.1200000000000001</v>
      </c>
    </row>
    <row r="252" spans="2:15">
      <c r="B252" t="s">
        <v>771</v>
      </c>
      <c r="C252" t="s">
        <v>50</v>
      </c>
      <c r="D252" t="s">
        <v>921</v>
      </c>
      <c r="E252" t="s">
        <v>924</v>
      </c>
      <c r="F252" t="s">
        <v>10</v>
      </c>
      <c r="G252" t="s">
        <v>921</v>
      </c>
      <c r="H252" t="s">
        <v>925</v>
      </c>
      <c r="I252" t="s">
        <v>32</v>
      </c>
      <c r="J252">
        <v>0</v>
      </c>
      <c r="K252">
        <v>1</v>
      </c>
      <c r="L252" s="4">
        <v>3.5000000000000001E-3</v>
      </c>
      <c r="M252">
        <v>0.02</v>
      </c>
      <c r="N252" s="4">
        <v>3.5000000000000001E-3</v>
      </c>
      <c r="O252" s="4">
        <v>0.02</v>
      </c>
    </row>
    <row r="253" spans="2:15">
      <c r="B253" t="s">
        <v>771</v>
      </c>
      <c r="C253" t="s">
        <v>50</v>
      </c>
      <c r="D253" t="s">
        <v>926</v>
      </c>
      <c r="E253" t="s">
        <v>927</v>
      </c>
      <c r="F253" t="s">
        <v>10</v>
      </c>
      <c r="G253" t="s">
        <v>926</v>
      </c>
      <c r="H253" t="s">
        <v>928</v>
      </c>
      <c r="I253" t="s">
        <v>32</v>
      </c>
      <c r="J253">
        <v>0</v>
      </c>
      <c r="K253">
        <v>1</v>
      </c>
      <c r="L253" s="4">
        <v>3.5000000000000001E-3</v>
      </c>
      <c r="M253">
        <v>0.02</v>
      </c>
      <c r="N253" s="4">
        <v>3.5000000000000001E-3</v>
      </c>
      <c r="O253" s="4">
        <v>0.02</v>
      </c>
    </row>
    <row r="254" spans="2:15">
      <c r="B254" t="s">
        <v>771</v>
      </c>
      <c r="C254" t="s">
        <v>50</v>
      </c>
      <c r="D254" t="s">
        <v>926</v>
      </c>
      <c r="E254" t="s">
        <v>929</v>
      </c>
      <c r="F254" t="s">
        <v>10</v>
      </c>
      <c r="G254" t="s">
        <v>926</v>
      </c>
      <c r="H254" t="s">
        <v>930</v>
      </c>
      <c r="I254" t="s">
        <v>32</v>
      </c>
      <c r="J254">
        <v>0</v>
      </c>
      <c r="K254">
        <v>3</v>
      </c>
      <c r="L254" s="4">
        <v>3.5000000000000001E-3</v>
      </c>
      <c r="M254">
        <v>0.02</v>
      </c>
      <c r="N254" s="4">
        <v>1.0500000000000001E-2</v>
      </c>
      <c r="O254" s="4">
        <v>0.06</v>
      </c>
    </row>
    <row r="255" spans="2:15">
      <c r="B255" t="s">
        <v>771</v>
      </c>
      <c r="C255" t="s">
        <v>50</v>
      </c>
      <c r="D255" t="s">
        <v>926</v>
      </c>
      <c r="E255" t="s">
        <v>931</v>
      </c>
      <c r="F255" t="s">
        <v>10</v>
      </c>
      <c r="G255" t="s">
        <v>926</v>
      </c>
      <c r="H255" t="s">
        <v>932</v>
      </c>
      <c r="I255" t="s">
        <v>32</v>
      </c>
      <c r="J255">
        <v>0</v>
      </c>
      <c r="K255">
        <v>2</v>
      </c>
      <c r="L255" s="4">
        <v>3.5000000000000001E-3</v>
      </c>
      <c r="M255">
        <v>0.02</v>
      </c>
      <c r="N255" s="4">
        <v>7.0000000000000001E-3</v>
      </c>
      <c r="O255" s="4">
        <v>0.04</v>
      </c>
    </row>
    <row r="256" spans="2:15">
      <c r="B256" t="s">
        <v>771</v>
      </c>
      <c r="C256" t="s">
        <v>50</v>
      </c>
      <c r="D256" t="s">
        <v>926</v>
      </c>
      <c r="E256" t="s">
        <v>933</v>
      </c>
      <c r="F256" t="s">
        <v>10</v>
      </c>
      <c r="G256" t="s">
        <v>926</v>
      </c>
      <c r="H256" t="s">
        <v>934</v>
      </c>
      <c r="I256" t="s">
        <v>32</v>
      </c>
      <c r="J256">
        <v>0</v>
      </c>
      <c r="K256">
        <v>2</v>
      </c>
      <c r="L256" s="4">
        <v>3.5000000000000001E-3</v>
      </c>
      <c r="M256">
        <v>0.02</v>
      </c>
      <c r="N256" s="4">
        <v>7.0000000000000001E-3</v>
      </c>
      <c r="O256" s="4">
        <v>0.04</v>
      </c>
    </row>
    <row r="257" spans="2:15">
      <c r="B257" t="s">
        <v>771</v>
      </c>
      <c r="C257" t="s">
        <v>50</v>
      </c>
      <c r="D257" t="s">
        <v>935</v>
      </c>
      <c r="E257" t="s">
        <v>936</v>
      </c>
      <c r="F257" t="s">
        <v>10</v>
      </c>
      <c r="G257" t="s">
        <v>935</v>
      </c>
      <c r="H257" t="s">
        <v>937</v>
      </c>
      <c r="I257" t="s">
        <v>32</v>
      </c>
      <c r="J257">
        <v>0</v>
      </c>
      <c r="K257">
        <v>134</v>
      </c>
      <c r="L257" s="4">
        <v>3.5000000000000001E-3</v>
      </c>
      <c r="M257">
        <v>0.02</v>
      </c>
      <c r="N257" s="4">
        <v>0.46900000000000003</v>
      </c>
      <c r="O257" s="4">
        <v>2.68</v>
      </c>
    </row>
    <row r="258" spans="2:15">
      <c r="B258" t="s">
        <v>771</v>
      </c>
      <c r="C258" t="s">
        <v>50</v>
      </c>
      <c r="D258" t="s">
        <v>938</v>
      </c>
      <c r="E258" t="s">
        <v>939</v>
      </c>
      <c r="F258" t="s">
        <v>10</v>
      </c>
      <c r="G258" t="s">
        <v>938</v>
      </c>
      <c r="H258" t="s">
        <v>940</v>
      </c>
      <c r="I258" t="s">
        <v>32</v>
      </c>
      <c r="J258">
        <v>0</v>
      </c>
      <c r="K258">
        <v>1</v>
      </c>
      <c r="L258" s="4">
        <v>3.5000000000000001E-3</v>
      </c>
      <c r="M258">
        <v>0.02</v>
      </c>
      <c r="N258" s="4">
        <v>3.5000000000000001E-3</v>
      </c>
      <c r="O258" s="4">
        <v>0.02</v>
      </c>
    </row>
    <row r="259" spans="2:15">
      <c r="B259" t="s">
        <v>771</v>
      </c>
      <c r="C259" t="s">
        <v>50</v>
      </c>
      <c r="D259" t="s">
        <v>938</v>
      </c>
      <c r="E259" t="s">
        <v>941</v>
      </c>
      <c r="F259" t="s">
        <v>10</v>
      </c>
      <c r="G259" t="s">
        <v>938</v>
      </c>
      <c r="H259" t="s">
        <v>942</v>
      </c>
      <c r="I259" t="s">
        <v>32</v>
      </c>
      <c r="J259">
        <v>0</v>
      </c>
      <c r="K259">
        <v>1</v>
      </c>
      <c r="L259" s="4">
        <v>3.5000000000000001E-3</v>
      </c>
      <c r="M259">
        <v>0.02</v>
      </c>
      <c r="N259" s="4">
        <v>3.5000000000000001E-3</v>
      </c>
      <c r="O259" s="4">
        <v>0.02</v>
      </c>
    </row>
    <row r="260" spans="2:15">
      <c r="B260" t="s">
        <v>771</v>
      </c>
      <c r="C260" t="s">
        <v>50</v>
      </c>
      <c r="D260" t="s">
        <v>938</v>
      </c>
      <c r="E260" t="s">
        <v>943</v>
      </c>
      <c r="F260" t="s">
        <v>10</v>
      </c>
      <c r="G260" t="s">
        <v>938</v>
      </c>
      <c r="H260" t="s">
        <v>944</v>
      </c>
      <c r="I260" t="s">
        <v>32</v>
      </c>
      <c r="J260">
        <v>0</v>
      </c>
      <c r="K260">
        <v>1</v>
      </c>
      <c r="L260" s="4">
        <v>3.5000000000000001E-3</v>
      </c>
      <c r="M260">
        <v>0.02</v>
      </c>
      <c r="N260" s="4">
        <v>3.5000000000000001E-3</v>
      </c>
      <c r="O260" s="4">
        <v>0.02</v>
      </c>
    </row>
    <row r="261" spans="2:15">
      <c r="B261" t="s">
        <v>771</v>
      </c>
      <c r="C261" t="s">
        <v>50</v>
      </c>
      <c r="D261" t="s">
        <v>945</v>
      </c>
      <c r="E261" t="s">
        <v>946</v>
      </c>
      <c r="F261" t="s">
        <v>10</v>
      </c>
      <c r="G261" t="s">
        <v>945</v>
      </c>
      <c r="H261" t="s">
        <v>947</v>
      </c>
      <c r="I261" t="s">
        <v>32</v>
      </c>
      <c r="J261">
        <v>0</v>
      </c>
      <c r="K261">
        <v>1</v>
      </c>
      <c r="L261" s="4">
        <v>3.5000000000000001E-3</v>
      </c>
      <c r="M261">
        <v>0.02</v>
      </c>
      <c r="N261" s="4">
        <v>3.5000000000000001E-3</v>
      </c>
      <c r="O261" s="4">
        <v>0.02</v>
      </c>
    </row>
    <row r="262" spans="2:15">
      <c r="B262" t="s">
        <v>771</v>
      </c>
      <c r="C262" t="s">
        <v>50</v>
      </c>
      <c r="D262" t="s">
        <v>948</v>
      </c>
      <c r="E262" t="s">
        <v>949</v>
      </c>
      <c r="F262" t="s">
        <v>10</v>
      </c>
      <c r="G262" t="s">
        <v>948</v>
      </c>
      <c r="H262" t="s">
        <v>950</v>
      </c>
      <c r="I262" t="s">
        <v>32</v>
      </c>
      <c r="J262">
        <v>0</v>
      </c>
      <c r="K262">
        <v>2</v>
      </c>
      <c r="L262" s="4">
        <v>3.5000000000000001E-3</v>
      </c>
      <c r="M262">
        <v>0.02</v>
      </c>
      <c r="N262" s="4">
        <v>7.0000000000000001E-3</v>
      </c>
      <c r="O262" s="4">
        <v>0.04</v>
      </c>
    </row>
    <row r="263" spans="2:15">
      <c r="B263" t="s">
        <v>771</v>
      </c>
      <c r="C263" t="s">
        <v>50</v>
      </c>
      <c r="D263" t="s">
        <v>951</v>
      </c>
      <c r="E263" t="s">
        <v>952</v>
      </c>
      <c r="F263" t="s">
        <v>10</v>
      </c>
      <c r="G263" t="s">
        <v>951</v>
      </c>
      <c r="H263" t="s">
        <v>953</v>
      </c>
      <c r="I263" t="s">
        <v>32</v>
      </c>
      <c r="J263">
        <v>0</v>
      </c>
      <c r="K263">
        <v>119</v>
      </c>
      <c r="L263" s="4">
        <v>3.5000000000000001E-3</v>
      </c>
      <c r="M263">
        <v>0.02</v>
      </c>
      <c r="N263" s="4">
        <v>0.41649999999999998</v>
      </c>
      <c r="O263" s="4">
        <v>2.38</v>
      </c>
    </row>
    <row r="264" spans="2:15">
      <c r="B264" t="s">
        <v>771</v>
      </c>
      <c r="C264" t="s">
        <v>50</v>
      </c>
      <c r="D264" t="s">
        <v>951</v>
      </c>
      <c r="E264" t="s">
        <v>954</v>
      </c>
      <c r="F264" t="s">
        <v>10</v>
      </c>
      <c r="G264" t="s">
        <v>951</v>
      </c>
      <c r="H264" t="s">
        <v>955</v>
      </c>
      <c r="I264" t="s">
        <v>32</v>
      </c>
      <c r="J264">
        <v>0</v>
      </c>
      <c r="K264">
        <v>1</v>
      </c>
      <c r="L264" s="4">
        <v>3.5000000000000001E-3</v>
      </c>
      <c r="M264">
        <v>0.02</v>
      </c>
      <c r="N264" s="4">
        <v>3.5000000000000001E-3</v>
      </c>
      <c r="O264" s="4">
        <v>0.02</v>
      </c>
    </row>
    <row r="265" spans="2:15">
      <c r="B265" t="s">
        <v>771</v>
      </c>
      <c r="C265" t="s">
        <v>50</v>
      </c>
      <c r="D265" t="s">
        <v>956</v>
      </c>
      <c r="E265" t="s">
        <v>957</v>
      </c>
      <c r="F265" t="s">
        <v>10</v>
      </c>
      <c r="G265" t="s">
        <v>956</v>
      </c>
      <c r="H265" t="s">
        <v>958</v>
      </c>
      <c r="I265" t="s">
        <v>32</v>
      </c>
      <c r="J265">
        <v>0</v>
      </c>
      <c r="K265">
        <v>379</v>
      </c>
      <c r="L265" s="4">
        <v>3.5000000000000001E-3</v>
      </c>
      <c r="M265">
        <v>0.02</v>
      </c>
      <c r="N265" s="4">
        <v>1.3265</v>
      </c>
      <c r="O265" s="4">
        <v>7.58</v>
      </c>
    </row>
    <row r="266" spans="2:15">
      <c r="B266" t="s">
        <v>771</v>
      </c>
      <c r="C266" t="s">
        <v>50</v>
      </c>
      <c r="D266" t="s">
        <v>956</v>
      </c>
      <c r="E266" t="s">
        <v>959</v>
      </c>
      <c r="F266" t="s">
        <v>10</v>
      </c>
      <c r="G266" t="s">
        <v>956</v>
      </c>
      <c r="H266" t="s">
        <v>960</v>
      </c>
      <c r="I266" t="s">
        <v>32</v>
      </c>
      <c r="J266">
        <v>0</v>
      </c>
      <c r="K266">
        <v>2</v>
      </c>
      <c r="L266" s="4">
        <v>3.5000000000000001E-3</v>
      </c>
      <c r="M266">
        <v>0.02</v>
      </c>
      <c r="N266" s="4">
        <v>7.0000000000000001E-3</v>
      </c>
      <c r="O266" s="4">
        <v>0.04</v>
      </c>
    </row>
    <row r="267" spans="2:15">
      <c r="B267" t="s">
        <v>771</v>
      </c>
      <c r="C267" t="s">
        <v>50</v>
      </c>
      <c r="D267" t="s">
        <v>961</v>
      </c>
      <c r="E267" t="s">
        <v>962</v>
      </c>
      <c r="F267" t="s">
        <v>10</v>
      </c>
      <c r="G267" t="s">
        <v>961</v>
      </c>
      <c r="H267" t="s">
        <v>963</v>
      </c>
      <c r="I267" t="s">
        <v>32</v>
      </c>
      <c r="J267">
        <v>0</v>
      </c>
      <c r="K267">
        <v>1</v>
      </c>
      <c r="L267" s="4">
        <v>3.5000000000000001E-3</v>
      </c>
      <c r="M267">
        <v>0.02</v>
      </c>
      <c r="N267" s="4">
        <v>3.5000000000000001E-3</v>
      </c>
      <c r="O267" s="4">
        <v>0.02</v>
      </c>
    </row>
    <row r="268" spans="2:15">
      <c r="B268" t="s">
        <v>771</v>
      </c>
      <c r="C268" t="s">
        <v>50</v>
      </c>
      <c r="D268" t="s">
        <v>964</v>
      </c>
      <c r="E268" t="s">
        <v>965</v>
      </c>
      <c r="F268" t="s">
        <v>10</v>
      </c>
      <c r="G268" t="s">
        <v>964</v>
      </c>
      <c r="H268" t="s">
        <v>966</v>
      </c>
      <c r="I268" t="s">
        <v>32</v>
      </c>
      <c r="J268">
        <v>0</v>
      </c>
      <c r="K268">
        <v>1</v>
      </c>
      <c r="L268" s="4">
        <v>3.5000000000000001E-3</v>
      </c>
      <c r="M268">
        <v>0.02</v>
      </c>
      <c r="N268" s="4">
        <v>3.5000000000000001E-3</v>
      </c>
      <c r="O268" s="4">
        <v>0.02</v>
      </c>
    </row>
    <row r="269" spans="2:15">
      <c r="B269" t="s">
        <v>771</v>
      </c>
      <c r="C269" t="s">
        <v>50</v>
      </c>
      <c r="D269" t="s">
        <v>967</v>
      </c>
      <c r="E269" t="s">
        <v>968</v>
      </c>
      <c r="F269" t="s">
        <v>10</v>
      </c>
      <c r="G269" t="s">
        <v>967</v>
      </c>
      <c r="H269" t="s">
        <v>969</v>
      </c>
      <c r="I269" t="s">
        <v>32</v>
      </c>
      <c r="J269">
        <v>0</v>
      </c>
      <c r="K269">
        <v>43</v>
      </c>
      <c r="L269" s="4">
        <v>3.5000000000000001E-3</v>
      </c>
      <c r="M269">
        <v>0.02</v>
      </c>
      <c r="N269" s="4">
        <v>0.15049999999999999</v>
      </c>
      <c r="O269" s="4">
        <v>0.86</v>
      </c>
    </row>
    <row r="270" spans="2:15">
      <c r="B270" t="s">
        <v>771</v>
      </c>
      <c r="C270" t="s">
        <v>50</v>
      </c>
      <c r="D270" t="s">
        <v>967</v>
      </c>
      <c r="E270" t="s">
        <v>970</v>
      </c>
      <c r="F270" t="s">
        <v>10</v>
      </c>
      <c r="G270" t="s">
        <v>967</v>
      </c>
      <c r="H270" t="s">
        <v>971</v>
      </c>
      <c r="I270" t="s">
        <v>32</v>
      </c>
      <c r="J270">
        <v>0</v>
      </c>
      <c r="K270">
        <v>1</v>
      </c>
      <c r="L270" s="4">
        <v>3.5000000000000001E-3</v>
      </c>
      <c r="M270">
        <v>0.02</v>
      </c>
      <c r="N270" s="4">
        <v>3.5000000000000001E-3</v>
      </c>
      <c r="O270" s="4">
        <v>0.02</v>
      </c>
    </row>
    <row r="271" spans="2:15">
      <c r="B271" t="s">
        <v>771</v>
      </c>
      <c r="C271" t="s">
        <v>50</v>
      </c>
      <c r="D271" t="s">
        <v>972</v>
      </c>
      <c r="E271" t="s">
        <v>973</v>
      </c>
      <c r="F271" t="s">
        <v>10</v>
      </c>
      <c r="G271" t="s">
        <v>972</v>
      </c>
      <c r="H271" t="s">
        <v>974</v>
      </c>
      <c r="I271" t="s">
        <v>32</v>
      </c>
      <c r="J271">
        <v>0</v>
      </c>
      <c r="K271">
        <v>102</v>
      </c>
      <c r="L271" s="4">
        <v>3.5000000000000001E-3</v>
      </c>
      <c r="M271">
        <v>0.02</v>
      </c>
      <c r="N271" s="4">
        <v>0.35699999999999998</v>
      </c>
      <c r="O271" s="4">
        <v>2.04</v>
      </c>
    </row>
    <row r="272" spans="2:15">
      <c r="B272" t="s">
        <v>771</v>
      </c>
      <c r="C272" t="s">
        <v>50</v>
      </c>
      <c r="D272" t="s">
        <v>975</v>
      </c>
      <c r="E272" t="s">
        <v>976</v>
      </c>
      <c r="F272" t="s">
        <v>10</v>
      </c>
      <c r="G272" t="s">
        <v>975</v>
      </c>
      <c r="H272" t="s">
        <v>977</v>
      </c>
      <c r="I272" t="s">
        <v>32</v>
      </c>
      <c r="J272">
        <v>0</v>
      </c>
      <c r="K272">
        <v>55</v>
      </c>
      <c r="L272" s="4">
        <v>3.5000000000000001E-3</v>
      </c>
      <c r="M272">
        <v>0.02</v>
      </c>
      <c r="N272" s="4">
        <v>0.1925</v>
      </c>
      <c r="O272" s="4">
        <v>1.1000000000000001</v>
      </c>
    </row>
    <row r="273" spans="2:15">
      <c r="B273" t="s">
        <v>771</v>
      </c>
      <c r="C273" t="s">
        <v>50</v>
      </c>
      <c r="D273" t="s">
        <v>978</v>
      </c>
      <c r="E273" t="s">
        <v>979</v>
      </c>
      <c r="F273" t="s">
        <v>10</v>
      </c>
      <c r="G273" t="s">
        <v>978</v>
      </c>
      <c r="H273" t="s">
        <v>980</v>
      </c>
      <c r="I273" t="s">
        <v>32</v>
      </c>
      <c r="J273">
        <v>0</v>
      </c>
      <c r="K273">
        <v>60</v>
      </c>
      <c r="L273" s="4">
        <v>3.5000000000000001E-3</v>
      </c>
      <c r="M273">
        <v>0.02</v>
      </c>
      <c r="N273" s="4">
        <v>0.21</v>
      </c>
      <c r="O273" s="4">
        <v>1.2</v>
      </c>
    </row>
    <row r="274" spans="2:15">
      <c r="B274" t="s">
        <v>771</v>
      </c>
      <c r="C274" t="s">
        <v>50</v>
      </c>
      <c r="D274" t="s">
        <v>978</v>
      </c>
      <c r="E274" t="s">
        <v>981</v>
      </c>
      <c r="F274" t="s">
        <v>10</v>
      </c>
      <c r="G274" t="s">
        <v>978</v>
      </c>
      <c r="H274" t="s">
        <v>982</v>
      </c>
      <c r="I274" t="s">
        <v>32</v>
      </c>
      <c r="J274">
        <v>0</v>
      </c>
      <c r="K274">
        <v>1</v>
      </c>
      <c r="L274" s="4">
        <v>3.5000000000000001E-3</v>
      </c>
      <c r="M274">
        <v>0.02</v>
      </c>
      <c r="N274" s="4">
        <v>3.5000000000000001E-3</v>
      </c>
      <c r="O274" s="4">
        <v>0.02</v>
      </c>
    </row>
    <row r="275" spans="2:15">
      <c r="B275" t="s">
        <v>771</v>
      </c>
      <c r="C275" t="s">
        <v>50</v>
      </c>
      <c r="D275" t="s">
        <v>978</v>
      </c>
      <c r="E275" t="s">
        <v>983</v>
      </c>
      <c r="F275" t="s">
        <v>10</v>
      </c>
      <c r="G275" t="s">
        <v>978</v>
      </c>
      <c r="H275" t="s">
        <v>984</v>
      </c>
      <c r="I275" t="s">
        <v>32</v>
      </c>
      <c r="J275">
        <v>0</v>
      </c>
      <c r="K275">
        <v>1</v>
      </c>
      <c r="L275" s="4">
        <v>3.5000000000000001E-3</v>
      </c>
      <c r="M275">
        <v>0.02</v>
      </c>
      <c r="N275" s="4">
        <v>3.5000000000000001E-3</v>
      </c>
      <c r="O275" s="4">
        <v>0.02</v>
      </c>
    </row>
    <row r="276" spans="2:15">
      <c r="B276" t="s">
        <v>771</v>
      </c>
      <c r="C276" t="s">
        <v>50</v>
      </c>
      <c r="D276" t="s">
        <v>985</v>
      </c>
      <c r="E276" t="s">
        <v>986</v>
      </c>
      <c r="F276" t="s">
        <v>10</v>
      </c>
      <c r="G276" t="s">
        <v>985</v>
      </c>
      <c r="H276" t="s">
        <v>987</v>
      </c>
      <c r="I276" t="s">
        <v>32</v>
      </c>
      <c r="J276">
        <v>0</v>
      </c>
      <c r="K276">
        <v>45</v>
      </c>
      <c r="L276" s="4">
        <v>3.5000000000000001E-3</v>
      </c>
      <c r="M276">
        <v>0.02</v>
      </c>
      <c r="N276" s="4">
        <v>0.1575</v>
      </c>
      <c r="O276" s="4">
        <v>0.9</v>
      </c>
    </row>
    <row r="277" spans="2:15">
      <c r="B277" t="s">
        <v>771</v>
      </c>
      <c r="C277" t="s">
        <v>50</v>
      </c>
      <c r="D277" t="s">
        <v>985</v>
      </c>
      <c r="E277" t="s">
        <v>988</v>
      </c>
      <c r="F277" t="s">
        <v>10</v>
      </c>
      <c r="G277" t="s">
        <v>985</v>
      </c>
      <c r="H277" t="s">
        <v>989</v>
      </c>
      <c r="I277" t="s">
        <v>32</v>
      </c>
      <c r="J277">
        <v>0</v>
      </c>
      <c r="K277">
        <v>1</v>
      </c>
      <c r="L277" s="4">
        <v>3.5000000000000001E-3</v>
      </c>
      <c r="M277">
        <v>0.02</v>
      </c>
      <c r="N277" s="4">
        <v>3.5000000000000001E-3</v>
      </c>
      <c r="O277" s="4">
        <v>0.02</v>
      </c>
    </row>
    <row r="278" spans="2:15">
      <c r="B278" t="s">
        <v>771</v>
      </c>
      <c r="C278" t="s">
        <v>50</v>
      </c>
      <c r="D278" t="s">
        <v>990</v>
      </c>
      <c r="E278" t="s">
        <v>991</v>
      </c>
      <c r="F278" t="s">
        <v>10</v>
      </c>
      <c r="G278" t="s">
        <v>990</v>
      </c>
      <c r="H278" t="s">
        <v>992</v>
      </c>
      <c r="I278" t="s">
        <v>32</v>
      </c>
      <c r="J278">
        <v>0</v>
      </c>
      <c r="K278">
        <v>20</v>
      </c>
      <c r="L278" s="4">
        <v>3.5000000000000001E-3</v>
      </c>
      <c r="M278">
        <v>0.02</v>
      </c>
      <c r="N278" s="4">
        <v>7.0000000000000007E-2</v>
      </c>
      <c r="O278" s="4">
        <v>0.4</v>
      </c>
    </row>
    <row r="279" spans="2:15">
      <c r="B279" t="s">
        <v>771</v>
      </c>
      <c r="C279" t="s">
        <v>50</v>
      </c>
      <c r="D279" t="s">
        <v>990</v>
      </c>
      <c r="E279" t="s">
        <v>993</v>
      </c>
      <c r="F279" t="s">
        <v>10</v>
      </c>
      <c r="G279" t="s">
        <v>990</v>
      </c>
      <c r="H279" t="s">
        <v>994</v>
      </c>
      <c r="I279" t="s">
        <v>32</v>
      </c>
      <c r="J279">
        <v>0</v>
      </c>
      <c r="K279">
        <v>1</v>
      </c>
      <c r="L279" s="4">
        <v>3.5000000000000001E-3</v>
      </c>
      <c r="M279">
        <v>0.02</v>
      </c>
      <c r="N279" s="4">
        <v>3.5000000000000001E-3</v>
      </c>
      <c r="O279" s="4">
        <v>0.02</v>
      </c>
    </row>
    <row r="280" spans="2:15">
      <c r="B280" t="s">
        <v>771</v>
      </c>
      <c r="C280" t="s">
        <v>50</v>
      </c>
      <c r="D280" t="s">
        <v>995</v>
      </c>
      <c r="E280" t="s">
        <v>996</v>
      </c>
      <c r="F280" t="s">
        <v>10</v>
      </c>
      <c r="G280" t="s">
        <v>995</v>
      </c>
      <c r="H280" t="s">
        <v>997</v>
      </c>
      <c r="I280" t="s">
        <v>32</v>
      </c>
      <c r="J280">
        <v>0</v>
      </c>
      <c r="K280">
        <v>1</v>
      </c>
      <c r="L280" s="4">
        <v>3.5000000000000001E-3</v>
      </c>
      <c r="M280">
        <v>0.02</v>
      </c>
      <c r="N280" s="4">
        <v>3.5000000000000001E-3</v>
      </c>
      <c r="O280" s="4">
        <v>0.02</v>
      </c>
    </row>
    <row r="281" spans="2:15">
      <c r="B281" t="s">
        <v>771</v>
      </c>
      <c r="C281" t="s">
        <v>50</v>
      </c>
      <c r="D281" t="s">
        <v>998</v>
      </c>
      <c r="E281" t="s">
        <v>999</v>
      </c>
      <c r="F281" t="s">
        <v>10</v>
      </c>
      <c r="G281" t="s">
        <v>998</v>
      </c>
      <c r="H281" t="s">
        <v>1000</v>
      </c>
      <c r="I281" t="s">
        <v>32</v>
      </c>
      <c r="J281">
        <v>0</v>
      </c>
      <c r="K281">
        <v>1</v>
      </c>
      <c r="L281" s="4">
        <v>3.5000000000000001E-3</v>
      </c>
      <c r="M281">
        <v>0.02</v>
      </c>
      <c r="N281" s="4">
        <v>3.5000000000000001E-3</v>
      </c>
      <c r="O281" s="4">
        <v>0.02</v>
      </c>
    </row>
    <row r="282" spans="2:15">
      <c r="B282" t="s">
        <v>771</v>
      </c>
      <c r="C282" t="s">
        <v>50</v>
      </c>
      <c r="D282" t="s">
        <v>1001</v>
      </c>
      <c r="E282" t="s">
        <v>1002</v>
      </c>
      <c r="F282" t="s">
        <v>10</v>
      </c>
      <c r="G282" t="s">
        <v>1001</v>
      </c>
      <c r="H282" t="s">
        <v>1003</v>
      </c>
      <c r="I282" t="s">
        <v>32</v>
      </c>
      <c r="J282">
        <v>0</v>
      </c>
      <c r="K282">
        <v>109</v>
      </c>
      <c r="L282" s="4">
        <v>3.5000000000000001E-3</v>
      </c>
      <c r="M282">
        <v>0.02</v>
      </c>
      <c r="N282" s="4">
        <v>0.38150000000000001</v>
      </c>
      <c r="O282" s="4">
        <v>2.1800000000000002</v>
      </c>
    </row>
    <row r="283" spans="2:15">
      <c r="B283" t="s">
        <v>771</v>
      </c>
      <c r="C283" t="s">
        <v>50</v>
      </c>
      <c r="D283" t="s">
        <v>1001</v>
      </c>
      <c r="E283" t="s">
        <v>1004</v>
      </c>
      <c r="F283" t="s">
        <v>10</v>
      </c>
      <c r="G283" t="s">
        <v>1001</v>
      </c>
      <c r="H283" t="s">
        <v>1005</v>
      </c>
      <c r="I283" t="s">
        <v>32</v>
      </c>
      <c r="J283">
        <v>0</v>
      </c>
      <c r="K283">
        <v>1</v>
      </c>
      <c r="L283" s="4">
        <v>3.5000000000000001E-3</v>
      </c>
      <c r="M283">
        <v>0.02</v>
      </c>
      <c r="N283" s="4">
        <v>3.5000000000000001E-3</v>
      </c>
      <c r="O283" s="4">
        <v>0.02</v>
      </c>
    </row>
    <row r="284" spans="2:15">
      <c r="B284" t="s">
        <v>771</v>
      </c>
      <c r="C284" t="s">
        <v>50</v>
      </c>
      <c r="D284" t="s">
        <v>1001</v>
      </c>
      <c r="E284" t="s">
        <v>1006</v>
      </c>
      <c r="F284" t="s">
        <v>10</v>
      </c>
      <c r="G284" t="s">
        <v>1001</v>
      </c>
      <c r="H284" t="s">
        <v>1007</v>
      </c>
      <c r="I284" t="s">
        <v>32</v>
      </c>
      <c r="J284">
        <v>0</v>
      </c>
      <c r="K284">
        <v>1</v>
      </c>
      <c r="L284" s="4">
        <v>3.5000000000000001E-3</v>
      </c>
      <c r="M284">
        <v>0.02</v>
      </c>
      <c r="N284" s="4">
        <v>3.5000000000000001E-3</v>
      </c>
      <c r="O284" s="4">
        <v>0.02</v>
      </c>
    </row>
    <row r="285" spans="2:15">
      <c r="B285" t="s">
        <v>771</v>
      </c>
      <c r="C285" t="s">
        <v>50</v>
      </c>
      <c r="D285" t="s">
        <v>1008</v>
      </c>
      <c r="E285" t="s">
        <v>1009</v>
      </c>
      <c r="F285" t="s">
        <v>10</v>
      </c>
      <c r="G285" t="s">
        <v>1008</v>
      </c>
      <c r="H285" t="s">
        <v>1010</v>
      </c>
      <c r="I285" t="s">
        <v>32</v>
      </c>
      <c r="J285">
        <v>0</v>
      </c>
      <c r="K285">
        <v>1</v>
      </c>
      <c r="L285" s="4">
        <v>3.5000000000000001E-3</v>
      </c>
      <c r="M285">
        <v>0.02</v>
      </c>
      <c r="N285" s="4">
        <v>3.5000000000000001E-3</v>
      </c>
      <c r="O285" s="4">
        <v>0.02</v>
      </c>
    </row>
    <row r="286" spans="2:15">
      <c r="B286" t="s">
        <v>771</v>
      </c>
      <c r="C286" t="s">
        <v>50</v>
      </c>
      <c r="D286" t="s">
        <v>1008</v>
      </c>
      <c r="E286" t="s">
        <v>1011</v>
      </c>
      <c r="F286" t="s">
        <v>10</v>
      </c>
      <c r="G286" t="s">
        <v>1008</v>
      </c>
      <c r="H286" t="s">
        <v>1012</v>
      </c>
      <c r="I286" t="s">
        <v>32</v>
      </c>
      <c r="J286">
        <v>0</v>
      </c>
      <c r="K286">
        <v>2</v>
      </c>
      <c r="L286" s="4">
        <v>3.5000000000000001E-3</v>
      </c>
      <c r="M286">
        <v>0.02</v>
      </c>
      <c r="N286" s="4">
        <v>7.0000000000000001E-3</v>
      </c>
      <c r="O286" s="4">
        <v>0.04</v>
      </c>
    </row>
    <row r="287" spans="2:15">
      <c r="B287" t="s">
        <v>771</v>
      </c>
      <c r="C287" t="s">
        <v>50</v>
      </c>
      <c r="D287" t="s">
        <v>1008</v>
      </c>
      <c r="E287" t="s">
        <v>1013</v>
      </c>
      <c r="F287" t="s">
        <v>10</v>
      </c>
      <c r="G287" t="s">
        <v>1008</v>
      </c>
      <c r="H287" t="s">
        <v>1014</v>
      </c>
      <c r="I287" t="s">
        <v>32</v>
      </c>
      <c r="J287">
        <v>0</v>
      </c>
      <c r="K287">
        <v>2</v>
      </c>
      <c r="L287" s="4">
        <v>3.5000000000000001E-3</v>
      </c>
      <c r="M287">
        <v>0.02</v>
      </c>
      <c r="N287" s="4">
        <v>7.0000000000000001E-3</v>
      </c>
      <c r="O287" s="4">
        <v>0.04</v>
      </c>
    </row>
    <row r="288" spans="2:15">
      <c r="B288" t="s">
        <v>771</v>
      </c>
      <c r="C288" t="s">
        <v>50</v>
      </c>
      <c r="D288" t="s">
        <v>1015</v>
      </c>
      <c r="E288" t="s">
        <v>1016</v>
      </c>
      <c r="F288" t="s">
        <v>10</v>
      </c>
      <c r="G288" t="s">
        <v>1015</v>
      </c>
      <c r="H288" t="s">
        <v>1017</v>
      </c>
      <c r="I288" t="s">
        <v>32</v>
      </c>
      <c r="J288">
        <v>0</v>
      </c>
      <c r="K288">
        <v>1</v>
      </c>
      <c r="L288" s="4">
        <v>3.5000000000000001E-3</v>
      </c>
      <c r="M288">
        <v>0.02</v>
      </c>
      <c r="N288" s="4">
        <v>3.5000000000000001E-3</v>
      </c>
      <c r="O288" s="4">
        <v>0.02</v>
      </c>
    </row>
    <row r="289" spans="2:15">
      <c r="B289" t="s">
        <v>771</v>
      </c>
      <c r="C289" t="s">
        <v>50</v>
      </c>
      <c r="D289" t="s">
        <v>1018</v>
      </c>
      <c r="E289" t="s">
        <v>1019</v>
      </c>
      <c r="F289" t="s">
        <v>10</v>
      </c>
      <c r="G289" t="s">
        <v>1018</v>
      </c>
      <c r="H289" t="s">
        <v>1020</v>
      </c>
      <c r="I289" t="s">
        <v>32</v>
      </c>
      <c r="J289">
        <v>0</v>
      </c>
      <c r="K289">
        <v>1</v>
      </c>
      <c r="L289" s="4">
        <v>3.5000000000000001E-3</v>
      </c>
      <c r="M289">
        <v>0.02</v>
      </c>
      <c r="N289" s="4">
        <v>3.5000000000000001E-3</v>
      </c>
      <c r="O289" s="4">
        <v>0.02</v>
      </c>
    </row>
    <row r="290" spans="2:15">
      <c r="B290" t="s">
        <v>771</v>
      </c>
      <c r="C290" t="s">
        <v>50</v>
      </c>
      <c r="D290" t="s">
        <v>1021</v>
      </c>
      <c r="E290" t="s">
        <v>1022</v>
      </c>
      <c r="F290" t="s">
        <v>10</v>
      </c>
      <c r="G290" t="s">
        <v>1021</v>
      </c>
      <c r="H290" t="s">
        <v>1023</v>
      </c>
      <c r="I290" t="s">
        <v>32</v>
      </c>
      <c r="J290">
        <v>0</v>
      </c>
      <c r="K290">
        <v>1</v>
      </c>
      <c r="L290" s="4">
        <v>3.5000000000000001E-3</v>
      </c>
      <c r="M290">
        <v>0.02</v>
      </c>
      <c r="N290" s="4">
        <v>3.5000000000000001E-3</v>
      </c>
      <c r="O290" s="4">
        <v>0.02</v>
      </c>
    </row>
    <row r="291" spans="2:15">
      <c r="B291" t="s">
        <v>771</v>
      </c>
      <c r="C291" t="s">
        <v>50</v>
      </c>
      <c r="D291" t="s">
        <v>1021</v>
      </c>
      <c r="E291" t="s">
        <v>1024</v>
      </c>
      <c r="F291" t="s">
        <v>10</v>
      </c>
      <c r="G291" t="s">
        <v>1021</v>
      </c>
      <c r="H291" t="s">
        <v>1025</v>
      </c>
      <c r="I291" t="s">
        <v>32</v>
      </c>
      <c r="J291">
        <v>0</v>
      </c>
      <c r="K291">
        <v>1</v>
      </c>
      <c r="L291" s="4">
        <v>3.5000000000000001E-3</v>
      </c>
      <c r="M291">
        <v>0.02</v>
      </c>
      <c r="N291" s="4">
        <v>3.5000000000000001E-3</v>
      </c>
      <c r="O291" s="4">
        <v>0.02</v>
      </c>
    </row>
    <row r="292" spans="2:15">
      <c r="B292" t="s">
        <v>771</v>
      </c>
      <c r="C292" t="s">
        <v>50</v>
      </c>
      <c r="D292" t="s">
        <v>1021</v>
      </c>
      <c r="E292" t="s">
        <v>1026</v>
      </c>
      <c r="F292" t="s">
        <v>10</v>
      </c>
      <c r="G292" t="s">
        <v>1021</v>
      </c>
      <c r="H292" t="s">
        <v>1027</v>
      </c>
      <c r="I292" t="s">
        <v>32</v>
      </c>
      <c r="J292">
        <v>0</v>
      </c>
      <c r="K292">
        <v>2</v>
      </c>
      <c r="L292" s="4">
        <v>3.5000000000000001E-3</v>
      </c>
      <c r="M292">
        <v>0.02</v>
      </c>
      <c r="N292" s="4">
        <v>7.0000000000000001E-3</v>
      </c>
      <c r="O292" s="4">
        <v>0.04</v>
      </c>
    </row>
    <row r="293" spans="2:15">
      <c r="B293" t="s">
        <v>771</v>
      </c>
      <c r="C293" t="s">
        <v>50</v>
      </c>
      <c r="D293" t="s">
        <v>1028</v>
      </c>
      <c r="E293" t="s">
        <v>1029</v>
      </c>
      <c r="F293" t="s">
        <v>10</v>
      </c>
      <c r="G293" t="s">
        <v>1028</v>
      </c>
      <c r="H293" t="s">
        <v>1030</v>
      </c>
      <c r="I293" t="s">
        <v>32</v>
      </c>
      <c r="J293">
        <v>0</v>
      </c>
      <c r="K293">
        <v>1</v>
      </c>
      <c r="L293" s="4">
        <v>3.5000000000000001E-3</v>
      </c>
      <c r="M293">
        <v>0.02</v>
      </c>
      <c r="N293" s="4">
        <v>3.5000000000000001E-3</v>
      </c>
      <c r="O293" s="4">
        <v>0.02</v>
      </c>
    </row>
    <row r="294" spans="2:15">
      <c r="B294" t="s">
        <v>771</v>
      </c>
      <c r="C294" t="s">
        <v>50</v>
      </c>
      <c r="D294" t="s">
        <v>1031</v>
      </c>
      <c r="E294" t="s">
        <v>1032</v>
      </c>
      <c r="F294" t="s">
        <v>10</v>
      </c>
      <c r="G294" t="s">
        <v>1031</v>
      </c>
      <c r="H294" t="s">
        <v>1033</v>
      </c>
      <c r="I294" t="s">
        <v>32</v>
      </c>
      <c r="J294">
        <v>0</v>
      </c>
      <c r="K294">
        <v>1</v>
      </c>
      <c r="L294" s="4">
        <v>3.5000000000000001E-3</v>
      </c>
      <c r="M294">
        <v>0.02</v>
      </c>
      <c r="N294" s="4">
        <v>3.5000000000000001E-3</v>
      </c>
      <c r="O294" s="4">
        <v>0.02</v>
      </c>
    </row>
    <row r="295" spans="2:15">
      <c r="B295" t="s">
        <v>771</v>
      </c>
      <c r="C295" t="s">
        <v>50</v>
      </c>
      <c r="D295" t="s">
        <v>1031</v>
      </c>
      <c r="E295" t="s">
        <v>1034</v>
      </c>
      <c r="F295" t="s">
        <v>10</v>
      </c>
      <c r="G295" t="s">
        <v>1031</v>
      </c>
      <c r="H295" t="s">
        <v>1035</v>
      </c>
      <c r="I295" t="s">
        <v>32</v>
      </c>
      <c r="J295">
        <v>0</v>
      </c>
      <c r="K295">
        <v>1</v>
      </c>
      <c r="L295" s="4">
        <v>3.5000000000000001E-3</v>
      </c>
      <c r="M295">
        <v>0.02</v>
      </c>
      <c r="N295" s="4">
        <v>3.5000000000000001E-3</v>
      </c>
      <c r="O295" s="4">
        <v>0.02</v>
      </c>
    </row>
    <row r="296" spans="2:15">
      <c r="B296" t="s">
        <v>771</v>
      </c>
      <c r="C296" t="s">
        <v>50</v>
      </c>
      <c r="D296" t="s">
        <v>1036</v>
      </c>
      <c r="E296" t="s">
        <v>1037</v>
      </c>
      <c r="F296" t="s">
        <v>10</v>
      </c>
      <c r="G296" t="s">
        <v>1036</v>
      </c>
      <c r="H296" t="s">
        <v>1038</v>
      </c>
      <c r="I296" t="s">
        <v>32</v>
      </c>
      <c r="J296">
        <v>0</v>
      </c>
      <c r="K296">
        <v>292</v>
      </c>
      <c r="L296" s="4">
        <v>3.5000000000000001E-3</v>
      </c>
      <c r="M296">
        <v>0.02</v>
      </c>
      <c r="N296" s="4">
        <v>1.022</v>
      </c>
      <c r="O296" s="4">
        <v>5.84</v>
      </c>
    </row>
    <row r="297" spans="2:15">
      <c r="B297" t="s">
        <v>771</v>
      </c>
      <c r="C297" t="s">
        <v>50</v>
      </c>
      <c r="D297" t="s">
        <v>1039</v>
      </c>
      <c r="E297" t="s">
        <v>1040</v>
      </c>
      <c r="F297" t="s">
        <v>10</v>
      </c>
      <c r="G297" t="s">
        <v>1039</v>
      </c>
      <c r="H297" t="s">
        <v>1041</v>
      </c>
      <c r="I297" t="s">
        <v>32</v>
      </c>
      <c r="J297">
        <v>0</v>
      </c>
      <c r="K297">
        <v>1</v>
      </c>
      <c r="L297" s="4">
        <v>3.5000000000000001E-3</v>
      </c>
      <c r="M297">
        <v>0.02</v>
      </c>
      <c r="N297" s="4">
        <v>3.5000000000000001E-3</v>
      </c>
      <c r="O297" s="4">
        <v>0.02</v>
      </c>
    </row>
    <row r="298" spans="2:15">
      <c r="B298" t="s">
        <v>771</v>
      </c>
      <c r="C298" t="s">
        <v>50</v>
      </c>
      <c r="D298" t="s">
        <v>1042</v>
      </c>
      <c r="E298" t="s">
        <v>1043</v>
      </c>
      <c r="F298" t="s">
        <v>10</v>
      </c>
      <c r="G298" t="s">
        <v>1042</v>
      </c>
      <c r="H298" t="s">
        <v>1044</v>
      </c>
      <c r="I298" t="s">
        <v>32</v>
      </c>
      <c r="J298">
        <v>0</v>
      </c>
      <c r="K298">
        <v>2</v>
      </c>
      <c r="L298" s="4">
        <v>3.5000000000000001E-3</v>
      </c>
      <c r="M298">
        <v>0.02</v>
      </c>
      <c r="N298" s="4">
        <v>7.0000000000000001E-3</v>
      </c>
      <c r="O298" s="4">
        <v>0.04</v>
      </c>
    </row>
    <row r="299" spans="2:15">
      <c r="B299" t="s">
        <v>771</v>
      </c>
      <c r="C299" t="s">
        <v>50</v>
      </c>
      <c r="D299" t="s">
        <v>1042</v>
      </c>
      <c r="E299" t="s">
        <v>1045</v>
      </c>
      <c r="F299" t="s">
        <v>10</v>
      </c>
      <c r="G299" t="s">
        <v>1042</v>
      </c>
      <c r="H299" t="s">
        <v>1046</v>
      </c>
      <c r="I299" t="s">
        <v>32</v>
      </c>
      <c r="J299">
        <v>0</v>
      </c>
      <c r="K299">
        <v>1</v>
      </c>
      <c r="L299" s="4">
        <v>3.5000000000000001E-3</v>
      </c>
      <c r="M299">
        <v>0.02</v>
      </c>
      <c r="N299" s="4">
        <v>3.5000000000000001E-3</v>
      </c>
      <c r="O299" s="4">
        <v>0.02</v>
      </c>
    </row>
    <row r="300" spans="2:15">
      <c r="B300" t="s">
        <v>771</v>
      </c>
      <c r="C300" t="s">
        <v>50</v>
      </c>
      <c r="D300" t="s">
        <v>1047</v>
      </c>
      <c r="E300" t="s">
        <v>1048</v>
      </c>
      <c r="F300" t="s">
        <v>10</v>
      </c>
      <c r="G300" t="s">
        <v>1047</v>
      </c>
      <c r="H300" t="s">
        <v>1049</v>
      </c>
      <c r="I300" t="s">
        <v>32</v>
      </c>
      <c r="J300">
        <v>0</v>
      </c>
      <c r="K300">
        <v>41</v>
      </c>
      <c r="L300" s="4">
        <v>3.5000000000000001E-3</v>
      </c>
      <c r="M300">
        <v>0.02</v>
      </c>
      <c r="N300" s="4">
        <v>0.14350000000000002</v>
      </c>
      <c r="O300" s="4">
        <v>0.82000000000000006</v>
      </c>
    </row>
    <row r="301" spans="2:15">
      <c r="B301" t="s">
        <v>771</v>
      </c>
      <c r="C301" t="s">
        <v>50</v>
      </c>
      <c r="D301" t="s">
        <v>1050</v>
      </c>
      <c r="E301" t="s">
        <v>1051</v>
      </c>
      <c r="F301" t="s">
        <v>10</v>
      </c>
      <c r="G301" t="s">
        <v>1050</v>
      </c>
      <c r="H301" t="s">
        <v>1052</v>
      </c>
      <c r="I301" t="s">
        <v>32</v>
      </c>
      <c r="J301">
        <v>0</v>
      </c>
      <c r="K301">
        <v>20</v>
      </c>
      <c r="L301" s="4">
        <v>3.5000000000000001E-3</v>
      </c>
      <c r="M301">
        <v>0.02</v>
      </c>
      <c r="N301" s="4">
        <v>7.0000000000000007E-2</v>
      </c>
      <c r="O301" s="4">
        <v>0.4</v>
      </c>
    </row>
    <row r="302" spans="2:15">
      <c r="B302" t="s">
        <v>771</v>
      </c>
      <c r="C302" t="s">
        <v>50</v>
      </c>
      <c r="D302" t="s">
        <v>1050</v>
      </c>
      <c r="E302" t="s">
        <v>1053</v>
      </c>
      <c r="F302" t="s">
        <v>10</v>
      </c>
      <c r="G302" t="s">
        <v>1050</v>
      </c>
      <c r="H302" t="s">
        <v>1054</v>
      </c>
      <c r="I302" t="s">
        <v>32</v>
      </c>
      <c r="J302">
        <v>0</v>
      </c>
      <c r="K302">
        <v>1</v>
      </c>
      <c r="L302" s="4">
        <v>3.5000000000000001E-3</v>
      </c>
      <c r="M302">
        <v>0.02</v>
      </c>
      <c r="N302" s="4">
        <v>3.5000000000000001E-3</v>
      </c>
      <c r="O302" s="4">
        <v>0.02</v>
      </c>
    </row>
    <row r="303" spans="2:15">
      <c r="B303" t="s">
        <v>771</v>
      </c>
      <c r="C303" t="s">
        <v>50</v>
      </c>
      <c r="D303" t="s">
        <v>1050</v>
      </c>
      <c r="E303" t="s">
        <v>1055</v>
      </c>
      <c r="F303" t="s">
        <v>10</v>
      </c>
      <c r="G303" t="s">
        <v>1050</v>
      </c>
      <c r="H303" t="s">
        <v>1056</v>
      </c>
      <c r="I303" t="s">
        <v>32</v>
      </c>
      <c r="J303">
        <v>0</v>
      </c>
      <c r="K303">
        <v>2</v>
      </c>
      <c r="L303" s="4">
        <v>3.5000000000000001E-3</v>
      </c>
      <c r="M303">
        <v>0.02</v>
      </c>
      <c r="N303" s="4">
        <v>7.0000000000000001E-3</v>
      </c>
      <c r="O303" s="4">
        <v>0.04</v>
      </c>
    </row>
    <row r="304" spans="2:15">
      <c r="B304" t="s">
        <v>771</v>
      </c>
      <c r="C304" t="s">
        <v>50</v>
      </c>
      <c r="D304" t="s">
        <v>1057</v>
      </c>
      <c r="E304" t="s">
        <v>1058</v>
      </c>
      <c r="F304" t="s">
        <v>10</v>
      </c>
      <c r="G304" t="s">
        <v>1057</v>
      </c>
      <c r="H304" t="s">
        <v>1059</v>
      </c>
      <c r="I304" t="s">
        <v>32</v>
      </c>
      <c r="J304">
        <v>0</v>
      </c>
      <c r="K304">
        <v>170</v>
      </c>
      <c r="L304" s="4">
        <v>3.5000000000000001E-3</v>
      </c>
      <c r="M304">
        <v>0.02</v>
      </c>
      <c r="N304" s="4">
        <v>0.59499999999999997</v>
      </c>
      <c r="O304" s="4">
        <v>3.4</v>
      </c>
    </row>
    <row r="305" spans="2:15">
      <c r="B305" t="s">
        <v>771</v>
      </c>
      <c r="C305" t="s">
        <v>50</v>
      </c>
      <c r="D305" t="s">
        <v>1060</v>
      </c>
      <c r="E305" t="s">
        <v>1061</v>
      </c>
      <c r="F305" t="s">
        <v>10</v>
      </c>
      <c r="G305" t="s">
        <v>1060</v>
      </c>
      <c r="H305" t="s">
        <v>1062</v>
      </c>
      <c r="I305" t="s">
        <v>32</v>
      </c>
      <c r="J305">
        <v>0</v>
      </c>
      <c r="K305">
        <v>44</v>
      </c>
      <c r="L305" s="4">
        <v>3.5000000000000001E-3</v>
      </c>
      <c r="M305">
        <v>0.02</v>
      </c>
      <c r="N305" s="4">
        <v>0.154</v>
      </c>
      <c r="O305" s="4">
        <v>0.88</v>
      </c>
    </row>
    <row r="306" spans="2:15">
      <c r="B306" t="s">
        <v>771</v>
      </c>
      <c r="C306" t="s">
        <v>50</v>
      </c>
      <c r="D306" t="s">
        <v>1060</v>
      </c>
      <c r="E306" t="s">
        <v>1063</v>
      </c>
      <c r="F306" t="s">
        <v>10</v>
      </c>
      <c r="G306" t="s">
        <v>1060</v>
      </c>
      <c r="H306" t="s">
        <v>1064</v>
      </c>
      <c r="I306" t="s">
        <v>32</v>
      </c>
      <c r="J306">
        <v>0</v>
      </c>
      <c r="K306">
        <v>1</v>
      </c>
      <c r="L306" s="4">
        <v>3.5000000000000001E-3</v>
      </c>
      <c r="M306">
        <v>0.02</v>
      </c>
      <c r="N306" s="4">
        <v>3.5000000000000001E-3</v>
      </c>
      <c r="O306" s="4">
        <v>0.02</v>
      </c>
    </row>
    <row r="307" spans="2:15">
      <c r="B307" t="s">
        <v>771</v>
      </c>
      <c r="C307" t="s">
        <v>50</v>
      </c>
      <c r="D307" t="s">
        <v>1060</v>
      </c>
      <c r="E307" t="s">
        <v>1065</v>
      </c>
      <c r="F307" t="s">
        <v>10</v>
      </c>
      <c r="G307" t="s">
        <v>1060</v>
      </c>
      <c r="H307" t="s">
        <v>1066</v>
      </c>
      <c r="I307" t="s">
        <v>32</v>
      </c>
      <c r="J307">
        <v>0</v>
      </c>
      <c r="K307">
        <v>2</v>
      </c>
      <c r="L307" s="4">
        <v>3.5000000000000001E-3</v>
      </c>
      <c r="M307">
        <v>0.02</v>
      </c>
      <c r="N307" s="4">
        <v>7.0000000000000001E-3</v>
      </c>
      <c r="O307" s="4">
        <v>0.04</v>
      </c>
    </row>
    <row r="308" spans="2:15">
      <c r="B308" t="s">
        <v>771</v>
      </c>
      <c r="C308" t="s">
        <v>50</v>
      </c>
      <c r="D308" t="s">
        <v>1067</v>
      </c>
      <c r="E308" t="s">
        <v>1068</v>
      </c>
      <c r="F308" t="s">
        <v>10</v>
      </c>
      <c r="G308" t="s">
        <v>1067</v>
      </c>
      <c r="H308" t="s">
        <v>1069</v>
      </c>
      <c r="I308" t="s">
        <v>32</v>
      </c>
      <c r="J308">
        <v>0</v>
      </c>
      <c r="K308">
        <v>81</v>
      </c>
      <c r="L308" s="4">
        <v>3.5000000000000001E-3</v>
      </c>
      <c r="M308">
        <v>0.02</v>
      </c>
      <c r="N308" s="4">
        <v>0.28350000000000003</v>
      </c>
      <c r="O308" s="4">
        <v>1.62</v>
      </c>
    </row>
    <row r="309" spans="2:15">
      <c r="B309" t="s">
        <v>771</v>
      </c>
      <c r="C309" t="s">
        <v>50</v>
      </c>
      <c r="D309" t="s">
        <v>1070</v>
      </c>
      <c r="E309" t="s">
        <v>213</v>
      </c>
      <c r="F309" t="s">
        <v>10</v>
      </c>
      <c r="G309" t="s">
        <v>1070</v>
      </c>
      <c r="H309" t="s">
        <v>214</v>
      </c>
      <c r="I309" t="s">
        <v>32</v>
      </c>
      <c r="J309">
        <v>0</v>
      </c>
      <c r="K309">
        <v>1</v>
      </c>
      <c r="L309" s="4">
        <v>3.5000000000000001E-3</v>
      </c>
      <c r="M309">
        <v>0.02</v>
      </c>
      <c r="N309" s="4">
        <v>3.5000000000000001E-3</v>
      </c>
      <c r="O309" s="4">
        <v>0.02</v>
      </c>
    </row>
    <row r="310" spans="2:15">
      <c r="B310" t="s">
        <v>771</v>
      </c>
      <c r="C310" t="s">
        <v>50</v>
      </c>
      <c r="D310" t="s">
        <v>1071</v>
      </c>
      <c r="E310" t="s">
        <v>215</v>
      </c>
      <c r="F310" t="s">
        <v>10</v>
      </c>
      <c r="G310" t="s">
        <v>1071</v>
      </c>
      <c r="H310" t="s">
        <v>216</v>
      </c>
      <c r="I310" t="s">
        <v>32</v>
      </c>
      <c r="J310">
        <v>0</v>
      </c>
      <c r="K310">
        <v>2</v>
      </c>
      <c r="L310" s="4">
        <v>3.5000000000000001E-3</v>
      </c>
      <c r="M310">
        <v>0.02</v>
      </c>
      <c r="N310" s="4">
        <v>7.0000000000000001E-3</v>
      </c>
      <c r="O310" s="4">
        <v>0.04</v>
      </c>
    </row>
    <row r="311" spans="2:15">
      <c r="B311" t="s">
        <v>771</v>
      </c>
      <c r="C311" t="s">
        <v>50</v>
      </c>
      <c r="D311" t="s">
        <v>1072</v>
      </c>
      <c r="E311" t="s">
        <v>112</v>
      </c>
      <c r="F311" t="s">
        <v>10</v>
      </c>
      <c r="G311" t="s">
        <v>1072</v>
      </c>
      <c r="H311" t="s">
        <v>113</v>
      </c>
      <c r="I311" t="s">
        <v>32</v>
      </c>
      <c r="J311">
        <v>0</v>
      </c>
      <c r="K311">
        <v>1</v>
      </c>
      <c r="L311" s="4">
        <v>3.5000000000000001E-3</v>
      </c>
      <c r="M311">
        <v>0.02</v>
      </c>
      <c r="N311" s="4">
        <v>3.5000000000000001E-3</v>
      </c>
      <c r="O311" s="4">
        <v>0.02</v>
      </c>
    </row>
    <row r="312" spans="2:15">
      <c r="B312" t="s">
        <v>771</v>
      </c>
      <c r="C312" t="s">
        <v>50</v>
      </c>
      <c r="D312" t="s">
        <v>1073</v>
      </c>
      <c r="E312" t="s">
        <v>1074</v>
      </c>
      <c r="F312" t="s">
        <v>10</v>
      </c>
      <c r="G312" t="s">
        <v>1073</v>
      </c>
      <c r="H312" t="s">
        <v>1075</v>
      </c>
      <c r="I312" t="s">
        <v>32</v>
      </c>
      <c r="J312">
        <v>0</v>
      </c>
      <c r="K312">
        <v>15</v>
      </c>
      <c r="L312" s="4">
        <v>3.5000000000000001E-3</v>
      </c>
      <c r="M312">
        <v>0.02</v>
      </c>
      <c r="N312" s="4">
        <v>5.2499999999999998E-2</v>
      </c>
      <c r="O312" s="4">
        <v>0.3</v>
      </c>
    </row>
    <row r="313" spans="2:15">
      <c r="B313" t="s">
        <v>771</v>
      </c>
      <c r="C313" t="s">
        <v>50</v>
      </c>
      <c r="D313" t="s">
        <v>1073</v>
      </c>
      <c r="E313" t="s">
        <v>1076</v>
      </c>
      <c r="F313" t="s">
        <v>10</v>
      </c>
      <c r="G313" t="s">
        <v>1073</v>
      </c>
      <c r="H313" t="s">
        <v>1077</v>
      </c>
      <c r="I313" t="s">
        <v>32</v>
      </c>
      <c r="J313">
        <v>0</v>
      </c>
      <c r="K313">
        <v>3</v>
      </c>
      <c r="L313" s="4">
        <v>3.5000000000000001E-3</v>
      </c>
      <c r="M313">
        <v>0.02</v>
      </c>
      <c r="N313" s="4">
        <v>1.0500000000000001E-2</v>
      </c>
      <c r="O313" s="4">
        <v>0.06</v>
      </c>
    </row>
    <row r="314" spans="2:15">
      <c r="B314" t="s">
        <v>771</v>
      </c>
      <c r="C314" t="s">
        <v>50</v>
      </c>
      <c r="D314" t="s">
        <v>1078</v>
      </c>
      <c r="E314" t="s">
        <v>1079</v>
      </c>
      <c r="F314" t="s">
        <v>10</v>
      </c>
      <c r="G314" t="s">
        <v>1078</v>
      </c>
      <c r="H314" t="s">
        <v>1080</v>
      </c>
      <c r="I314" t="s">
        <v>32</v>
      </c>
      <c r="J314">
        <v>0</v>
      </c>
      <c r="K314">
        <v>36</v>
      </c>
      <c r="L314" s="4">
        <v>3.5000000000000001E-3</v>
      </c>
      <c r="M314">
        <v>0.02</v>
      </c>
      <c r="N314" s="4">
        <v>0.126</v>
      </c>
      <c r="O314" s="4">
        <v>0.72</v>
      </c>
    </row>
    <row r="315" spans="2:15">
      <c r="B315" t="s">
        <v>771</v>
      </c>
      <c r="C315" t="s">
        <v>50</v>
      </c>
      <c r="D315" t="s">
        <v>1081</v>
      </c>
      <c r="E315" t="s">
        <v>1082</v>
      </c>
      <c r="F315" t="s">
        <v>10</v>
      </c>
      <c r="G315" t="s">
        <v>1081</v>
      </c>
      <c r="H315" t="s">
        <v>1083</v>
      </c>
      <c r="I315" t="s">
        <v>32</v>
      </c>
      <c r="J315">
        <v>0</v>
      </c>
      <c r="K315">
        <v>19</v>
      </c>
      <c r="L315" s="4">
        <v>3.5000000000000001E-3</v>
      </c>
      <c r="M315">
        <v>0.02</v>
      </c>
      <c r="N315" s="4">
        <v>6.6500000000000004E-2</v>
      </c>
      <c r="O315" s="4">
        <v>0.38</v>
      </c>
    </row>
    <row r="316" spans="2:15">
      <c r="B316" t="s">
        <v>771</v>
      </c>
      <c r="C316" t="s">
        <v>50</v>
      </c>
      <c r="D316" t="s">
        <v>1081</v>
      </c>
      <c r="E316" t="s">
        <v>1084</v>
      </c>
      <c r="F316" t="s">
        <v>10</v>
      </c>
      <c r="G316" t="s">
        <v>1081</v>
      </c>
      <c r="H316" t="s">
        <v>1085</v>
      </c>
      <c r="I316" t="s">
        <v>32</v>
      </c>
      <c r="J316">
        <v>0</v>
      </c>
      <c r="K316">
        <v>1</v>
      </c>
      <c r="L316" s="4">
        <v>3.5000000000000001E-3</v>
      </c>
      <c r="M316">
        <v>0.02</v>
      </c>
      <c r="N316" s="4">
        <v>3.5000000000000001E-3</v>
      </c>
      <c r="O316" s="4">
        <v>0.02</v>
      </c>
    </row>
    <row r="317" spans="2:15">
      <c r="B317" t="s">
        <v>771</v>
      </c>
      <c r="C317" t="s">
        <v>50</v>
      </c>
      <c r="D317" t="s">
        <v>1086</v>
      </c>
      <c r="E317" t="s">
        <v>1087</v>
      </c>
      <c r="F317" t="s">
        <v>10</v>
      </c>
      <c r="G317" t="s">
        <v>1086</v>
      </c>
      <c r="H317" t="s">
        <v>1088</v>
      </c>
      <c r="I317" t="s">
        <v>32</v>
      </c>
      <c r="J317">
        <v>0</v>
      </c>
      <c r="K317">
        <v>25</v>
      </c>
      <c r="L317" s="4">
        <v>3.5000000000000001E-3</v>
      </c>
      <c r="M317">
        <v>0.02</v>
      </c>
      <c r="N317" s="4">
        <v>8.7500000000000008E-2</v>
      </c>
      <c r="O317" s="4">
        <v>0.5</v>
      </c>
    </row>
    <row r="318" spans="2:15">
      <c r="B318" t="s">
        <v>771</v>
      </c>
      <c r="C318" t="s">
        <v>50</v>
      </c>
      <c r="D318" t="s">
        <v>1086</v>
      </c>
      <c r="E318" t="s">
        <v>1089</v>
      </c>
      <c r="F318" t="s">
        <v>10</v>
      </c>
      <c r="G318" t="s">
        <v>1086</v>
      </c>
      <c r="H318" t="s">
        <v>1090</v>
      </c>
      <c r="I318" t="s">
        <v>32</v>
      </c>
      <c r="J318">
        <v>0</v>
      </c>
      <c r="K318">
        <v>2</v>
      </c>
      <c r="L318" s="4">
        <v>3.5000000000000001E-3</v>
      </c>
      <c r="M318">
        <v>0.02</v>
      </c>
      <c r="N318" s="4">
        <v>7.0000000000000001E-3</v>
      </c>
      <c r="O318" s="4">
        <v>0.04</v>
      </c>
    </row>
    <row r="319" spans="2:15">
      <c r="B319" t="s">
        <v>771</v>
      </c>
      <c r="C319" t="s">
        <v>50</v>
      </c>
      <c r="D319" t="s">
        <v>1091</v>
      </c>
      <c r="E319" t="s">
        <v>1092</v>
      </c>
      <c r="F319" t="s">
        <v>10</v>
      </c>
      <c r="G319" t="s">
        <v>1091</v>
      </c>
      <c r="H319" t="s">
        <v>1093</v>
      </c>
      <c r="I319" t="s">
        <v>32</v>
      </c>
      <c r="J319">
        <v>0</v>
      </c>
      <c r="K319">
        <v>15</v>
      </c>
      <c r="L319" s="4">
        <v>3.5000000000000001E-3</v>
      </c>
      <c r="M319">
        <v>0.02</v>
      </c>
      <c r="N319" s="4">
        <v>5.2499999999999998E-2</v>
      </c>
      <c r="O319" s="4">
        <v>0.3</v>
      </c>
    </row>
    <row r="320" spans="2:15">
      <c r="B320" t="s">
        <v>771</v>
      </c>
      <c r="C320" t="s">
        <v>50</v>
      </c>
      <c r="D320" t="s">
        <v>1094</v>
      </c>
      <c r="E320" t="s">
        <v>1095</v>
      </c>
      <c r="F320" t="s">
        <v>10</v>
      </c>
      <c r="G320" t="s">
        <v>1094</v>
      </c>
      <c r="H320" t="s">
        <v>1096</v>
      </c>
      <c r="I320" t="s">
        <v>32</v>
      </c>
      <c r="J320">
        <v>0</v>
      </c>
      <c r="K320">
        <v>16</v>
      </c>
      <c r="L320" s="4">
        <v>3.5000000000000001E-3</v>
      </c>
      <c r="M320">
        <v>0.02</v>
      </c>
      <c r="N320" s="4">
        <v>5.6000000000000001E-2</v>
      </c>
      <c r="O320" s="4">
        <v>0.32</v>
      </c>
    </row>
    <row r="321" spans="2:15">
      <c r="B321" t="s">
        <v>771</v>
      </c>
      <c r="C321" t="s">
        <v>50</v>
      </c>
      <c r="D321" t="s">
        <v>1094</v>
      </c>
      <c r="E321" t="s">
        <v>1097</v>
      </c>
      <c r="F321" t="s">
        <v>10</v>
      </c>
      <c r="G321" t="s">
        <v>1094</v>
      </c>
      <c r="H321" t="s">
        <v>1098</v>
      </c>
      <c r="I321" t="s">
        <v>32</v>
      </c>
      <c r="J321">
        <v>0</v>
      </c>
      <c r="K321">
        <v>1</v>
      </c>
      <c r="L321" s="4">
        <v>3.5000000000000001E-3</v>
      </c>
      <c r="M321">
        <v>0.02</v>
      </c>
      <c r="N321" s="4">
        <v>3.5000000000000001E-3</v>
      </c>
      <c r="O321" s="4">
        <v>0.02</v>
      </c>
    </row>
    <row r="322" spans="2:15">
      <c r="B322" t="s">
        <v>771</v>
      </c>
      <c r="C322" t="s">
        <v>50</v>
      </c>
      <c r="D322" t="s">
        <v>1099</v>
      </c>
      <c r="E322" t="s">
        <v>1100</v>
      </c>
      <c r="F322" t="s">
        <v>10</v>
      </c>
      <c r="G322" t="s">
        <v>1099</v>
      </c>
      <c r="H322" t="s">
        <v>1101</v>
      </c>
      <c r="I322" t="s">
        <v>32</v>
      </c>
      <c r="J322">
        <v>0</v>
      </c>
      <c r="K322">
        <v>157</v>
      </c>
      <c r="L322" s="4">
        <v>3.5000000000000001E-3</v>
      </c>
      <c r="M322">
        <v>0.02</v>
      </c>
      <c r="N322" s="4">
        <v>0.54949999999999999</v>
      </c>
      <c r="O322" s="4">
        <v>3.14</v>
      </c>
    </row>
    <row r="323" spans="2:15">
      <c r="B323" t="s">
        <v>771</v>
      </c>
      <c r="C323" t="s">
        <v>50</v>
      </c>
      <c r="D323" t="s">
        <v>1102</v>
      </c>
      <c r="E323" t="s">
        <v>1103</v>
      </c>
      <c r="F323" t="s">
        <v>10</v>
      </c>
      <c r="G323" t="s">
        <v>1102</v>
      </c>
      <c r="H323" t="s">
        <v>1104</v>
      </c>
      <c r="I323" t="s">
        <v>32</v>
      </c>
      <c r="J323">
        <v>0</v>
      </c>
      <c r="K323">
        <v>40</v>
      </c>
      <c r="L323" s="4">
        <v>3.5000000000000001E-3</v>
      </c>
      <c r="M323">
        <v>0.02</v>
      </c>
      <c r="N323" s="4">
        <v>0.14000000000000001</v>
      </c>
      <c r="O323" s="4">
        <v>0.8</v>
      </c>
    </row>
    <row r="324" spans="2:15">
      <c r="B324" t="s">
        <v>771</v>
      </c>
      <c r="C324" t="s">
        <v>50</v>
      </c>
      <c r="D324" t="s">
        <v>1102</v>
      </c>
      <c r="E324" t="s">
        <v>1105</v>
      </c>
      <c r="F324" t="s">
        <v>10</v>
      </c>
      <c r="G324" t="s">
        <v>1102</v>
      </c>
      <c r="H324" t="s">
        <v>1106</v>
      </c>
      <c r="I324" t="s">
        <v>32</v>
      </c>
      <c r="J324">
        <v>0</v>
      </c>
      <c r="K324">
        <v>1</v>
      </c>
      <c r="L324" s="4">
        <v>3.5000000000000001E-3</v>
      </c>
      <c r="M324">
        <v>0.02</v>
      </c>
      <c r="N324" s="4">
        <v>3.5000000000000001E-3</v>
      </c>
      <c r="O324" s="4">
        <v>0.02</v>
      </c>
    </row>
    <row r="325" spans="2:15">
      <c r="B325" t="s">
        <v>771</v>
      </c>
      <c r="C325" t="s">
        <v>50</v>
      </c>
      <c r="D325" t="s">
        <v>1107</v>
      </c>
      <c r="E325" t="s">
        <v>1108</v>
      </c>
      <c r="F325" t="s">
        <v>10</v>
      </c>
      <c r="G325" t="s">
        <v>1107</v>
      </c>
      <c r="H325" t="s">
        <v>1109</v>
      </c>
      <c r="I325" t="s">
        <v>32</v>
      </c>
      <c r="J325">
        <v>0</v>
      </c>
      <c r="K325">
        <v>21</v>
      </c>
      <c r="L325" s="4">
        <v>3.5000000000000001E-3</v>
      </c>
      <c r="M325">
        <v>0.02</v>
      </c>
      <c r="N325" s="4">
        <v>7.3499999999999996E-2</v>
      </c>
      <c r="O325" s="4">
        <v>0.42</v>
      </c>
    </row>
    <row r="326" spans="2:15">
      <c r="B326" t="s">
        <v>771</v>
      </c>
      <c r="C326" t="s">
        <v>50</v>
      </c>
      <c r="D326" t="s">
        <v>1107</v>
      </c>
      <c r="E326" t="s">
        <v>1110</v>
      </c>
      <c r="F326" t="s">
        <v>10</v>
      </c>
      <c r="G326" t="s">
        <v>1107</v>
      </c>
      <c r="H326" t="s">
        <v>1111</v>
      </c>
      <c r="I326" t="s">
        <v>32</v>
      </c>
      <c r="J326">
        <v>0</v>
      </c>
      <c r="K326">
        <v>1</v>
      </c>
      <c r="L326" s="4">
        <v>3.5000000000000001E-3</v>
      </c>
      <c r="M326">
        <v>0.02</v>
      </c>
      <c r="N326" s="4">
        <v>3.5000000000000001E-3</v>
      </c>
      <c r="O326" s="4">
        <v>0.02</v>
      </c>
    </row>
    <row r="327" spans="2:15">
      <c r="B327" t="s">
        <v>771</v>
      </c>
      <c r="C327" t="s">
        <v>50</v>
      </c>
      <c r="D327" t="s">
        <v>1112</v>
      </c>
      <c r="E327" t="s">
        <v>1113</v>
      </c>
      <c r="F327" t="s">
        <v>10</v>
      </c>
      <c r="G327" t="s">
        <v>1112</v>
      </c>
      <c r="H327" t="s">
        <v>1114</v>
      </c>
      <c r="I327" t="s">
        <v>32</v>
      </c>
      <c r="J327">
        <v>0</v>
      </c>
      <c r="K327">
        <v>37</v>
      </c>
      <c r="L327" s="4">
        <v>3.5000000000000001E-3</v>
      </c>
      <c r="M327">
        <v>0.02</v>
      </c>
      <c r="N327" s="4">
        <v>0.1295</v>
      </c>
      <c r="O327" s="4">
        <v>0.74</v>
      </c>
    </row>
    <row r="328" spans="2:15">
      <c r="B328" t="s">
        <v>771</v>
      </c>
      <c r="C328" t="s">
        <v>50</v>
      </c>
      <c r="D328" t="s">
        <v>1115</v>
      </c>
      <c r="E328" t="s">
        <v>1116</v>
      </c>
      <c r="F328" t="s">
        <v>10</v>
      </c>
      <c r="G328" t="s">
        <v>1115</v>
      </c>
      <c r="H328" t="s">
        <v>1117</v>
      </c>
      <c r="I328" t="s">
        <v>32</v>
      </c>
      <c r="J328">
        <v>0</v>
      </c>
      <c r="K328">
        <v>38</v>
      </c>
      <c r="L328" s="4">
        <v>3.5000000000000001E-3</v>
      </c>
      <c r="M328">
        <v>0.02</v>
      </c>
      <c r="N328" s="4">
        <v>0.13300000000000001</v>
      </c>
      <c r="O328" s="4">
        <v>0.76</v>
      </c>
    </row>
    <row r="329" spans="2:15">
      <c r="B329" t="s">
        <v>771</v>
      </c>
      <c r="C329" t="s">
        <v>50</v>
      </c>
      <c r="D329" t="s">
        <v>1115</v>
      </c>
      <c r="E329" t="s">
        <v>1118</v>
      </c>
      <c r="F329" t="s">
        <v>10</v>
      </c>
      <c r="G329" t="s">
        <v>1115</v>
      </c>
      <c r="H329" t="s">
        <v>1119</v>
      </c>
      <c r="I329" t="s">
        <v>32</v>
      </c>
      <c r="J329">
        <v>0</v>
      </c>
      <c r="K329">
        <v>2</v>
      </c>
      <c r="L329" s="4">
        <v>3.5000000000000001E-3</v>
      </c>
      <c r="M329">
        <v>0.02</v>
      </c>
      <c r="N329" s="4">
        <v>7.0000000000000001E-3</v>
      </c>
      <c r="O329" s="4">
        <v>0.04</v>
      </c>
    </row>
    <row r="330" spans="2:15">
      <c r="B330" t="s">
        <v>771</v>
      </c>
      <c r="C330" t="s">
        <v>50</v>
      </c>
      <c r="D330" t="s">
        <v>1120</v>
      </c>
      <c r="E330" t="s">
        <v>1121</v>
      </c>
      <c r="F330" t="s">
        <v>10</v>
      </c>
      <c r="G330" t="s">
        <v>1120</v>
      </c>
      <c r="H330" t="s">
        <v>1122</v>
      </c>
      <c r="I330" t="s">
        <v>32</v>
      </c>
      <c r="J330">
        <v>0</v>
      </c>
      <c r="K330">
        <v>21</v>
      </c>
      <c r="L330" s="4">
        <v>3.5000000000000001E-3</v>
      </c>
      <c r="M330">
        <v>0.02</v>
      </c>
      <c r="N330" s="4">
        <v>7.3499999999999996E-2</v>
      </c>
      <c r="O330" s="4">
        <v>0.42</v>
      </c>
    </row>
    <row r="331" spans="2:15">
      <c r="B331" t="s">
        <v>771</v>
      </c>
      <c r="C331" t="s">
        <v>50</v>
      </c>
      <c r="D331" t="s">
        <v>1120</v>
      </c>
      <c r="E331" t="s">
        <v>1123</v>
      </c>
      <c r="F331" t="s">
        <v>10</v>
      </c>
      <c r="G331" t="s">
        <v>1120</v>
      </c>
      <c r="H331" t="s">
        <v>1124</v>
      </c>
      <c r="I331" t="s">
        <v>32</v>
      </c>
      <c r="J331">
        <v>0</v>
      </c>
      <c r="K331">
        <v>1</v>
      </c>
      <c r="L331" s="4">
        <v>3.5000000000000001E-3</v>
      </c>
      <c r="M331">
        <v>0.02</v>
      </c>
      <c r="N331" s="4">
        <v>3.5000000000000001E-3</v>
      </c>
      <c r="O331" s="4">
        <v>0.02</v>
      </c>
    </row>
    <row r="332" spans="2:15">
      <c r="B332" t="s">
        <v>771</v>
      </c>
      <c r="C332" t="s">
        <v>50</v>
      </c>
      <c r="D332" t="s">
        <v>1120</v>
      </c>
      <c r="E332" t="s">
        <v>1125</v>
      </c>
      <c r="F332" t="s">
        <v>10</v>
      </c>
      <c r="G332" t="s">
        <v>1120</v>
      </c>
      <c r="H332" t="s">
        <v>1126</v>
      </c>
      <c r="I332" t="s">
        <v>32</v>
      </c>
      <c r="J332">
        <v>0</v>
      </c>
      <c r="K332">
        <v>1</v>
      </c>
      <c r="L332" s="4">
        <v>3.5000000000000001E-3</v>
      </c>
      <c r="M332">
        <v>0.02</v>
      </c>
      <c r="N332" s="4">
        <v>3.5000000000000001E-3</v>
      </c>
      <c r="O332" s="4">
        <v>0.02</v>
      </c>
    </row>
    <row r="333" spans="2:15">
      <c r="B333" t="s">
        <v>771</v>
      </c>
      <c r="C333" t="s">
        <v>50</v>
      </c>
      <c r="D333" t="s">
        <v>1127</v>
      </c>
      <c r="E333" t="s">
        <v>1128</v>
      </c>
      <c r="F333" t="s">
        <v>10</v>
      </c>
      <c r="G333" t="s">
        <v>1120</v>
      </c>
      <c r="H333" t="s">
        <v>1129</v>
      </c>
      <c r="I333" t="s">
        <v>32</v>
      </c>
      <c r="J333">
        <v>0</v>
      </c>
      <c r="K333">
        <v>72</v>
      </c>
      <c r="L333" s="4">
        <v>3.5000000000000001E-3</v>
      </c>
      <c r="M333">
        <v>0.02</v>
      </c>
      <c r="N333" s="4">
        <v>0.252</v>
      </c>
      <c r="O333" s="4">
        <v>1.44</v>
      </c>
    </row>
    <row r="334" spans="2:15">
      <c r="B334" t="s">
        <v>771</v>
      </c>
      <c r="C334" t="s">
        <v>50</v>
      </c>
      <c r="D334" t="s">
        <v>1127</v>
      </c>
      <c r="E334" t="s">
        <v>1130</v>
      </c>
      <c r="F334" t="s">
        <v>10</v>
      </c>
      <c r="G334" t="s">
        <v>1127</v>
      </c>
      <c r="H334" t="s">
        <v>1131</v>
      </c>
      <c r="I334" t="s">
        <v>32</v>
      </c>
      <c r="J334">
        <v>0</v>
      </c>
      <c r="K334">
        <v>2</v>
      </c>
      <c r="L334" s="4">
        <v>3.5000000000000001E-3</v>
      </c>
      <c r="M334">
        <v>0.02</v>
      </c>
      <c r="N334" s="4">
        <v>7.0000000000000001E-3</v>
      </c>
      <c r="O334" s="4">
        <v>0.04</v>
      </c>
    </row>
    <row r="335" spans="2:15">
      <c r="B335" t="s">
        <v>771</v>
      </c>
      <c r="C335" t="s">
        <v>50</v>
      </c>
      <c r="D335" t="s">
        <v>1132</v>
      </c>
      <c r="E335" t="s">
        <v>1133</v>
      </c>
      <c r="F335" t="s">
        <v>10</v>
      </c>
      <c r="G335" t="s">
        <v>1132</v>
      </c>
      <c r="H335" t="s">
        <v>1134</v>
      </c>
      <c r="I335" t="s">
        <v>32</v>
      </c>
      <c r="J335">
        <v>0</v>
      </c>
      <c r="K335">
        <v>59</v>
      </c>
      <c r="L335" s="4">
        <v>3.5000000000000001E-3</v>
      </c>
      <c r="M335">
        <v>0.02</v>
      </c>
      <c r="N335" s="4">
        <v>0.20650000000000002</v>
      </c>
      <c r="O335" s="4">
        <v>1.18</v>
      </c>
    </row>
    <row r="336" spans="2:15">
      <c r="B336" t="s">
        <v>771</v>
      </c>
      <c r="C336" t="s">
        <v>50</v>
      </c>
      <c r="D336" t="s">
        <v>1132</v>
      </c>
      <c r="E336" t="s">
        <v>1135</v>
      </c>
      <c r="F336" t="s">
        <v>10</v>
      </c>
      <c r="G336" t="s">
        <v>1132</v>
      </c>
      <c r="H336" t="s">
        <v>1136</v>
      </c>
      <c r="I336" t="s">
        <v>32</v>
      </c>
      <c r="J336">
        <v>0</v>
      </c>
      <c r="K336">
        <v>1</v>
      </c>
      <c r="L336" s="4">
        <v>3.5000000000000001E-3</v>
      </c>
      <c r="M336">
        <v>0.02</v>
      </c>
      <c r="N336" s="4">
        <v>3.5000000000000001E-3</v>
      </c>
      <c r="O336" s="4">
        <v>0.02</v>
      </c>
    </row>
    <row r="337" spans="2:15">
      <c r="B337" t="s">
        <v>771</v>
      </c>
      <c r="C337" t="s">
        <v>50</v>
      </c>
      <c r="D337" t="s">
        <v>1137</v>
      </c>
      <c r="E337" t="s">
        <v>1138</v>
      </c>
      <c r="F337" t="s">
        <v>10</v>
      </c>
      <c r="G337" t="s">
        <v>1137</v>
      </c>
      <c r="H337" t="s">
        <v>1139</v>
      </c>
      <c r="I337" t="s">
        <v>32</v>
      </c>
      <c r="J337">
        <v>0</v>
      </c>
      <c r="K337">
        <v>17</v>
      </c>
      <c r="L337" s="4">
        <v>3.5000000000000001E-3</v>
      </c>
      <c r="M337">
        <v>0.02</v>
      </c>
      <c r="N337" s="4">
        <v>5.9500000000000004E-2</v>
      </c>
      <c r="O337" s="4">
        <v>0.34</v>
      </c>
    </row>
    <row r="338" spans="2:15">
      <c r="B338" t="s">
        <v>771</v>
      </c>
      <c r="C338" t="s">
        <v>50</v>
      </c>
      <c r="D338" t="s">
        <v>1137</v>
      </c>
      <c r="E338" t="s">
        <v>1140</v>
      </c>
      <c r="F338" t="s">
        <v>10</v>
      </c>
      <c r="G338" t="s">
        <v>1132</v>
      </c>
      <c r="H338" t="s">
        <v>1141</v>
      </c>
      <c r="I338" t="s">
        <v>32</v>
      </c>
      <c r="J338">
        <v>0</v>
      </c>
      <c r="K338">
        <v>49</v>
      </c>
      <c r="L338" s="4">
        <v>3.5000000000000001E-3</v>
      </c>
      <c r="M338">
        <v>0.02</v>
      </c>
      <c r="N338" s="4">
        <v>0.17150000000000001</v>
      </c>
      <c r="O338" s="4">
        <v>0.98</v>
      </c>
    </row>
    <row r="339" spans="2:15">
      <c r="B339" t="s">
        <v>771</v>
      </c>
      <c r="C339" t="s">
        <v>50</v>
      </c>
      <c r="D339" t="s">
        <v>1142</v>
      </c>
      <c r="E339" t="s">
        <v>1143</v>
      </c>
      <c r="F339" t="s">
        <v>10</v>
      </c>
      <c r="G339" t="s">
        <v>1142</v>
      </c>
      <c r="H339" t="s">
        <v>1144</v>
      </c>
      <c r="I339" t="s">
        <v>32</v>
      </c>
      <c r="J339">
        <v>0</v>
      </c>
      <c r="K339">
        <v>46</v>
      </c>
      <c r="L339" s="4">
        <v>3.5000000000000001E-3</v>
      </c>
      <c r="M339">
        <v>0.02</v>
      </c>
      <c r="N339" s="4">
        <v>0.161</v>
      </c>
      <c r="O339" s="4">
        <v>0.92</v>
      </c>
    </row>
    <row r="340" spans="2:15">
      <c r="B340" t="s">
        <v>771</v>
      </c>
      <c r="C340" t="s">
        <v>50</v>
      </c>
      <c r="D340" t="s">
        <v>1145</v>
      </c>
      <c r="E340" t="s">
        <v>1146</v>
      </c>
      <c r="F340" t="s">
        <v>10</v>
      </c>
      <c r="G340" t="s">
        <v>1145</v>
      </c>
      <c r="H340" t="s">
        <v>1147</v>
      </c>
      <c r="I340" t="s">
        <v>32</v>
      </c>
      <c r="J340">
        <v>0</v>
      </c>
      <c r="K340">
        <v>1</v>
      </c>
      <c r="L340" s="4">
        <v>3.5000000000000001E-3</v>
      </c>
      <c r="M340">
        <v>0.02</v>
      </c>
      <c r="N340" s="4">
        <v>3.5000000000000001E-3</v>
      </c>
      <c r="O340" s="4">
        <v>0.02</v>
      </c>
    </row>
    <row r="341" spans="2:15">
      <c r="B341" t="s">
        <v>771</v>
      </c>
      <c r="C341" t="s">
        <v>50</v>
      </c>
      <c r="D341" t="s">
        <v>1148</v>
      </c>
      <c r="E341" t="s">
        <v>1149</v>
      </c>
      <c r="F341" t="s">
        <v>10</v>
      </c>
      <c r="G341" t="s">
        <v>1148</v>
      </c>
      <c r="H341" t="s">
        <v>1150</v>
      </c>
      <c r="I341" t="s">
        <v>32</v>
      </c>
      <c r="J341">
        <v>0</v>
      </c>
      <c r="K341">
        <v>13</v>
      </c>
      <c r="L341" s="4">
        <v>3.5000000000000001E-3</v>
      </c>
      <c r="M341">
        <v>0.02</v>
      </c>
      <c r="N341" s="4">
        <v>4.5499999999999999E-2</v>
      </c>
      <c r="O341" s="4">
        <v>0.26</v>
      </c>
    </row>
    <row r="342" spans="2:15">
      <c r="B342" t="s">
        <v>771</v>
      </c>
      <c r="C342" t="s">
        <v>50</v>
      </c>
      <c r="D342" t="s">
        <v>1151</v>
      </c>
      <c r="E342" t="s">
        <v>1152</v>
      </c>
      <c r="F342" t="s">
        <v>10</v>
      </c>
      <c r="G342" t="s">
        <v>1151</v>
      </c>
      <c r="H342" t="s">
        <v>1153</v>
      </c>
      <c r="I342" t="s">
        <v>32</v>
      </c>
      <c r="J342">
        <v>0</v>
      </c>
      <c r="K342">
        <v>17</v>
      </c>
      <c r="L342" s="4">
        <v>3.5000000000000001E-3</v>
      </c>
      <c r="M342">
        <v>0.02</v>
      </c>
      <c r="N342" s="4">
        <v>5.9500000000000004E-2</v>
      </c>
      <c r="O342" s="4">
        <v>0.34</v>
      </c>
    </row>
    <row r="343" spans="2:15">
      <c r="B343" t="s">
        <v>771</v>
      </c>
      <c r="C343" t="s">
        <v>50</v>
      </c>
      <c r="D343" t="s">
        <v>1154</v>
      </c>
      <c r="E343" t="s">
        <v>1155</v>
      </c>
      <c r="F343" t="s">
        <v>10</v>
      </c>
      <c r="G343" t="s">
        <v>1154</v>
      </c>
      <c r="H343" t="s">
        <v>1156</v>
      </c>
      <c r="I343" t="s">
        <v>32</v>
      </c>
      <c r="J343">
        <v>0</v>
      </c>
      <c r="K343">
        <v>24</v>
      </c>
      <c r="L343" s="4">
        <v>3.5000000000000001E-3</v>
      </c>
      <c r="M343">
        <v>0.02</v>
      </c>
      <c r="N343" s="4">
        <v>8.4000000000000005E-2</v>
      </c>
      <c r="O343" s="4">
        <v>0.48</v>
      </c>
    </row>
    <row r="344" spans="2:15">
      <c r="B344" t="s">
        <v>771</v>
      </c>
      <c r="C344" t="s">
        <v>50</v>
      </c>
      <c r="D344" t="s">
        <v>1157</v>
      </c>
      <c r="E344" t="s">
        <v>1158</v>
      </c>
      <c r="F344" t="s">
        <v>10</v>
      </c>
      <c r="G344" t="s">
        <v>1157</v>
      </c>
      <c r="H344" t="s">
        <v>1159</v>
      </c>
      <c r="I344" t="s">
        <v>32</v>
      </c>
      <c r="J344">
        <v>0</v>
      </c>
      <c r="K344">
        <v>168</v>
      </c>
      <c r="L344" s="4">
        <v>3.5000000000000001E-3</v>
      </c>
      <c r="M344">
        <v>0.02</v>
      </c>
      <c r="N344" s="4">
        <v>0.58799999999999997</v>
      </c>
      <c r="O344" s="4">
        <v>3.36</v>
      </c>
    </row>
    <row r="345" spans="2:15">
      <c r="B345" t="s">
        <v>771</v>
      </c>
      <c r="C345" t="s">
        <v>50</v>
      </c>
      <c r="D345" t="s">
        <v>1157</v>
      </c>
      <c r="E345" t="s">
        <v>1160</v>
      </c>
      <c r="F345" t="s">
        <v>10</v>
      </c>
      <c r="G345" t="s">
        <v>1157</v>
      </c>
      <c r="H345" t="s">
        <v>1161</v>
      </c>
      <c r="I345" t="s">
        <v>32</v>
      </c>
      <c r="J345">
        <v>0</v>
      </c>
      <c r="K345">
        <v>1</v>
      </c>
      <c r="L345" s="4">
        <v>3.5000000000000001E-3</v>
      </c>
      <c r="M345">
        <v>0.02</v>
      </c>
      <c r="N345" s="4">
        <v>3.5000000000000001E-3</v>
      </c>
      <c r="O345" s="4">
        <v>0.02</v>
      </c>
    </row>
    <row r="346" spans="2:15">
      <c r="B346" t="s">
        <v>771</v>
      </c>
      <c r="C346" t="s">
        <v>50</v>
      </c>
      <c r="D346" t="s">
        <v>1162</v>
      </c>
      <c r="E346" t="s">
        <v>1163</v>
      </c>
      <c r="F346" t="s">
        <v>10</v>
      </c>
      <c r="G346" t="s">
        <v>1162</v>
      </c>
      <c r="H346" t="s">
        <v>1164</v>
      </c>
      <c r="I346" t="s">
        <v>32</v>
      </c>
      <c r="J346">
        <v>0</v>
      </c>
      <c r="K346">
        <v>13</v>
      </c>
      <c r="L346" s="4">
        <v>3.5000000000000001E-3</v>
      </c>
      <c r="M346">
        <v>0.02</v>
      </c>
      <c r="N346" s="4">
        <v>4.5499999999999999E-2</v>
      </c>
      <c r="O346" s="4">
        <v>0.26</v>
      </c>
    </row>
    <row r="347" spans="2:15">
      <c r="B347" t="s">
        <v>771</v>
      </c>
      <c r="C347" t="s">
        <v>50</v>
      </c>
      <c r="D347" t="s">
        <v>1162</v>
      </c>
      <c r="E347" t="s">
        <v>1165</v>
      </c>
      <c r="F347" t="s">
        <v>10</v>
      </c>
      <c r="G347" t="s">
        <v>1162</v>
      </c>
      <c r="H347" t="s">
        <v>1166</v>
      </c>
      <c r="I347" t="s">
        <v>32</v>
      </c>
      <c r="J347">
        <v>0</v>
      </c>
      <c r="K347">
        <v>103</v>
      </c>
      <c r="L347" s="4">
        <v>3.5000000000000001E-3</v>
      </c>
      <c r="M347">
        <v>0.02</v>
      </c>
      <c r="N347" s="4">
        <v>0.36049999999999999</v>
      </c>
      <c r="O347" s="4">
        <v>2.06</v>
      </c>
    </row>
    <row r="348" spans="2:15">
      <c r="B348" t="s">
        <v>771</v>
      </c>
      <c r="C348" t="s">
        <v>50</v>
      </c>
      <c r="D348" t="s">
        <v>1167</v>
      </c>
      <c r="E348" t="s">
        <v>1168</v>
      </c>
      <c r="F348" t="s">
        <v>10</v>
      </c>
      <c r="G348" t="s">
        <v>1167</v>
      </c>
      <c r="H348" t="s">
        <v>1169</v>
      </c>
      <c r="I348" t="s">
        <v>32</v>
      </c>
      <c r="J348">
        <v>0</v>
      </c>
      <c r="K348">
        <v>14</v>
      </c>
      <c r="L348" s="4">
        <v>3.5000000000000001E-3</v>
      </c>
      <c r="M348">
        <v>0.02</v>
      </c>
      <c r="N348" s="4">
        <v>4.9000000000000002E-2</v>
      </c>
      <c r="O348" s="4">
        <v>0.28000000000000003</v>
      </c>
    </row>
    <row r="349" spans="2:15">
      <c r="B349" t="s">
        <v>771</v>
      </c>
      <c r="C349" t="s">
        <v>50</v>
      </c>
      <c r="D349" t="s">
        <v>1170</v>
      </c>
      <c r="E349" t="s">
        <v>1171</v>
      </c>
      <c r="F349" t="s">
        <v>10</v>
      </c>
      <c r="G349" t="s">
        <v>1170</v>
      </c>
      <c r="H349" t="s">
        <v>1172</v>
      </c>
      <c r="I349" t="s">
        <v>32</v>
      </c>
      <c r="J349">
        <v>0</v>
      </c>
      <c r="K349">
        <v>103</v>
      </c>
      <c r="L349" s="4">
        <v>3.5000000000000001E-3</v>
      </c>
      <c r="M349">
        <v>0.02</v>
      </c>
      <c r="N349" s="4">
        <v>0.36049999999999999</v>
      </c>
      <c r="O349" s="4">
        <v>2.06</v>
      </c>
    </row>
    <row r="350" spans="2:15">
      <c r="B350" t="s">
        <v>771</v>
      </c>
      <c r="C350" t="s">
        <v>50</v>
      </c>
      <c r="D350" t="s">
        <v>1173</v>
      </c>
      <c r="E350" t="s">
        <v>1174</v>
      </c>
      <c r="F350" t="s">
        <v>10</v>
      </c>
      <c r="G350" t="s">
        <v>1173</v>
      </c>
      <c r="H350" t="s">
        <v>1175</v>
      </c>
      <c r="I350" t="s">
        <v>32</v>
      </c>
      <c r="J350">
        <v>0</v>
      </c>
      <c r="K350">
        <v>25</v>
      </c>
      <c r="L350" s="4">
        <v>3.5000000000000001E-3</v>
      </c>
      <c r="M350">
        <v>0.02</v>
      </c>
      <c r="N350" s="4">
        <v>8.7500000000000008E-2</v>
      </c>
      <c r="O350" s="4">
        <v>0.5</v>
      </c>
    </row>
    <row r="351" spans="2:15">
      <c r="B351" t="s">
        <v>771</v>
      </c>
      <c r="C351" t="s">
        <v>50</v>
      </c>
      <c r="D351" t="s">
        <v>1176</v>
      </c>
      <c r="E351" t="s">
        <v>1177</v>
      </c>
      <c r="F351" t="s">
        <v>10</v>
      </c>
      <c r="G351" t="s">
        <v>1176</v>
      </c>
      <c r="H351" t="s">
        <v>1178</v>
      </c>
      <c r="I351" t="s">
        <v>32</v>
      </c>
      <c r="J351">
        <v>0</v>
      </c>
      <c r="K351">
        <v>32</v>
      </c>
      <c r="L351" s="4">
        <v>3.5000000000000001E-3</v>
      </c>
      <c r="M351">
        <v>0.02</v>
      </c>
      <c r="N351" s="4">
        <v>0.112</v>
      </c>
      <c r="O351" s="4">
        <v>0.64</v>
      </c>
    </row>
    <row r="352" spans="2:15">
      <c r="B352" t="s">
        <v>771</v>
      </c>
      <c r="C352" t="s">
        <v>50</v>
      </c>
      <c r="D352" t="s">
        <v>1179</v>
      </c>
      <c r="E352" t="s">
        <v>1180</v>
      </c>
      <c r="F352" t="s">
        <v>10</v>
      </c>
      <c r="G352" t="s">
        <v>1179</v>
      </c>
      <c r="H352" t="s">
        <v>1181</v>
      </c>
      <c r="I352" t="s">
        <v>32</v>
      </c>
      <c r="J352">
        <v>0</v>
      </c>
      <c r="K352">
        <v>1</v>
      </c>
      <c r="L352" s="4">
        <v>3.5000000000000001E-3</v>
      </c>
      <c r="M352">
        <v>0.02</v>
      </c>
      <c r="N352" s="4">
        <v>3.5000000000000001E-3</v>
      </c>
      <c r="O352" s="4">
        <v>0.02</v>
      </c>
    </row>
    <row r="353" spans="2:15">
      <c r="B353" t="s">
        <v>771</v>
      </c>
      <c r="C353" t="s">
        <v>50</v>
      </c>
      <c r="D353" t="s">
        <v>1182</v>
      </c>
      <c r="E353" t="s">
        <v>1183</v>
      </c>
      <c r="F353" t="s">
        <v>10</v>
      </c>
      <c r="G353" t="s">
        <v>1182</v>
      </c>
      <c r="H353" t="s">
        <v>1184</v>
      </c>
      <c r="I353" t="s">
        <v>32</v>
      </c>
      <c r="J353">
        <v>0</v>
      </c>
      <c r="K353">
        <v>14</v>
      </c>
      <c r="L353" s="4">
        <v>3.5000000000000001E-3</v>
      </c>
      <c r="M353">
        <v>0.02</v>
      </c>
      <c r="N353" s="4">
        <v>4.9000000000000002E-2</v>
      </c>
      <c r="O353" s="4">
        <v>0.28000000000000003</v>
      </c>
    </row>
    <row r="354" spans="2:15">
      <c r="B354" t="s">
        <v>771</v>
      </c>
      <c r="C354" t="s">
        <v>50</v>
      </c>
      <c r="D354" t="s">
        <v>1182</v>
      </c>
      <c r="E354" t="s">
        <v>1185</v>
      </c>
      <c r="F354" t="s">
        <v>10</v>
      </c>
      <c r="G354" t="s">
        <v>1182</v>
      </c>
      <c r="H354" t="s">
        <v>1186</v>
      </c>
      <c r="I354" t="s">
        <v>32</v>
      </c>
      <c r="J354">
        <v>0</v>
      </c>
      <c r="K354">
        <v>1</v>
      </c>
      <c r="L354" s="4">
        <v>3.5000000000000001E-3</v>
      </c>
      <c r="M354">
        <v>0.02</v>
      </c>
      <c r="N354" s="4">
        <v>3.5000000000000001E-3</v>
      </c>
      <c r="O354" s="4">
        <v>0.02</v>
      </c>
    </row>
    <row r="355" spans="2:15">
      <c r="B355" t="s">
        <v>771</v>
      </c>
      <c r="C355" t="s">
        <v>50</v>
      </c>
      <c r="D355" t="s">
        <v>1187</v>
      </c>
      <c r="E355" t="s">
        <v>1188</v>
      </c>
      <c r="F355" t="s">
        <v>10</v>
      </c>
      <c r="G355" t="s">
        <v>1187</v>
      </c>
      <c r="H355" t="s">
        <v>1189</v>
      </c>
      <c r="I355" t="s">
        <v>32</v>
      </c>
      <c r="J355">
        <v>0</v>
      </c>
      <c r="K355">
        <v>79</v>
      </c>
      <c r="L355" s="4">
        <v>3.5000000000000001E-3</v>
      </c>
      <c r="M355">
        <v>0.02</v>
      </c>
      <c r="N355" s="4">
        <v>0.27650000000000002</v>
      </c>
      <c r="O355" s="4">
        <v>1.58</v>
      </c>
    </row>
    <row r="356" spans="2:15">
      <c r="B356" t="s">
        <v>771</v>
      </c>
      <c r="C356" t="s">
        <v>50</v>
      </c>
      <c r="D356" t="s">
        <v>1187</v>
      </c>
      <c r="E356" t="s">
        <v>1190</v>
      </c>
      <c r="F356" t="s">
        <v>10</v>
      </c>
      <c r="G356" t="s">
        <v>1187</v>
      </c>
      <c r="H356" t="s">
        <v>1191</v>
      </c>
      <c r="I356" t="s">
        <v>32</v>
      </c>
      <c r="J356">
        <v>0</v>
      </c>
      <c r="K356">
        <v>43</v>
      </c>
      <c r="L356" s="4">
        <v>3.5000000000000001E-3</v>
      </c>
      <c r="M356">
        <v>0.02</v>
      </c>
      <c r="N356" s="4">
        <v>0.15049999999999999</v>
      </c>
      <c r="O356" s="4">
        <v>0.86</v>
      </c>
    </row>
    <row r="357" spans="2:15">
      <c r="B357" t="s">
        <v>771</v>
      </c>
      <c r="C357" t="s">
        <v>50</v>
      </c>
      <c r="D357" t="s">
        <v>1192</v>
      </c>
      <c r="E357" t="s">
        <v>1193</v>
      </c>
      <c r="F357" t="s">
        <v>10</v>
      </c>
      <c r="G357" t="s">
        <v>1192</v>
      </c>
      <c r="H357" t="s">
        <v>1194</v>
      </c>
      <c r="I357" t="s">
        <v>32</v>
      </c>
      <c r="J357">
        <v>0</v>
      </c>
      <c r="K357">
        <v>41</v>
      </c>
      <c r="L357" s="4">
        <v>3.5000000000000001E-3</v>
      </c>
      <c r="M357">
        <v>0.02</v>
      </c>
      <c r="N357" s="4">
        <v>0.14350000000000002</v>
      </c>
      <c r="O357" s="4">
        <v>0.82000000000000006</v>
      </c>
    </row>
    <row r="358" spans="2:15">
      <c r="B358" t="s">
        <v>771</v>
      </c>
      <c r="C358" t="s">
        <v>50</v>
      </c>
      <c r="D358" t="s">
        <v>1195</v>
      </c>
      <c r="E358" t="s">
        <v>1196</v>
      </c>
      <c r="F358" t="s">
        <v>10</v>
      </c>
      <c r="G358" t="s">
        <v>1195</v>
      </c>
      <c r="H358" t="s">
        <v>1197</v>
      </c>
      <c r="I358" t="s">
        <v>32</v>
      </c>
      <c r="J358">
        <v>0</v>
      </c>
      <c r="K358">
        <v>21</v>
      </c>
      <c r="L358" s="4">
        <v>3.5000000000000001E-3</v>
      </c>
      <c r="M358">
        <v>0.02</v>
      </c>
      <c r="N358" s="4">
        <v>7.3499999999999996E-2</v>
      </c>
      <c r="O358" s="4">
        <v>0.42</v>
      </c>
    </row>
    <row r="359" spans="2:15">
      <c r="B359" t="s">
        <v>771</v>
      </c>
      <c r="C359" t="s">
        <v>50</v>
      </c>
      <c r="D359" t="s">
        <v>1195</v>
      </c>
      <c r="E359" t="s">
        <v>1198</v>
      </c>
      <c r="F359" t="s">
        <v>10</v>
      </c>
      <c r="G359" t="s">
        <v>1195</v>
      </c>
      <c r="H359" t="s">
        <v>1199</v>
      </c>
      <c r="I359" t="s">
        <v>32</v>
      </c>
      <c r="J359">
        <v>0</v>
      </c>
      <c r="K359">
        <v>40</v>
      </c>
      <c r="L359" s="4">
        <v>3.5000000000000001E-3</v>
      </c>
      <c r="M359">
        <v>0.02</v>
      </c>
      <c r="N359" s="4">
        <v>0.14000000000000001</v>
      </c>
      <c r="O359" s="4">
        <v>0.8</v>
      </c>
    </row>
    <row r="360" spans="2:15">
      <c r="B360" t="s">
        <v>771</v>
      </c>
      <c r="C360" t="s">
        <v>50</v>
      </c>
      <c r="D360" t="s">
        <v>1195</v>
      </c>
      <c r="E360" t="s">
        <v>1200</v>
      </c>
      <c r="F360" t="s">
        <v>10</v>
      </c>
      <c r="G360" t="s">
        <v>1195</v>
      </c>
      <c r="H360" t="s">
        <v>1201</v>
      </c>
      <c r="I360" t="s">
        <v>32</v>
      </c>
      <c r="J360">
        <v>0</v>
      </c>
      <c r="K360">
        <v>1</v>
      </c>
      <c r="L360" s="4">
        <v>3.5000000000000001E-3</v>
      </c>
      <c r="M360">
        <v>0.02</v>
      </c>
      <c r="N360" s="4">
        <v>3.5000000000000001E-3</v>
      </c>
      <c r="O360" s="4">
        <v>0.02</v>
      </c>
    </row>
    <row r="361" spans="2:15">
      <c r="B361" t="s">
        <v>771</v>
      </c>
      <c r="C361" t="s">
        <v>50</v>
      </c>
      <c r="D361" t="s">
        <v>1202</v>
      </c>
      <c r="E361" t="s">
        <v>1203</v>
      </c>
      <c r="F361" t="s">
        <v>10</v>
      </c>
      <c r="G361" t="s">
        <v>1202</v>
      </c>
      <c r="H361" t="s">
        <v>1204</v>
      </c>
      <c r="I361" t="s">
        <v>32</v>
      </c>
      <c r="J361">
        <v>0</v>
      </c>
      <c r="K361">
        <v>19</v>
      </c>
      <c r="L361" s="4">
        <v>3.5000000000000001E-3</v>
      </c>
      <c r="M361">
        <v>0.02</v>
      </c>
      <c r="N361" s="4">
        <v>6.6500000000000004E-2</v>
      </c>
      <c r="O361" s="4">
        <v>0.38</v>
      </c>
    </row>
    <row r="362" spans="2:15">
      <c r="B362" t="s">
        <v>771</v>
      </c>
      <c r="C362" t="s">
        <v>50</v>
      </c>
      <c r="D362" t="s">
        <v>1202</v>
      </c>
      <c r="E362" t="s">
        <v>1205</v>
      </c>
      <c r="F362" t="s">
        <v>10</v>
      </c>
      <c r="G362" t="s">
        <v>1202</v>
      </c>
      <c r="H362" t="s">
        <v>1206</v>
      </c>
      <c r="I362" t="s">
        <v>32</v>
      </c>
      <c r="J362">
        <v>0</v>
      </c>
      <c r="K362">
        <v>77</v>
      </c>
      <c r="L362" s="4">
        <v>3.5000000000000001E-3</v>
      </c>
      <c r="M362">
        <v>0.02</v>
      </c>
      <c r="N362" s="4">
        <v>0.26950000000000002</v>
      </c>
      <c r="O362" s="4">
        <v>1.54</v>
      </c>
    </row>
    <row r="363" spans="2:15">
      <c r="B363" t="s">
        <v>771</v>
      </c>
      <c r="C363" t="s">
        <v>50</v>
      </c>
      <c r="D363" t="s">
        <v>1207</v>
      </c>
      <c r="E363" t="s">
        <v>1208</v>
      </c>
      <c r="F363" t="s">
        <v>10</v>
      </c>
      <c r="G363" t="s">
        <v>1207</v>
      </c>
      <c r="H363" t="s">
        <v>1209</v>
      </c>
      <c r="I363" t="s">
        <v>32</v>
      </c>
      <c r="J363">
        <v>0</v>
      </c>
      <c r="K363">
        <v>74</v>
      </c>
      <c r="L363" s="4">
        <v>3.5000000000000001E-3</v>
      </c>
      <c r="M363">
        <v>0.02</v>
      </c>
      <c r="N363" s="4">
        <v>0.25900000000000001</v>
      </c>
      <c r="O363" s="4">
        <v>1.48</v>
      </c>
    </row>
    <row r="364" spans="2:15">
      <c r="B364" t="s">
        <v>771</v>
      </c>
      <c r="C364" t="s">
        <v>50</v>
      </c>
      <c r="D364" t="s">
        <v>1207</v>
      </c>
      <c r="E364" t="s">
        <v>1210</v>
      </c>
      <c r="F364" t="s">
        <v>10</v>
      </c>
      <c r="G364" t="s">
        <v>1207</v>
      </c>
      <c r="H364" t="s">
        <v>1211</v>
      </c>
      <c r="I364" t="s">
        <v>32</v>
      </c>
      <c r="J364">
        <v>0</v>
      </c>
      <c r="K364">
        <v>70</v>
      </c>
      <c r="L364" s="4">
        <v>3.5000000000000001E-3</v>
      </c>
      <c r="M364">
        <v>0.02</v>
      </c>
      <c r="N364" s="4">
        <v>0.245</v>
      </c>
      <c r="O364" s="4">
        <v>1.4000000000000001</v>
      </c>
    </row>
    <row r="365" spans="2:15">
      <c r="B365" t="s">
        <v>771</v>
      </c>
      <c r="C365" t="s">
        <v>50</v>
      </c>
      <c r="D365" t="s">
        <v>1212</v>
      </c>
      <c r="E365" t="s">
        <v>1213</v>
      </c>
      <c r="F365" t="s">
        <v>10</v>
      </c>
      <c r="G365" t="s">
        <v>1212</v>
      </c>
      <c r="H365" t="s">
        <v>1214</v>
      </c>
      <c r="I365" t="s">
        <v>32</v>
      </c>
      <c r="J365">
        <v>0</v>
      </c>
      <c r="K365">
        <v>341</v>
      </c>
      <c r="L365" s="4">
        <v>3.5000000000000001E-3</v>
      </c>
      <c r="M365">
        <v>0.02</v>
      </c>
      <c r="N365" s="4">
        <v>1.1935</v>
      </c>
      <c r="O365" s="4">
        <v>6.82</v>
      </c>
    </row>
    <row r="366" spans="2:15">
      <c r="B366" t="s">
        <v>771</v>
      </c>
      <c r="C366" t="s">
        <v>50</v>
      </c>
      <c r="D366" t="s">
        <v>1215</v>
      </c>
      <c r="E366" t="s">
        <v>1216</v>
      </c>
      <c r="F366" t="s">
        <v>10</v>
      </c>
      <c r="G366" t="s">
        <v>1215</v>
      </c>
      <c r="H366" t="s">
        <v>1217</v>
      </c>
      <c r="I366" t="s">
        <v>32</v>
      </c>
      <c r="J366">
        <v>0</v>
      </c>
      <c r="K366">
        <v>649</v>
      </c>
      <c r="L366" s="4">
        <v>3.5000000000000001E-3</v>
      </c>
      <c r="M366">
        <v>0.02</v>
      </c>
      <c r="N366" s="4">
        <v>2.2715000000000001</v>
      </c>
      <c r="O366" s="4">
        <v>12.98</v>
      </c>
    </row>
    <row r="367" spans="2:15">
      <c r="B367" t="s">
        <v>771</v>
      </c>
      <c r="C367" t="s">
        <v>50</v>
      </c>
      <c r="D367" t="s">
        <v>1218</v>
      </c>
      <c r="E367" t="s">
        <v>1219</v>
      </c>
      <c r="F367" t="s">
        <v>10</v>
      </c>
      <c r="G367" t="s">
        <v>1218</v>
      </c>
      <c r="H367" t="s">
        <v>1220</v>
      </c>
      <c r="I367" t="s">
        <v>32</v>
      </c>
      <c r="J367">
        <v>0</v>
      </c>
      <c r="K367">
        <v>17</v>
      </c>
      <c r="L367" s="4">
        <v>3.5000000000000001E-3</v>
      </c>
      <c r="M367">
        <v>0.02</v>
      </c>
      <c r="N367" s="4">
        <v>5.9500000000000004E-2</v>
      </c>
      <c r="O367" s="4">
        <v>0.34</v>
      </c>
    </row>
    <row r="368" spans="2:15">
      <c r="B368" t="s">
        <v>771</v>
      </c>
      <c r="C368" t="s">
        <v>50</v>
      </c>
      <c r="D368" t="s">
        <v>1218</v>
      </c>
      <c r="E368" t="s">
        <v>1221</v>
      </c>
      <c r="F368" t="s">
        <v>10</v>
      </c>
      <c r="G368" t="s">
        <v>1218</v>
      </c>
      <c r="H368" t="s">
        <v>1222</v>
      </c>
      <c r="I368" t="s">
        <v>32</v>
      </c>
      <c r="J368">
        <v>0</v>
      </c>
      <c r="K368">
        <v>138</v>
      </c>
      <c r="L368" s="4">
        <v>3.5000000000000001E-3</v>
      </c>
      <c r="M368">
        <v>0.02</v>
      </c>
      <c r="N368" s="4">
        <v>0.48299999999999998</v>
      </c>
      <c r="O368" s="4">
        <v>2.7600000000000002</v>
      </c>
    </row>
    <row r="369" spans="2:15">
      <c r="B369" t="s">
        <v>771</v>
      </c>
      <c r="C369" t="s">
        <v>50</v>
      </c>
      <c r="D369" t="s">
        <v>1218</v>
      </c>
      <c r="E369" t="s">
        <v>1223</v>
      </c>
      <c r="F369" t="s">
        <v>10</v>
      </c>
      <c r="G369" t="s">
        <v>1218</v>
      </c>
      <c r="H369" t="s">
        <v>1224</v>
      </c>
      <c r="I369" t="s">
        <v>32</v>
      </c>
      <c r="J369">
        <v>0</v>
      </c>
      <c r="K369">
        <v>1</v>
      </c>
      <c r="L369" s="4">
        <v>3.5000000000000001E-3</v>
      </c>
      <c r="M369">
        <v>0.02</v>
      </c>
      <c r="N369" s="4">
        <v>3.5000000000000001E-3</v>
      </c>
      <c r="O369" s="4">
        <v>0.02</v>
      </c>
    </row>
    <row r="370" spans="2:15">
      <c r="B370" t="s">
        <v>771</v>
      </c>
      <c r="C370" t="s">
        <v>50</v>
      </c>
      <c r="D370" t="s">
        <v>1225</v>
      </c>
      <c r="E370" t="s">
        <v>1226</v>
      </c>
      <c r="F370" t="s">
        <v>10</v>
      </c>
      <c r="G370" t="s">
        <v>1225</v>
      </c>
      <c r="H370" t="s">
        <v>1227</v>
      </c>
      <c r="I370" t="s">
        <v>32</v>
      </c>
      <c r="J370">
        <v>0</v>
      </c>
      <c r="K370">
        <v>55</v>
      </c>
      <c r="L370" s="4">
        <v>3.5000000000000001E-3</v>
      </c>
      <c r="M370">
        <v>0.02</v>
      </c>
      <c r="N370" s="4">
        <v>0.1925</v>
      </c>
      <c r="O370" s="4">
        <v>1.1000000000000001</v>
      </c>
    </row>
    <row r="371" spans="2:15">
      <c r="B371" t="s">
        <v>771</v>
      </c>
      <c r="C371" t="s">
        <v>50</v>
      </c>
      <c r="D371" t="s">
        <v>1228</v>
      </c>
      <c r="E371" t="s">
        <v>1229</v>
      </c>
      <c r="F371" t="s">
        <v>10</v>
      </c>
      <c r="G371" t="s">
        <v>1228</v>
      </c>
      <c r="H371" t="s">
        <v>1230</v>
      </c>
      <c r="I371" t="s">
        <v>32</v>
      </c>
      <c r="J371">
        <v>0</v>
      </c>
      <c r="K371">
        <v>33</v>
      </c>
      <c r="L371" s="4">
        <v>3.5000000000000001E-3</v>
      </c>
      <c r="M371">
        <v>0.02</v>
      </c>
      <c r="N371" s="4">
        <v>0.11550000000000001</v>
      </c>
      <c r="O371" s="4">
        <v>0.66</v>
      </c>
    </row>
    <row r="372" spans="2:15">
      <c r="B372" t="s">
        <v>771</v>
      </c>
      <c r="C372" t="s">
        <v>50</v>
      </c>
      <c r="D372" t="s">
        <v>1231</v>
      </c>
      <c r="E372" t="s">
        <v>1232</v>
      </c>
      <c r="F372" t="s">
        <v>10</v>
      </c>
      <c r="G372" t="s">
        <v>1231</v>
      </c>
      <c r="H372" t="s">
        <v>1233</v>
      </c>
      <c r="I372" t="s">
        <v>32</v>
      </c>
      <c r="J372">
        <v>0</v>
      </c>
      <c r="K372">
        <v>47</v>
      </c>
      <c r="L372" s="4">
        <v>3.5000000000000001E-3</v>
      </c>
      <c r="M372">
        <v>0.02</v>
      </c>
      <c r="N372" s="4">
        <v>0.16450000000000001</v>
      </c>
      <c r="O372" s="4">
        <v>0.94000000000000006</v>
      </c>
    </row>
    <row r="373" spans="2:15">
      <c r="B373" t="s">
        <v>771</v>
      </c>
      <c r="C373" t="s">
        <v>50</v>
      </c>
      <c r="D373" t="s">
        <v>1234</v>
      </c>
      <c r="E373" t="s">
        <v>1235</v>
      </c>
      <c r="F373" t="s">
        <v>10</v>
      </c>
      <c r="G373" t="s">
        <v>1234</v>
      </c>
      <c r="H373" t="s">
        <v>1236</v>
      </c>
      <c r="I373" t="s">
        <v>32</v>
      </c>
      <c r="J373">
        <v>0</v>
      </c>
      <c r="K373">
        <v>30</v>
      </c>
      <c r="L373" s="4">
        <v>3.5000000000000001E-3</v>
      </c>
      <c r="M373">
        <v>0.02</v>
      </c>
      <c r="N373" s="4">
        <v>0.105</v>
      </c>
      <c r="O373" s="4">
        <v>0.6</v>
      </c>
    </row>
    <row r="374" spans="2:15">
      <c r="B374" t="s">
        <v>771</v>
      </c>
      <c r="C374" t="s">
        <v>50</v>
      </c>
      <c r="D374" t="s">
        <v>1237</v>
      </c>
      <c r="E374" t="s">
        <v>1238</v>
      </c>
      <c r="F374" t="s">
        <v>10</v>
      </c>
      <c r="G374" t="s">
        <v>1237</v>
      </c>
      <c r="H374" t="s">
        <v>1239</v>
      </c>
      <c r="I374" t="s">
        <v>32</v>
      </c>
      <c r="J374">
        <v>0</v>
      </c>
      <c r="K374">
        <v>32</v>
      </c>
      <c r="L374" s="4">
        <v>3.5000000000000001E-3</v>
      </c>
      <c r="M374">
        <v>0.02</v>
      </c>
      <c r="N374" s="4">
        <v>0.112</v>
      </c>
      <c r="O374" s="4">
        <v>0.64</v>
      </c>
    </row>
    <row r="375" spans="2:15">
      <c r="B375" t="s">
        <v>771</v>
      </c>
      <c r="C375" t="s">
        <v>50</v>
      </c>
      <c r="D375" t="s">
        <v>1237</v>
      </c>
      <c r="E375" t="s">
        <v>1240</v>
      </c>
      <c r="F375" t="s">
        <v>10</v>
      </c>
      <c r="G375" t="s">
        <v>1237</v>
      </c>
      <c r="H375" t="s">
        <v>1241</v>
      </c>
      <c r="I375" t="s">
        <v>32</v>
      </c>
      <c r="J375">
        <v>0</v>
      </c>
      <c r="K375">
        <v>1</v>
      </c>
      <c r="L375" s="4">
        <v>3.5000000000000001E-3</v>
      </c>
      <c r="M375">
        <v>0.02</v>
      </c>
      <c r="N375" s="4">
        <v>3.5000000000000001E-3</v>
      </c>
      <c r="O375" s="4">
        <v>0.02</v>
      </c>
    </row>
    <row r="376" spans="2:15">
      <c r="B376" t="s">
        <v>771</v>
      </c>
      <c r="C376" t="s">
        <v>50</v>
      </c>
      <c r="D376" t="s">
        <v>1242</v>
      </c>
      <c r="E376" t="s">
        <v>1243</v>
      </c>
      <c r="F376" t="s">
        <v>10</v>
      </c>
      <c r="G376" t="s">
        <v>1242</v>
      </c>
      <c r="H376" t="s">
        <v>1244</v>
      </c>
      <c r="I376" t="s">
        <v>32</v>
      </c>
      <c r="J376">
        <v>0</v>
      </c>
      <c r="K376">
        <v>33</v>
      </c>
      <c r="L376" s="4">
        <v>3.5000000000000001E-3</v>
      </c>
      <c r="M376">
        <v>0.02</v>
      </c>
      <c r="N376" s="4">
        <v>0.11550000000000001</v>
      </c>
      <c r="O376" s="4">
        <v>0.66</v>
      </c>
    </row>
    <row r="377" spans="2:15">
      <c r="B377" t="s">
        <v>771</v>
      </c>
      <c r="C377" t="s">
        <v>50</v>
      </c>
      <c r="D377" t="s">
        <v>1245</v>
      </c>
      <c r="E377" t="s">
        <v>1246</v>
      </c>
      <c r="F377" t="s">
        <v>10</v>
      </c>
      <c r="G377" t="s">
        <v>1245</v>
      </c>
      <c r="H377" t="s">
        <v>1247</v>
      </c>
      <c r="I377" t="s">
        <v>32</v>
      </c>
      <c r="J377">
        <v>0</v>
      </c>
      <c r="K377">
        <v>81</v>
      </c>
      <c r="L377" s="4">
        <v>3.5000000000000001E-3</v>
      </c>
      <c r="M377">
        <v>0.02</v>
      </c>
      <c r="N377" s="4">
        <v>0.28350000000000003</v>
      </c>
      <c r="O377" s="4">
        <v>1.62</v>
      </c>
    </row>
    <row r="378" spans="2:15">
      <c r="B378" t="s">
        <v>771</v>
      </c>
      <c r="C378" t="s">
        <v>50</v>
      </c>
      <c r="D378" t="s">
        <v>1248</v>
      </c>
      <c r="E378" t="s">
        <v>1249</v>
      </c>
      <c r="F378" t="s">
        <v>10</v>
      </c>
      <c r="G378" t="s">
        <v>1248</v>
      </c>
      <c r="H378" t="s">
        <v>1250</v>
      </c>
      <c r="I378" t="s">
        <v>32</v>
      </c>
      <c r="J378">
        <v>0</v>
      </c>
      <c r="K378">
        <v>33</v>
      </c>
      <c r="L378" s="4">
        <v>3.5000000000000001E-3</v>
      </c>
      <c r="M378">
        <v>0.02</v>
      </c>
      <c r="N378" s="4">
        <v>0.11550000000000001</v>
      </c>
      <c r="O378" s="4">
        <v>0.66</v>
      </c>
    </row>
    <row r="379" spans="2:15">
      <c r="B379" t="s">
        <v>771</v>
      </c>
      <c r="C379" t="s">
        <v>50</v>
      </c>
      <c r="D379" t="s">
        <v>1248</v>
      </c>
      <c r="E379" t="s">
        <v>1251</v>
      </c>
      <c r="F379" t="s">
        <v>10</v>
      </c>
      <c r="G379" t="s">
        <v>1248</v>
      </c>
      <c r="H379" t="s">
        <v>1252</v>
      </c>
      <c r="I379" t="s">
        <v>32</v>
      </c>
      <c r="J379">
        <v>0</v>
      </c>
      <c r="K379">
        <v>127</v>
      </c>
      <c r="L379" s="4">
        <v>3.5000000000000001E-3</v>
      </c>
      <c r="M379">
        <v>0.02</v>
      </c>
      <c r="N379" s="4">
        <v>0.44450000000000001</v>
      </c>
      <c r="O379" s="4">
        <v>2.54</v>
      </c>
    </row>
    <row r="380" spans="2:15">
      <c r="B380" t="s">
        <v>771</v>
      </c>
      <c r="C380" t="s">
        <v>50</v>
      </c>
      <c r="D380" t="s">
        <v>1253</v>
      </c>
      <c r="E380" t="s">
        <v>1254</v>
      </c>
      <c r="F380" t="s">
        <v>10</v>
      </c>
      <c r="G380" t="s">
        <v>1253</v>
      </c>
      <c r="H380" t="s">
        <v>1255</v>
      </c>
      <c r="I380" t="s">
        <v>32</v>
      </c>
      <c r="J380">
        <v>0</v>
      </c>
      <c r="K380">
        <v>78</v>
      </c>
      <c r="L380" s="4">
        <v>3.5000000000000001E-3</v>
      </c>
      <c r="M380">
        <v>0.02</v>
      </c>
      <c r="N380" s="4">
        <v>0.27300000000000002</v>
      </c>
      <c r="O380" s="4">
        <v>1.56</v>
      </c>
    </row>
    <row r="381" spans="2:15">
      <c r="B381" t="s">
        <v>771</v>
      </c>
      <c r="C381" t="s">
        <v>50</v>
      </c>
      <c r="D381" t="s">
        <v>1256</v>
      </c>
      <c r="E381" t="s">
        <v>1257</v>
      </c>
      <c r="F381" t="s">
        <v>10</v>
      </c>
      <c r="G381" t="s">
        <v>1256</v>
      </c>
      <c r="H381" t="s">
        <v>1258</v>
      </c>
      <c r="I381" t="s">
        <v>32</v>
      </c>
      <c r="J381">
        <v>0</v>
      </c>
      <c r="K381">
        <v>39</v>
      </c>
      <c r="L381" s="4">
        <v>3.5000000000000001E-3</v>
      </c>
      <c r="M381">
        <v>0.02</v>
      </c>
      <c r="N381" s="4">
        <v>0.13650000000000001</v>
      </c>
      <c r="O381" s="4">
        <v>0.78</v>
      </c>
    </row>
    <row r="382" spans="2:15">
      <c r="B382" t="s">
        <v>771</v>
      </c>
      <c r="C382" t="s">
        <v>50</v>
      </c>
      <c r="D382" t="s">
        <v>1256</v>
      </c>
      <c r="E382" t="s">
        <v>1259</v>
      </c>
      <c r="F382" t="s">
        <v>10</v>
      </c>
      <c r="G382" t="s">
        <v>1256</v>
      </c>
      <c r="H382" t="s">
        <v>1260</v>
      </c>
      <c r="I382" t="s">
        <v>32</v>
      </c>
      <c r="J382">
        <v>0</v>
      </c>
      <c r="K382">
        <v>2</v>
      </c>
      <c r="L382" s="4">
        <v>3.5000000000000001E-3</v>
      </c>
      <c r="M382">
        <v>0.02</v>
      </c>
      <c r="N382" s="4">
        <v>7.0000000000000001E-3</v>
      </c>
      <c r="O382" s="4">
        <v>0.04</v>
      </c>
    </row>
    <row r="383" spans="2:15">
      <c r="B383" t="s">
        <v>771</v>
      </c>
      <c r="C383" t="s">
        <v>50</v>
      </c>
      <c r="D383" t="s">
        <v>1261</v>
      </c>
      <c r="E383" t="s">
        <v>1262</v>
      </c>
      <c r="F383" t="s">
        <v>10</v>
      </c>
      <c r="G383" t="s">
        <v>1261</v>
      </c>
      <c r="H383" t="s">
        <v>1263</v>
      </c>
      <c r="I383" t="s">
        <v>32</v>
      </c>
      <c r="J383">
        <v>0</v>
      </c>
      <c r="K383">
        <v>42</v>
      </c>
      <c r="L383" s="4">
        <v>3.5000000000000001E-3</v>
      </c>
      <c r="M383">
        <v>0.02</v>
      </c>
      <c r="N383" s="4">
        <v>0.14699999999999999</v>
      </c>
      <c r="O383" s="4">
        <v>0.84</v>
      </c>
    </row>
    <row r="384" spans="2:15">
      <c r="B384" t="s">
        <v>771</v>
      </c>
      <c r="C384" t="s">
        <v>50</v>
      </c>
      <c r="D384" t="s">
        <v>1261</v>
      </c>
      <c r="E384" t="s">
        <v>1264</v>
      </c>
      <c r="F384" t="s">
        <v>10</v>
      </c>
      <c r="G384" t="s">
        <v>1261</v>
      </c>
      <c r="H384" t="s">
        <v>1265</v>
      </c>
      <c r="I384" t="s">
        <v>32</v>
      </c>
      <c r="J384">
        <v>0</v>
      </c>
      <c r="K384">
        <v>76</v>
      </c>
      <c r="L384" s="4">
        <v>3.5000000000000001E-3</v>
      </c>
      <c r="M384">
        <v>0.02</v>
      </c>
      <c r="N384" s="4">
        <v>0.26600000000000001</v>
      </c>
      <c r="O384" s="4">
        <v>1.52</v>
      </c>
    </row>
    <row r="385" spans="2:15">
      <c r="B385" t="s">
        <v>771</v>
      </c>
      <c r="C385" t="s">
        <v>50</v>
      </c>
      <c r="D385" t="s">
        <v>1266</v>
      </c>
      <c r="E385" t="s">
        <v>1267</v>
      </c>
      <c r="F385" t="s">
        <v>10</v>
      </c>
      <c r="G385" t="s">
        <v>1266</v>
      </c>
      <c r="H385" t="s">
        <v>1268</v>
      </c>
      <c r="I385" t="s">
        <v>32</v>
      </c>
      <c r="J385">
        <v>0</v>
      </c>
      <c r="K385">
        <v>1</v>
      </c>
      <c r="L385" s="4">
        <v>3.5000000000000001E-3</v>
      </c>
      <c r="M385">
        <v>0.02</v>
      </c>
      <c r="N385" s="4">
        <v>3.5000000000000001E-3</v>
      </c>
      <c r="O385" s="4">
        <v>0.02</v>
      </c>
    </row>
    <row r="386" spans="2:15">
      <c r="B386" t="s">
        <v>771</v>
      </c>
      <c r="C386" t="s">
        <v>50</v>
      </c>
      <c r="D386" t="s">
        <v>1269</v>
      </c>
      <c r="E386" t="s">
        <v>1270</v>
      </c>
      <c r="F386" t="s">
        <v>10</v>
      </c>
      <c r="G386" t="s">
        <v>1266</v>
      </c>
      <c r="H386" t="s">
        <v>1271</v>
      </c>
      <c r="I386" t="s">
        <v>32</v>
      </c>
      <c r="J386">
        <v>0</v>
      </c>
      <c r="K386">
        <v>28</v>
      </c>
      <c r="L386" s="4">
        <v>3.5000000000000001E-3</v>
      </c>
      <c r="M386">
        <v>0.02</v>
      </c>
      <c r="N386" s="4">
        <v>9.8000000000000004E-2</v>
      </c>
      <c r="O386" s="4">
        <v>0.56000000000000005</v>
      </c>
    </row>
    <row r="387" spans="2:15">
      <c r="B387" t="s">
        <v>771</v>
      </c>
      <c r="C387" t="s">
        <v>50</v>
      </c>
      <c r="D387" t="s">
        <v>1269</v>
      </c>
      <c r="E387" t="s">
        <v>1272</v>
      </c>
      <c r="F387" t="s">
        <v>10</v>
      </c>
      <c r="G387" t="s">
        <v>1269</v>
      </c>
      <c r="H387" t="s">
        <v>1273</v>
      </c>
      <c r="I387" t="s">
        <v>32</v>
      </c>
      <c r="J387">
        <v>0</v>
      </c>
      <c r="K387">
        <v>54</v>
      </c>
      <c r="L387" s="4">
        <v>3.5000000000000001E-3</v>
      </c>
      <c r="M387">
        <v>0.02</v>
      </c>
      <c r="N387" s="4">
        <v>0.189</v>
      </c>
      <c r="O387" s="4">
        <v>1.08</v>
      </c>
    </row>
    <row r="388" spans="2:15">
      <c r="B388" t="s">
        <v>771</v>
      </c>
      <c r="C388" t="s">
        <v>50</v>
      </c>
      <c r="D388" t="s">
        <v>1274</v>
      </c>
      <c r="E388" t="s">
        <v>1275</v>
      </c>
      <c r="F388" t="s">
        <v>10</v>
      </c>
      <c r="G388" t="s">
        <v>1276</v>
      </c>
      <c r="H388" t="s">
        <v>1277</v>
      </c>
      <c r="I388" t="s">
        <v>32</v>
      </c>
      <c r="J388">
        <v>0</v>
      </c>
      <c r="K388">
        <v>174</v>
      </c>
      <c r="L388" s="4">
        <v>3.5000000000000001E-3</v>
      </c>
      <c r="M388">
        <v>0.02</v>
      </c>
      <c r="N388" s="4">
        <v>0.60899999999999999</v>
      </c>
      <c r="O388" s="4">
        <v>3.48</v>
      </c>
    </row>
    <row r="389" spans="2:15">
      <c r="B389" t="s">
        <v>771</v>
      </c>
      <c r="C389" t="s">
        <v>50</v>
      </c>
      <c r="D389" t="s">
        <v>1274</v>
      </c>
      <c r="E389" t="s">
        <v>1278</v>
      </c>
      <c r="F389" t="s">
        <v>10</v>
      </c>
      <c r="G389" t="s">
        <v>1274</v>
      </c>
      <c r="H389" t="s">
        <v>1279</v>
      </c>
      <c r="I389" t="s">
        <v>32</v>
      </c>
      <c r="J389">
        <v>0</v>
      </c>
      <c r="K389">
        <v>242</v>
      </c>
      <c r="L389" s="4">
        <v>3.5000000000000001E-3</v>
      </c>
      <c r="M389">
        <v>0.02</v>
      </c>
      <c r="N389" s="4">
        <v>0.84699999999999998</v>
      </c>
      <c r="O389" s="4">
        <v>4.84</v>
      </c>
    </row>
    <row r="390" spans="2:15">
      <c r="B390" t="s">
        <v>771</v>
      </c>
      <c r="C390" t="s">
        <v>50</v>
      </c>
      <c r="D390" t="s">
        <v>1274</v>
      </c>
      <c r="E390" t="s">
        <v>1280</v>
      </c>
      <c r="F390" t="s">
        <v>10</v>
      </c>
      <c r="G390" t="s">
        <v>1274</v>
      </c>
      <c r="H390" t="s">
        <v>1281</v>
      </c>
      <c r="I390" t="s">
        <v>32</v>
      </c>
      <c r="J390">
        <v>0</v>
      </c>
      <c r="K390">
        <v>521</v>
      </c>
      <c r="L390" s="4">
        <v>3.5000000000000001E-3</v>
      </c>
      <c r="M390">
        <v>0.02</v>
      </c>
      <c r="N390" s="4">
        <v>1.8235000000000001</v>
      </c>
      <c r="O390" s="4">
        <v>10.42</v>
      </c>
    </row>
    <row r="391" spans="2:15">
      <c r="B391" t="s">
        <v>771</v>
      </c>
      <c r="C391" t="s">
        <v>50</v>
      </c>
      <c r="D391" t="s">
        <v>1282</v>
      </c>
      <c r="E391" t="s">
        <v>1283</v>
      </c>
      <c r="F391" t="s">
        <v>10</v>
      </c>
      <c r="G391" t="s">
        <v>1282</v>
      </c>
      <c r="H391" t="s">
        <v>1284</v>
      </c>
      <c r="I391" t="s">
        <v>32</v>
      </c>
      <c r="J391">
        <v>0</v>
      </c>
      <c r="K391">
        <v>28</v>
      </c>
      <c r="L391" s="4">
        <v>3.5000000000000001E-3</v>
      </c>
      <c r="M391">
        <v>0.02</v>
      </c>
      <c r="N391" s="4">
        <v>9.8000000000000004E-2</v>
      </c>
      <c r="O391" s="4">
        <v>0.56000000000000005</v>
      </c>
    </row>
    <row r="392" spans="2:15">
      <c r="B392" t="s">
        <v>771</v>
      </c>
      <c r="C392" t="s">
        <v>50</v>
      </c>
      <c r="D392" t="s">
        <v>1282</v>
      </c>
      <c r="E392" t="s">
        <v>1285</v>
      </c>
      <c r="F392" t="s">
        <v>10</v>
      </c>
      <c r="G392" t="s">
        <v>1282</v>
      </c>
      <c r="H392" t="s">
        <v>1286</v>
      </c>
      <c r="I392" t="s">
        <v>32</v>
      </c>
      <c r="J392">
        <v>0</v>
      </c>
      <c r="K392">
        <v>55</v>
      </c>
      <c r="L392" s="4">
        <v>3.5000000000000001E-3</v>
      </c>
      <c r="M392">
        <v>0.02</v>
      </c>
      <c r="N392" s="4">
        <v>0.1925</v>
      </c>
      <c r="O392" s="4">
        <v>1.1000000000000001</v>
      </c>
    </row>
    <row r="393" spans="2:15">
      <c r="B393" t="s">
        <v>771</v>
      </c>
      <c r="C393" t="s">
        <v>50</v>
      </c>
      <c r="D393" t="s">
        <v>1282</v>
      </c>
      <c r="E393" t="s">
        <v>1287</v>
      </c>
      <c r="F393" t="s">
        <v>10</v>
      </c>
      <c r="G393" t="s">
        <v>1282</v>
      </c>
      <c r="H393" t="s">
        <v>1288</v>
      </c>
      <c r="I393" t="s">
        <v>32</v>
      </c>
      <c r="J393">
        <v>0</v>
      </c>
      <c r="K393">
        <v>2</v>
      </c>
      <c r="L393" s="4">
        <v>3.5000000000000001E-3</v>
      </c>
      <c r="M393">
        <v>0.02</v>
      </c>
      <c r="N393" s="4">
        <v>7.0000000000000001E-3</v>
      </c>
      <c r="O393" s="4">
        <v>0.04</v>
      </c>
    </row>
    <row r="394" spans="2:15">
      <c r="B394" t="s">
        <v>771</v>
      </c>
      <c r="C394" t="s">
        <v>50</v>
      </c>
      <c r="D394" t="s">
        <v>1289</v>
      </c>
      <c r="E394" t="s">
        <v>1290</v>
      </c>
      <c r="F394" t="s">
        <v>10</v>
      </c>
      <c r="G394" t="s">
        <v>1289</v>
      </c>
      <c r="H394" t="s">
        <v>1291</v>
      </c>
      <c r="I394" t="s">
        <v>32</v>
      </c>
      <c r="J394">
        <v>0</v>
      </c>
      <c r="K394">
        <v>22</v>
      </c>
      <c r="L394" s="4">
        <v>3.5000000000000001E-3</v>
      </c>
      <c r="M394">
        <v>0.02</v>
      </c>
      <c r="N394" s="4">
        <v>7.6999999999999999E-2</v>
      </c>
      <c r="O394" s="4">
        <v>0.44</v>
      </c>
    </row>
    <row r="395" spans="2:15">
      <c r="B395" t="s">
        <v>771</v>
      </c>
      <c r="C395" t="s">
        <v>50</v>
      </c>
      <c r="D395" t="s">
        <v>1289</v>
      </c>
      <c r="E395" t="s">
        <v>1292</v>
      </c>
      <c r="F395" t="s">
        <v>10</v>
      </c>
      <c r="G395" t="s">
        <v>1289</v>
      </c>
      <c r="H395" t="s">
        <v>1293</v>
      </c>
      <c r="I395" t="s">
        <v>32</v>
      </c>
      <c r="J395">
        <v>0</v>
      </c>
      <c r="K395">
        <v>45</v>
      </c>
      <c r="L395" s="4">
        <v>3.5000000000000001E-3</v>
      </c>
      <c r="M395">
        <v>0.02</v>
      </c>
      <c r="N395" s="4">
        <v>0.1575</v>
      </c>
      <c r="O395" s="4">
        <v>0.9</v>
      </c>
    </row>
    <row r="396" spans="2:15">
      <c r="B396" t="s">
        <v>771</v>
      </c>
      <c r="C396" t="s">
        <v>50</v>
      </c>
      <c r="D396" t="s">
        <v>1289</v>
      </c>
      <c r="E396" t="s">
        <v>1294</v>
      </c>
      <c r="F396" t="s">
        <v>10</v>
      </c>
      <c r="G396" t="s">
        <v>1289</v>
      </c>
      <c r="H396" t="s">
        <v>1295</v>
      </c>
      <c r="I396" t="s">
        <v>32</v>
      </c>
      <c r="J396">
        <v>0</v>
      </c>
      <c r="K396">
        <v>1</v>
      </c>
      <c r="L396" s="4">
        <v>3.5000000000000001E-3</v>
      </c>
      <c r="M396">
        <v>0.02</v>
      </c>
      <c r="N396" s="4">
        <v>3.5000000000000001E-3</v>
      </c>
      <c r="O396" s="4">
        <v>0.02</v>
      </c>
    </row>
    <row r="397" spans="2:15">
      <c r="B397" t="s">
        <v>771</v>
      </c>
      <c r="C397" t="s">
        <v>50</v>
      </c>
      <c r="D397" t="s">
        <v>1296</v>
      </c>
      <c r="E397" t="s">
        <v>1297</v>
      </c>
      <c r="F397" t="s">
        <v>10</v>
      </c>
      <c r="G397" t="s">
        <v>1296</v>
      </c>
      <c r="H397" t="s">
        <v>1298</v>
      </c>
      <c r="I397" t="s">
        <v>32</v>
      </c>
      <c r="J397">
        <v>0</v>
      </c>
      <c r="K397">
        <v>132</v>
      </c>
      <c r="L397" s="4">
        <v>3.5000000000000001E-3</v>
      </c>
      <c r="M397">
        <v>0.02</v>
      </c>
      <c r="N397" s="4">
        <v>0.46200000000000002</v>
      </c>
      <c r="O397" s="4">
        <v>2.64</v>
      </c>
    </row>
    <row r="398" spans="2:15">
      <c r="B398" t="s">
        <v>771</v>
      </c>
      <c r="C398" t="s">
        <v>50</v>
      </c>
      <c r="D398" t="s">
        <v>1299</v>
      </c>
      <c r="E398" t="s">
        <v>1300</v>
      </c>
      <c r="F398" t="s">
        <v>10</v>
      </c>
      <c r="G398" t="s">
        <v>1299</v>
      </c>
      <c r="H398" t="s">
        <v>1301</v>
      </c>
      <c r="I398" t="s">
        <v>32</v>
      </c>
      <c r="J398">
        <v>0</v>
      </c>
      <c r="K398">
        <v>32</v>
      </c>
      <c r="L398" s="4">
        <v>3.5000000000000001E-3</v>
      </c>
      <c r="M398">
        <v>0.02</v>
      </c>
      <c r="N398" s="4">
        <v>0.112</v>
      </c>
      <c r="O398" s="4">
        <v>0.64</v>
      </c>
    </row>
    <row r="399" spans="2:15">
      <c r="B399" t="s">
        <v>771</v>
      </c>
      <c r="C399" t="s">
        <v>50</v>
      </c>
      <c r="D399" t="s">
        <v>1299</v>
      </c>
      <c r="E399" t="s">
        <v>1302</v>
      </c>
      <c r="F399" t="s">
        <v>10</v>
      </c>
      <c r="G399" t="s">
        <v>1299</v>
      </c>
      <c r="H399" t="s">
        <v>1303</v>
      </c>
      <c r="I399" t="s">
        <v>32</v>
      </c>
      <c r="J399">
        <v>0</v>
      </c>
      <c r="K399">
        <v>64</v>
      </c>
      <c r="L399" s="4">
        <v>3.5000000000000001E-3</v>
      </c>
      <c r="M399">
        <v>0.02</v>
      </c>
      <c r="N399" s="4">
        <v>0.224</v>
      </c>
      <c r="O399" s="4">
        <v>1.28</v>
      </c>
    </row>
    <row r="400" spans="2:15">
      <c r="B400" t="s">
        <v>771</v>
      </c>
      <c r="C400" t="s">
        <v>50</v>
      </c>
      <c r="D400" t="s">
        <v>1304</v>
      </c>
      <c r="E400" t="s">
        <v>1305</v>
      </c>
      <c r="F400" t="s">
        <v>10</v>
      </c>
      <c r="G400" t="s">
        <v>1304</v>
      </c>
      <c r="H400" t="s">
        <v>1306</v>
      </c>
      <c r="I400" t="s">
        <v>32</v>
      </c>
      <c r="J400">
        <v>0</v>
      </c>
      <c r="K400">
        <v>34</v>
      </c>
      <c r="L400" s="4">
        <v>3.5000000000000001E-3</v>
      </c>
      <c r="M400">
        <v>0.02</v>
      </c>
      <c r="N400" s="4">
        <v>0.11900000000000001</v>
      </c>
      <c r="O400" s="4">
        <v>0.68</v>
      </c>
    </row>
    <row r="401" spans="2:15">
      <c r="B401" t="s">
        <v>771</v>
      </c>
      <c r="C401" t="s">
        <v>50</v>
      </c>
      <c r="D401" t="s">
        <v>1304</v>
      </c>
      <c r="E401" t="s">
        <v>1307</v>
      </c>
      <c r="F401" t="s">
        <v>10</v>
      </c>
      <c r="G401" t="s">
        <v>1304</v>
      </c>
      <c r="H401" t="s">
        <v>1308</v>
      </c>
      <c r="I401" t="s">
        <v>32</v>
      </c>
      <c r="J401">
        <v>0</v>
      </c>
      <c r="K401">
        <v>2</v>
      </c>
      <c r="L401" s="4">
        <v>3.5000000000000001E-3</v>
      </c>
      <c r="M401">
        <v>0.02</v>
      </c>
      <c r="N401" s="4">
        <v>7.0000000000000001E-3</v>
      </c>
      <c r="O401" s="4">
        <v>0.04</v>
      </c>
    </row>
    <row r="402" spans="2:15">
      <c r="B402" t="s">
        <v>771</v>
      </c>
      <c r="C402" t="s">
        <v>50</v>
      </c>
      <c r="D402" t="s">
        <v>1309</v>
      </c>
      <c r="E402" t="s">
        <v>1310</v>
      </c>
      <c r="F402" t="s">
        <v>10</v>
      </c>
      <c r="G402" t="s">
        <v>1309</v>
      </c>
      <c r="H402" t="s">
        <v>1311</v>
      </c>
      <c r="I402" t="s">
        <v>32</v>
      </c>
      <c r="J402">
        <v>0</v>
      </c>
      <c r="K402">
        <v>21</v>
      </c>
      <c r="L402" s="4">
        <v>3.5000000000000001E-3</v>
      </c>
      <c r="M402">
        <v>0.02</v>
      </c>
      <c r="N402" s="4">
        <v>7.3499999999999996E-2</v>
      </c>
      <c r="O402" s="4">
        <v>0.42</v>
      </c>
    </row>
    <row r="403" spans="2:15">
      <c r="B403" t="s">
        <v>771</v>
      </c>
      <c r="C403" t="s">
        <v>50</v>
      </c>
      <c r="D403" t="s">
        <v>1309</v>
      </c>
      <c r="E403" t="s">
        <v>1312</v>
      </c>
      <c r="F403" t="s">
        <v>10</v>
      </c>
      <c r="G403" t="s">
        <v>1309</v>
      </c>
      <c r="H403" t="s">
        <v>1313</v>
      </c>
      <c r="I403" t="s">
        <v>32</v>
      </c>
      <c r="J403">
        <v>0</v>
      </c>
      <c r="K403">
        <v>1</v>
      </c>
      <c r="L403" s="4">
        <v>3.5000000000000001E-3</v>
      </c>
      <c r="M403">
        <v>0.02</v>
      </c>
      <c r="N403" s="4">
        <v>3.5000000000000001E-3</v>
      </c>
      <c r="O403" s="4">
        <v>0.02</v>
      </c>
    </row>
    <row r="404" spans="2:15">
      <c r="B404" t="s">
        <v>771</v>
      </c>
      <c r="C404" t="s">
        <v>50</v>
      </c>
      <c r="D404" t="s">
        <v>1314</v>
      </c>
      <c r="E404" t="s">
        <v>1315</v>
      </c>
      <c r="F404" t="s">
        <v>10</v>
      </c>
      <c r="G404" t="s">
        <v>1314</v>
      </c>
      <c r="H404" t="s">
        <v>1316</v>
      </c>
      <c r="I404" t="s">
        <v>32</v>
      </c>
      <c r="J404">
        <v>0</v>
      </c>
      <c r="K404">
        <v>80</v>
      </c>
      <c r="L404" s="4">
        <v>3.5000000000000001E-3</v>
      </c>
      <c r="M404">
        <v>0.02</v>
      </c>
      <c r="N404" s="4">
        <v>0.28000000000000003</v>
      </c>
      <c r="O404" s="4">
        <v>1.6</v>
      </c>
    </row>
    <row r="405" spans="2:15">
      <c r="B405" t="s">
        <v>771</v>
      </c>
      <c r="C405" t="s">
        <v>50</v>
      </c>
      <c r="D405" t="s">
        <v>1317</v>
      </c>
      <c r="E405" t="s">
        <v>1318</v>
      </c>
      <c r="F405" t="s">
        <v>10</v>
      </c>
      <c r="G405" t="s">
        <v>1317</v>
      </c>
      <c r="H405" t="s">
        <v>1319</v>
      </c>
      <c r="I405" t="s">
        <v>32</v>
      </c>
      <c r="J405">
        <v>0</v>
      </c>
      <c r="K405">
        <v>102</v>
      </c>
      <c r="L405" s="4">
        <v>3.5000000000000001E-3</v>
      </c>
      <c r="M405">
        <v>0.02</v>
      </c>
      <c r="N405" s="4">
        <v>0.35699999999999998</v>
      </c>
      <c r="O405" s="4">
        <v>2.04</v>
      </c>
    </row>
    <row r="406" spans="2:15">
      <c r="B406" t="s">
        <v>771</v>
      </c>
      <c r="C406" t="s">
        <v>50</v>
      </c>
      <c r="D406" t="s">
        <v>1320</v>
      </c>
      <c r="E406" t="s">
        <v>1321</v>
      </c>
      <c r="F406" t="s">
        <v>10</v>
      </c>
      <c r="G406" t="s">
        <v>1320</v>
      </c>
      <c r="H406" t="s">
        <v>1322</v>
      </c>
      <c r="I406" t="s">
        <v>32</v>
      </c>
      <c r="J406">
        <v>0</v>
      </c>
      <c r="K406">
        <v>30</v>
      </c>
      <c r="L406" s="4">
        <v>3.5000000000000001E-3</v>
      </c>
      <c r="M406">
        <v>0.02</v>
      </c>
      <c r="N406" s="4">
        <v>0.105</v>
      </c>
      <c r="O406" s="4">
        <v>0.6</v>
      </c>
    </row>
    <row r="407" spans="2:15">
      <c r="B407" t="s">
        <v>771</v>
      </c>
      <c r="C407" t="s">
        <v>50</v>
      </c>
      <c r="D407" t="s">
        <v>1323</v>
      </c>
      <c r="E407" t="s">
        <v>1324</v>
      </c>
      <c r="F407" t="s">
        <v>10</v>
      </c>
      <c r="G407" t="s">
        <v>1323</v>
      </c>
      <c r="H407" t="s">
        <v>1325</v>
      </c>
      <c r="I407" t="s">
        <v>32</v>
      </c>
      <c r="J407">
        <v>0</v>
      </c>
      <c r="K407">
        <v>45</v>
      </c>
      <c r="L407" s="4">
        <v>3.5000000000000001E-3</v>
      </c>
      <c r="M407">
        <v>0.02</v>
      </c>
      <c r="N407" s="4">
        <v>0.1575</v>
      </c>
      <c r="O407" s="4">
        <v>0.9</v>
      </c>
    </row>
    <row r="408" spans="2:15">
      <c r="B408" t="s">
        <v>771</v>
      </c>
      <c r="C408" t="s">
        <v>50</v>
      </c>
      <c r="D408" t="s">
        <v>1326</v>
      </c>
      <c r="E408" t="s">
        <v>495</v>
      </c>
      <c r="F408" t="s">
        <v>10</v>
      </c>
      <c r="G408" t="s">
        <v>1326</v>
      </c>
      <c r="H408" t="s">
        <v>496</v>
      </c>
      <c r="I408" t="s">
        <v>32</v>
      </c>
      <c r="J408">
        <v>0</v>
      </c>
      <c r="K408">
        <v>5</v>
      </c>
      <c r="L408" s="4">
        <v>3.5000000000000001E-3</v>
      </c>
      <c r="M408">
        <v>0.02</v>
      </c>
      <c r="N408" s="4">
        <v>1.7500000000000002E-2</v>
      </c>
      <c r="O408" s="4">
        <v>0.1</v>
      </c>
    </row>
    <row r="409" spans="2:15">
      <c r="B409" t="s">
        <v>771</v>
      </c>
      <c r="C409" t="s">
        <v>50</v>
      </c>
      <c r="D409" t="s">
        <v>1327</v>
      </c>
      <c r="E409" t="s">
        <v>1328</v>
      </c>
      <c r="F409" t="s">
        <v>10</v>
      </c>
      <c r="G409" t="s">
        <v>1327</v>
      </c>
      <c r="H409" t="s">
        <v>1329</v>
      </c>
      <c r="I409" t="s">
        <v>32</v>
      </c>
      <c r="J409">
        <v>0</v>
      </c>
      <c r="K409">
        <v>195</v>
      </c>
      <c r="L409" s="4">
        <v>3.5000000000000001E-3</v>
      </c>
      <c r="M409">
        <v>0.02</v>
      </c>
      <c r="N409" s="4">
        <v>0.6825</v>
      </c>
      <c r="O409" s="4">
        <v>3.9</v>
      </c>
    </row>
    <row r="410" spans="2:15">
      <c r="B410" t="s">
        <v>771</v>
      </c>
      <c r="C410" t="s">
        <v>50</v>
      </c>
      <c r="D410" t="s">
        <v>1330</v>
      </c>
      <c r="E410" t="s">
        <v>1331</v>
      </c>
      <c r="F410" t="s">
        <v>10</v>
      </c>
      <c r="G410" t="s">
        <v>1330</v>
      </c>
      <c r="H410" t="s">
        <v>1332</v>
      </c>
      <c r="I410" t="s">
        <v>32</v>
      </c>
      <c r="J410">
        <v>0</v>
      </c>
      <c r="K410">
        <v>2</v>
      </c>
      <c r="L410" s="4">
        <v>3.5000000000000001E-3</v>
      </c>
      <c r="M410">
        <v>0.02</v>
      </c>
      <c r="N410" s="4">
        <v>7.0000000000000001E-3</v>
      </c>
      <c r="O410" s="4">
        <v>0.04</v>
      </c>
    </row>
    <row r="411" spans="2:15">
      <c r="B411" t="s">
        <v>771</v>
      </c>
      <c r="C411" t="s">
        <v>50</v>
      </c>
      <c r="D411" t="s">
        <v>1333</v>
      </c>
      <c r="E411" t="s">
        <v>1334</v>
      </c>
      <c r="F411" t="s">
        <v>10</v>
      </c>
      <c r="G411" t="s">
        <v>1333</v>
      </c>
      <c r="H411" t="s">
        <v>1335</v>
      </c>
      <c r="I411" t="s">
        <v>32</v>
      </c>
      <c r="J411">
        <v>0</v>
      </c>
      <c r="K411">
        <v>18</v>
      </c>
      <c r="L411" s="4">
        <v>3.5000000000000001E-3</v>
      </c>
      <c r="M411">
        <v>0.02</v>
      </c>
      <c r="N411" s="4">
        <v>6.3E-2</v>
      </c>
      <c r="O411" s="4">
        <v>0.36</v>
      </c>
    </row>
    <row r="412" spans="2:15">
      <c r="B412" t="s">
        <v>771</v>
      </c>
      <c r="C412" t="s">
        <v>50</v>
      </c>
      <c r="D412" t="s">
        <v>1336</v>
      </c>
      <c r="E412" t="s">
        <v>1337</v>
      </c>
      <c r="F412" t="s">
        <v>10</v>
      </c>
      <c r="G412" t="s">
        <v>1336</v>
      </c>
      <c r="H412" t="s">
        <v>1338</v>
      </c>
      <c r="I412" t="s">
        <v>32</v>
      </c>
      <c r="J412">
        <v>0</v>
      </c>
      <c r="K412">
        <v>14</v>
      </c>
      <c r="L412" s="4">
        <v>3.5000000000000001E-3</v>
      </c>
      <c r="M412">
        <v>0.02</v>
      </c>
      <c r="N412" s="4">
        <v>4.9000000000000002E-2</v>
      </c>
      <c r="O412" s="4">
        <v>0.28000000000000003</v>
      </c>
    </row>
    <row r="413" spans="2:15">
      <c r="B413" t="s">
        <v>771</v>
      </c>
      <c r="C413" t="s">
        <v>50</v>
      </c>
      <c r="D413" t="s">
        <v>1339</v>
      </c>
      <c r="E413" t="s">
        <v>1340</v>
      </c>
      <c r="F413" t="s">
        <v>10</v>
      </c>
      <c r="G413" t="s">
        <v>1339</v>
      </c>
      <c r="H413" t="s">
        <v>1341</v>
      </c>
      <c r="I413" t="s">
        <v>32</v>
      </c>
      <c r="J413">
        <v>0</v>
      </c>
      <c r="K413">
        <v>14</v>
      </c>
      <c r="L413" s="4">
        <v>3.5000000000000001E-3</v>
      </c>
      <c r="M413">
        <v>0.02</v>
      </c>
      <c r="N413" s="4">
        <v>4.9000000000000002E-2</v>
      </c>
      <c r="O413" s="4">
        <v>0.28000000000000003</v>
      </c>
    </row>
    <row r="414" spans="2:15">
      <c r="B414" t="s">
        <v>771</v>
      </c>
      <c r="C414" t="s">
        <v>50</v>
      </c>
      <c r="D414" t="s">
        <v>1342</v>
      </c>
      <c r="E414" t="s">
        <v>1343</v>
      </c>
      <c r="F414" t="s">
        <v>10</v>
      </c>
      <c r="G414" t="s">
        <v>1342</v>
      </c>
      <c r="H414" t="s">
        <v>1344</v>
      </c>
      <c r="I414" t="s">
        <v>32</v>
      </c>
      <c r="J414">
        <v>0</v>
      </c>
      <c r="K414">
        <v>26</v>
      </c>
      <c r="L414" s="4">
        <v>3.5000000000000001E-3</v>
      </c>
      <c r="M414">
        <v>0.02</v>
      </c>
      <c r="N414" s="4">
        <v>9.0999999999999998E-2</v>
      </c>
      <c r="O414" s="4">
        <v>0.52</v>
      </c>
    </row>
    <row r="415" spans="2:15">
      <c r="B415" t="s">
        <v>771</v>
      </c>
      <c r="C415" t="s">
        <v>50</v>
      </c>
      <c r="D415" t="s">
        <v>1345</v>
      </c>
      <c r="E415" t="s">
        <v>1346</v>
      </c>
      <c r="F415" t="s">
        <v>10</v>
      </c>
      <c r="G415" t="s">
        <v>1345</v>
      </c>
      <c r="H415" t="s">
        <v>1347</v>
      </c>
      <c r="I415" t="s">
        <v>32</v>
      </c>
      <c r="J415">
        <v>0</v>
      </c>
      <c r="K415">
        <v>73</v>
      </c>
      <c r="L415" s="4">
        <v>3.5000000000000001E-3</v>
      </c>
      <c r="M415">
        <v>0.02</v>
      </c>
      <c r="N415" s="4">
        <v>0.2555</v>
      </c>
      <c r="O415" s="4">
        <v>1.46</v>
      </c>
    </row>
    <row r="416" spans="2:15">
      <c r="B416" t="s">
        <v>771</v>
      </c>
      <c r="C416" t="s">
        <v>50</v>
      </c>
      <c r="D416" t="s">
        <v>1345</v>
      </c>
      <c r="E416" t="s">
        <v>1348</v>
      </c>
      <c r="F416" t="s">
        <v>10</v>
      </c>
      <c r="G416" t="s">
        <v>1345</v>
      </c>
      <c r="H416" t="s">
        <v>1349</v>
      </c>
      <c r="I416" t="s">
        <v>32</v>
      </c>
      <c r="J416">
        <v>0</v>
      </c>
      <c r="K416">
        <v>3</v>
      </c>
      <c r="L416" s="4">
        <v>3.5000000000000001E-3</v>
      </c>
      <c r="M416">
        <v>0.02</v>
      </c>
      <c r="N416" s="4">
        <v>1.0500000000000001E-2</v>
      </c>
      <c r="O416" s="4">
        <v>0.06</v>
      </c>
    </row>
    <row r="417" spans="2:15">
      <c r="B417" t="s">
        <v>771</v>
      </c>
      <c r="C417" t="s">
        <v>50</v>
      </c>
      <c r="D417" t="s">
        <v>1350</v>
      </c>
      <c r="E417" t="s">
        <v>1351</v>
      </c>
      <c r="F417" t="s">
        <v>10</v>
      </c>
      <c r="G417" t="s">
        <v>1350</v>
      </c>
      <c r="H417" t="s">
        <v>1352</v>
      </c>
      <c r="I417" t="s">
        <v>32</v>
      </c>
      <c r="J417">
        <v>0</v>
      </c>
      <c r="K417">
        <v>40</v>
      </c>
      <c r="L417" s="4">
        <v>3.5000000000000001E-3</v>
      </c>
      <c r="M417">
        <v>0.02</v>
      </c>
      <c r="N417" s="4">
        <v>0.14000000000000001</v>
      </c>
      <c r="O417" s="4">
        <v>0.8</v>
      </c>
    </row>
    <row r="418" spans="2:15">
      <c r="B418" t="s">
        <v>771</v>
      </c>
      <c r="C418" t="s">
        <v>50</v>
      </c>
      <c r="D418" t="s">
        <v>1350</v>
      </c>
      <c r="E418" t="s">
        <v>1353</v>
      </c>
      <c r="F418" t="s">
        <v>10</v>
      </c>
      <c r="G418" t="s">
        <v>1350</v>
      </c>
      <c r="H418" t="s">
        <v>1354</v>
      </c>
      <c r="I418" t="s">
        <v>32</v>
      </c>
      <c r="J418">
        <v>0</v>
      </c>
      <c r="K418">
        <v>1</v>
      </c>
      <c r="L418" s="4">
        <v>3.5000000000000001E-3</v>
      </c>
      <c r="M418">
        <v>0.02</v>
      </c>
      <c r="N418" s="4">
        <v>3.5000000000000001E-3</v>
      </c>
      <c r="O418" s="4">
        <v>0.02</v>
      </c>
    </row>
    <row r="419" spans="2:15">
      <c r="B419" t="s">
        <v>771</v>
      </c>
      <c r="C419" t="s">
        <v>50</v>
      </c>
      <c r="D419" t="s">
        <v>1355</v>
      </c>
      <c r="E419" t="s">
        <v>1356</v>
      </c>
      <c r="F419" t="s">
        <v>10</v>
      </c>
      <c r="G419" t="s">
        <v>1357</v>
      </c>
      <c r="H419" t="s">
        <v>1358</v>
      </c>
      <c r="I419" t="s">
        <v>32</v>
      </c>
      <c r="J419">
        <v>0</v>
      </c>
      <c r="K419">
        <v>29</v>
      </c>
      <c r="L419" s="4">
        <v>3.5000000000000001E-3</v>
      </c>
      <c r="M419">
        <v>0.02</v>
      </c>
      <c r="N419" s="4">
        <v>0.10150000000000001</v>
      </c>
      <c r="O419" s="4">
        <v>0.57999999999999996</v>
      </c>
    </row>
    <row r="420" spans="2:15">
      <c r="B420" t="s">
        <v>771</v>
      </c>
      <c r="C420" t="s">
        <v>50</v>
      </c>
      <c r="D420" t="s">
        <v>1355</v>
      </c>
      <c r="E420" t="s">
        <v>1359</v>
      </c>
      <c r="F420" t="s">
        <v>10</v>
      </c>
      <c r="G420" t="s">
        <v>1355</v>
      </c>
      <c r="H420" t="s">
        <v>1360</v>
      </c>
      <c r="I420" t="s">
        <v>32</v>
      </c>
      <c r="J420">
        <v>0</v>
      </c>
      <c r="K420">
        <v>63</v>
      </c>
      <c r="L420" s="4">
        <v>3.5000000000000001E-3</v>
      </c>
      <c r="M420">
        <v>0.02</v>
      </c>
      <c r="N420" s="4">
        <v>0.2205</v>
      </c>
      <c r="O420" s="4">
        <v>1.26</v>
      </c>
    </row>
    <row r="421" spans="2:15">
      <c r="B421" t="s">
        <v>771</v>
      </c>
      <c r="C421" t="s">
        <v>50</v>
      </c>
      <c r="D421" t="s">
        <v>1355</v>
      </c>
      <c r="E421" t="s">
        <v>1361</v>
      </c>
      <c r="F421" t="s">
        <v>10</v>
      </c>
      <c r="G421" t="s">
        <v>1355</v>
      </c>
      <c r="H421" t="s">
        <v>1362</v>
      </c>
      <c r="I421" t="s">
        <v>32</v>
      </c>
      <c r="J421">
        <v>0</v>
      </c>
      <c r="K421">
        <v>15</v>
      </c>
      <c r="L421" s="4">
        <v>3.5000000000000001E-3</v>
      </c>
      <c r="M421">
        <v>0.02</v>
      </c>
      <c r="N421" s="4">
        <v>5.2499999999999998E-2</v>
      </c>
      <c r="O421" s="4">
        <v>0.3</v>
      </c>
    </row>
    <row r="422" spans="2:15">
      <c r="B422" t="s">
        <v>771</v>
      </c>
      <c r="C422" t="s">
        <v>50</v>
      </c>
      <c r="D422" t="s">
        <v>1357</v>
      </c>
      <c r="E422" t="s">
        <v>1363</v>
      </c>
      <c r="F422" t="s">
        <v>10</v>
      </c>
      <c r="G422" t="s">
        <v>1357</v>
      </c>
      <c r="H422" t="s">
        <v>1364</v>
      </c>
      <c r="I422" t="s">
        <v>32</v>
      </c>
      <c r="J422">
        <v>0</v>
      </c>
      <c r="K422">
        <v>1</v>
      </c>
      <c r="L422" s="4">
        <v>3.5000000000000001E-3</v>
      </c>
      <c r="M422">
        <v>0.02</v>
      </c>
      <c r="N422" s="4">
        <v>3.5000000000000001E-3</v>
      </c>
      <c r="O422" s="4">
        <v>0.02</v>
      </c>
    </row>
    <row r="423" spans="2:15">
      <c r="B423" t="s">
        <v>771</v>
      </c>
      <c r="C423" t="s">
        <v>50</v>
      </c>
      <c r="D423" t="s">
        <v>1365</v>
      </c>
      <c r="E423" t="s">
        <v>1366</v>
      </c>
      <c r="F423" t="s">
        <v>10</v>
      </c>
      <c r="G423" t="s">
        <v>1365</v>
      </c>
      <c r="H423" t="s">
        <v>1367</v>
      </c>
      <c r="I423" t="s">
        <v>32</v>
      </c>
      <c r="J423">
        <v>0</v>
      </c>
      <c r="K423">
        <v>21</v>
      </c>
      <c r="L423" s="4">
        <v>3.5000000000000001E-3</v>
      </c>
      <c r="M423">
        <v>0.02</v>
      </c>
      <c r="N423" s="4">
        <v>7.3499999999999996E-2</v>
      </c>
      <c r="O423" s="4">
        <v>0.42</v>
      </c>
    </row>
    <row r="424" spans="2:15">
      <c r="B424" t="s">
        <v>771</v>
      </c>
      <c r="C424" t="s">
        <v>50</v>
      </c>
      <c r="D424" t="s">
        <v>1365</v>
      </c>
      <c r="E424" t="s">
        <v>1368</v>
      </c>
      <c r="F424" t="s">
        <v>10</v>
      </c>
      <c r="G424" t="s">
        <v>1365</v>
      </c>
      <c r="H424" t="s">
        <v>1369</v>
      </c>
      <c r="I424" t="s">
        <v>32</v>
      </c>
      <c r="J424">
        <v>0</v>
      </c>
      <c r="K424">
        <v>49</v>
      </c>
      <c r="L424" s="4">
        <v>3.5000000000000001E-3</v>
      </c>
      <c r="M424">
        <v>0.02</v>
      </c>
      <c r="N424" s="4">
        <v>0.17150000000000001</v>
      </c>
      <c r="O424" s="4">
        <v>0.98</v>
      </c>
    </row>
    <row r="425" spans="2:15">
      <c r="B425" t="s">
        <v>771</v>
      </c>
      <c r="C425" t="s">
        <v>50</v>
      </c>
      <c r="D425" t="s">
        <v>1370</v>
      </c>
      <c r="E425" t="s">
        <v>1371</v>
      </c>
      <c r="F425" t="s">
        <v>10</v>
      </c>
      <c r="G425" t="s">
        <v>1370</v>
      </c>
      <c r="H425" t="s">
        <v>1372</v>
      </c>
      <c r="I425" t="s">
        <v>32</v>
      </c>
      <c r="J425">
        <v>0</v>
      </c>
      <c r="K425">
        <v>190</v>
      </c>
      <c r="L425" s="4">
        <v>3.5000000000000001E-3</v>
      </c>
      <c r="M425">
        <v>0.02</v>
      </c>
      <c r="N425" s="4">
        <v>0.66500000000000004</v>
      </c>
      <c r="O425" s="4">
        <v>3.8000000000000003</v>
      </c>
    </row>
    <row r="426" spans="2:15">
      <c r="B426" t="s">
        <v>771</v>
      </c>
      <c r="C426" t="s">
        <v>50</v>
      </c>
      <c r="D426" t="s">
        <v>1370</v>
      </c>
      <c r="E426" t="s">
        <v>1373</v>
      </c>
      <c r="F426" t="s">
        <v>10</v>
      </c>
      <c r="G426" t="s">
        <v>1370</v>
      </c>
      <c r="H426" t="s">
        <v>1374</v>
      </c>
      <c r="I426" t="s">
        <v>32</v>
      </c>
      <c r="J426">
        <v>0</v>
      </c>
      <c r="K426">
        <v>93</v>
      </c>
      <c r="L426" s="4">
        <v>3.5000000000000001E-3</v>
      </c>
      <c r="M426">
        <v>0.02</v>
      </c>
      <c r="N426" s="4">
        <v>0.32550000000000001</v>
      </c>
      <c r="O426" s="4">
        <v>1.86</v>
      </c>
    </row>
    <row r="427" spans="2:15">
      <c r="B427" t="s">
        <v>771</v>
      </c>
      <c r="C427" t="s">
        <v>50</v>
      </c>
      <c r="D427" t="s">
        <v>1375</v>
      </c>
      <c r="E427" t="s">
        <v>1376</v>
      </c>
      <c r="F427" t="s">
        <v>10</v>
      </c>
      <c r="G427" t="s">
        <v>1375</v>
      </c>
      <c r="H427" t="s">
        <v>1377</v>
      </c>
      <c r="I427" t="s">
        <v>32</v>
      </c>
      <c r="J427">
        <v>0</v>
      </c>
      <c r="K427">
        <v>140</v>
      </c>
      <c r="L427" s="4">
        <v>3.5000000000000001E-3</v>
      </c>
      <c r="M427">
        <v>0.02</v>
      </c>
      <c r="N427" s="4">
        <v>0.49</v>
      </c>
      <c r="O427" s="4">
        <v>2.8000000000000003</v>
      </c>
    </row>
    <row r="428" spans="2:15">
      <c r="B428" t="s">
        <v>771</v>
      </c>
      <c r="C428" t="s">
        <v>50</v>
      </c>
      <c r="D428" t="s">
        <v>1378</v>
      </c>
      <c r="E428" t="s">
        <v>1379</v>
      </c>
      <c r="F428" t="s">
        <v>10</v>
      </c>
      <c r="G428" t="s">
        <v>1378</v>
      </c>
      <c r="H428" t="s">
        <v>1380</v>
      </c>
      <c r="I428" t="s">
        <v>32</v>
      </c>
      <c r="J428">
        <v>0</v>
      </c>
      <c r="K428">
        <v>44</v>
      </c>
      <c r="L428" s="4">
        <v>3.5000000000000001E-3</v>
      </c>
      <c r="M428">
        <v>0.02</v>
      </c>
      <c r="N428" s="4">
        <v>0.154</v>
      </c>
      <c r="O428" s="4">
        <v>0.88</v>
      </c>
    </row>
    <row r="429" spans="2:15">
      <c r="B429" t="s">
        <v>771</v>
      </c>
      <c r="C429" t="s">
        <v>50</v>
      </c>
      <c r="D429" t="s">
        <v>1378</v>
      </c>
      <c r="E429" t="s">
        <v>1381</v>
      </c>
      <c r="F429" t="s">
        <v>10</v>
      </c>
      <c r="G429" t="s">
        <v>1378</v>
      </c>
      <c r="H429" t="s">
        <v>1382</v>
      </c>
      <c r="I429" t="s">
        <v>32</v>
      </c>
      <c r="J429">
        <v>0</v>
      </c>
      <c r="K429">
        <v>2</v>
      </c>
      <c r="L429" s="4">
        <v>3.5000000000000001E-3</v>
      </c>
      <c r="M429">
        <v>0.02</v>
      </c>
      <c r="N429" s="4">
        <v>7.0000000000000001E-3</v>
      </c>
      <c r="O429" s="4">
        <v>0.04</v>
      </c>
    </row>
    <row r="430" spans="2:15">
      <c r="B430" t="s">
        <v>771</v>
      </c>
      <c r="C430" t="s">
        <v>50</v>
      </c>
      <c r="D430" t="s">
        <v>1383</v>
      </c>
      <c r="E430" t="s">
        <v>1384</v>
      </c>
      <c r="F430" t="s">
        <v>10</v>
      </c>
      <c r="G430" t="s">
        <v>1383</v>
      </c>
      <c r="H430" t="s">
        <v>1385</v>
      </c>
      <c r="I430" t="s">
        <v>32</v>
      </c>
      <c r="J430">
        <v>0</v>
      </c>
      <c r="K430">
        <v>32</v>
      </c>
      <c r="L430" s="4">
        <v>3.5000000000000001E-3</v>
      </c>
      <c r="M430">
        <v>0.02</v>
      </c>
      <c r="N430" s="4">
        <v>0.112</v>
      </c>
      <c r="O430" s="4">
        <v>0.64</v>
      </c>
    </row>
    <row r="431" spans="2:15">
      <c r="B431" t="s">
        <v>771</v>
      </c>
      <c r="C431" t="s">
        <v>50</v>
      </c>
      <c r="D431" t="s">
        <v>1386</v>
      </c>
      <c r="E431" t="s">
        <v>1387</v>
      </c>
      <c r="F431" t="s">
        <v>10</v>
      </c>
      <c r="G431" t="s">
        <v>1386</v>
      </c>
      <c r="H431" t="s">
        <v>1388</v>
      </c>
      <c r="I431" t="s">
        <v>32</v>
      </c>
      <c r="J431">
        <v>0</v>
      </c>
      <c r="K431">
        <v>9</v>
      </c>
      <c r="L431" s="4">
        <v>3.5000000000000001E-3</v>
      </c>
      <c r="M431">
        <v>0.02</v>
      </c>
      <c r="N431" s="4">
        <v>3.15E-2</v>
      </c>
      <c r="O431" s="4">
        <v>0.18</v>
      </c>
    </row>
    <row r="432" spans="2:15">
      <c r="B432" t="s">
        <v>771</v>
      </c>
      <c r="C432" t="s">
        <v>50</v>
      </c>
      <c r="D432" t="s">
        <v>1389</v>
      </c>
      <c r="E432" t="s">
        <v>1390</v>
      </c>
      <c r="F432" t="s">
        <v>10</v>
      </c>
      <c r="G432" t="s">
        <v>1389</v>
      </c>
      <c r="H432" t="s">
        <v>1391</v>
      </c>
      <c r="I432" t="s">
        <v>32</v>
      </c>
      <c r="J432">
        <v>0</v>
      </c>
      <c r="K432">
        <v>1</v>
      </c>
      <c r="L432" s="4">
        <v>3.5000000000000001E-3</v>
      </c>
      <c r="M432">
        <v>0.02</v>
      </c>
      <c r="N432" s="4">
        <v>3.5000000000000001E-3</v>
      </c>
      <c r="O432" s="4">
        <v>0.02</v>
      </c>
    </row>
    <row r="433" spans="2:15">
      <c r="B433" t="s">
        <v>771</v>
      </c>
      <c r="C433" t="s">
        <v>50</v>
      </c>
      <c r="D433" t="s">
        <v>1392</v>
      </c>
      <c r="E433" t="s">
        <v>1393</v>
      </c>
      <c r="F433" t="s">
        <v>10</v>
      </c>
      <c r="G433" t="s">
        <v>1392</v>
      </c>
      <c r="H433" t="s">
        <v>1394</v>
      </c>
      <c r="I433" t="s">
        <v>32</v>
      </c>
      <c r="J433">
        <v>0</v>
      </c>
      <c r="K433">
        <v>13</v>
      </c>
      <c r="L433" s="4">
        <v>3.5000000000000001E-3</v>
      </c>
      <c r="M433">
        <v>0.02</v>
      </c>
      <c r="N433" s="4">
        <v>4.5499999999999999E-2</v>
      </c>
      <c r="O433" s="4">
        <v>0.26</v>
      </c>
    </row>
    <row r="434" spans="2:15">
      <c r="B434" t="s">
        <v>771</v>
      </c>
      <c r="C434" t="s">
        <v>50</v>
      </c>
      <c r="D434" t="s">
        <v>1395</v>
      </c>
      <c r="E434" t="s">
        <v>1396</v>
      </c>
      <c r="F434" t="s">
        <v>10</v>
      </c>
      <c r="G434" t="s">
        <v>1395</v>
      </c>
      <c r="H434" t="s">
        <v>1397</v>
      </c>
      <c r="I434" t="s">
        <v>32</v>
      </c>
      <c r="J434">
        <v>0</v>
      </c>
      <c r="K434">
        <v>10</v>
      </c>
      <c r="L434" s="4">
        <v>3.5000000000000001E-3</v>
      </c>
      <c r="M434">
        <v>0.02</v>
      </c>
      <c r="N434" s="4">
        <v>3.5000000000000003E-2</v>
      </c>
      <c r="O434" s="4">
        <v>0.2</v>
      </c>
    </row>
    <row r="435" spans="2:15">
      <c r="B435" t="s">
        <v>771</v>
      </c>
      <c r="C435" t="s">
        <v>50</v>
      </c>
      <c r="D435" t="s">
        <v>1395</v>
      </c>
      <c r="E435" t="s">
        <v>1398</v>
      </c>
      <c r="F435" t="s">
        <v>10</v>
      </c>
      <c r="G435" t="s">
        <v>1395</v>
      </c>
      <c r="H435" t="s">
        <v>1399</v>
      </c>
      <c r="I435" t="s">
        <v>32</v>
      </c>
      <c r="J435">
        <v>0</v>
      </c>
      <c r="K435">
        <v>2</v>
      </c>
      <c r="L435" s="4">
        <v>3.5000000000000001E-3</v>
      </c>
      <c r="M435">
        <v>0.02</v>
      </c>
      <c r="N435" s="4">
        <v>7.0000000000000001E-3</v>
      </c>
      <c r="O435" s="4">
        <v>0.04</v>
      </c>
    </row>
    <row r="436" spans="2:15">
      <c r="B436" t="s">
        <v>771</v>
      </c>
      <c r="C436" t="s">
        <v>50</v>
      </c>
      <c r="D436" t="s">
        <v>1400</v>
      </c>
      <c r="E436" t="s">
        <v>1401</v>
      </c>
      <c r="F436" t="s">
        <v>10</v>
      </c>
      <c r="G436" t="s">
        <v>1389</v>
      </c>
      <c r="H436" t="s">
        <v>1402</v>
      </c>
      <c r="I436" t="s">
        <v>32</v>
      </c>
      <c r="J436">
        <v>0</v>
      </c>
      <c r="K436">
        <v>14</v>
      </c>
      <c r="L436" s="4">
        <v>3.5000000000000001E-3</v>
      </c>
      <c r="M436">
        <v>0.02</v>
      </c>
      <c r="N436" s="4">
        <v>4.9000000000000002E-2</v>
      </c>
      <c r="O436" s="4">
        <v>0.28000000000000003</v>
      </c>
    </row>
    <row r="437" spans="2:15">
      <c r="B437" t="s">
        <v>771</v>
      </c>
      <c r="C437" t="s">
        <v>50</v>
      </c>
      <c r="D437" t="s">
        <v>1403</v>
      </c>
      <c r="E437" t="s">
        <v>1404</v>
      </c>
      <c r="F437" t="s">
        <v>10</v>
      </c>
      <c r="G437" t="s">
        <v>1403</v>
      </c>
      <c r="H437" t="s">
        <v>1405</v>
      </c>
      <c r="I437" t="s">
        <v>32</v>
      </c>
      <c r="J437">
        <v>0</v>
      </c>
      <c r="K437">
        <v>14</v>
      </c>
      <c r="L437" s="4">
        <v>3.5000000000000001E-3</v>
      </c>
      <c r="M437">
        <v>0.02</v>
      </c>
      <c r="N437" s="4">
        <v>4.9000000000000002E-2</v>
      </c>
      <c r="O437" s="4">
        <v>0.28000000000000003</v>
      </c>
    </row>
    <row r="438" spans="2:15">
      <c r="B438" t="s">
        <v>771</v>
      </c>
      <c r="C438" t="s">
        <v>50</v>
      </c>
      <c r="D438" t="s">
        <v>1403</v>
      </c>
      <c r="E438" t="s">
        <v>1406</v>
      </c>
      <c r="F438" t="s">
        <v>10</v>
      </c>
      <c r="G438" t="s">
        <v>1403</v>
      </c>
      <c r="H438" t="s">
        <v>1407</v>
      </c>
      <c r="I438" t="s">
        <v>32</v>
      </c>
      <c r="J438">
        <v>0</v>
      </c>
      <c r="K438">
        <v>1</v>
      </c>
      <c r="L438" s="4">
        <v>3.5000000000000001E-3</v>
      </c>
      <c r="M438">
        <v>0.02</v>
      </c>
      <c r="N438" s="4">
        <v>3.5000000000000001E-3</v>
      </c>
      <c r="O438" s="4">
        <v>0.02</v>
      </c>
    </row>
    <row r="439" spans="2:15">
      <c r="B439" t="s">
        <v>771</v>
      </c>
      <c r="C439" t="s">
        <v>50</v>
      </c>
      <c r="D439" t="s">
        <v>1408</v>
      </c>
      <c r="E439" t="s">
        <v>1409</v>
      </c>
      <c r="F439" t="s">
        <v>10</v>
      </c>
      <c r="G439" t="s">
        <v>1408</v>
      </c>
      <c r="H439" t="s">
        <v>1410</v>
      </c>
      <c r="I439" t="s">
        <v>32</v>
      </c>
      <c r="J439">
        <v>0</v>
      </c>
      <c r="K439">
        <v>100</v>
      </c>
      <c r="L439" s="4">
        <v>3.5000000000000001E-3</v>
      </c>
      <c r="M439">
        <v>0.02</v>
      </c>
      <c r="N439" s="4">
        <v>0.35000000000000003</v>
      </c>
      <c r="O439" s="4">
        <v>2</v>
      </c>
    </row>
    <row r="440" spans="2:15">
      <c r="B440" t="s">
        <v>771</v>
      </c>
      <c r="C440" t="s">
        <v>50</v>
      </c>
      <c r="D440" t="s">
        <v>1408</v>
      </c>
      <c r="E440" t="s">
        <v>1411</v>
      </c>
      <c r="F440" t="s">
        <v>10</v>
      </c>
      <c r="G440" t="s">
        <v>1408</v>
      </c>
      <c r="H440" t="s">
        <v>1412</v>
      </c>
      <c r="I440" t="s">
        <v>32</v>
      </c>
      <c r="J440">
        <v>0</v>
      </c>
      <c r="K440">
        <v>1</v>
      </c>
      <c r="L440" s="4">
        <v>3.5000000000000001E-3</v>
      </c>
      <c r="M440">
        <v>0.02</v>
      </c>
      <c r="N440" s="4">
        <v>3.5000000000000001E-3</v>
      </c>
      <c r="O440" s="4">
        <v>0.02</v>
      </c>
    </row>
    <row r="441" spans="2:15">
      <c r="B441" t="s">
        <v>771</v>
      </c>
      <c r="C441" t="s">
        <v>50</v>
      </c>
      <c r="D441" t="s">
        <v>1413</v>
      </c>
      <c r="E441" t="s">
        <v>1414</v>
      </c>
      <c r="F441" t="s">
        <v>10</v>
      </c>
      <c r="G441" t="s">
        <v>1413</v>
      </c>
      <c r="H441" t="s">
        <v>1415</v>
      </c>
      <c r="I441" t="s">
        <v>32</v>
      </c>
      <c r="J441">
        <v>0</v>
      </c>
      <c r="K441">
        <v>1</v>
      </c>
      <c r="L441" s="4">
        <v>3.5000000000000001E-3</v>
      </c>
      <c r="M441">
        <v>0.02</v>
      </c>
      <c r="N441" s="4">
        <v>3.5000000000000001E-3</v>
      </c>
      <c r="O441" s="4">
        <v>0.02</v>
      </c>
    </row>
    <row r="442" spans="2:15">
      <c r="B442" t="s">
        <v>771</v>
      </c>
      <c r="C442" t="s">
        <v>50</v>
      </c>
      <c r="D442" t="s">
        <v>1416</v>
      </c>
      <c r="E442" t="s">
        <v>1417</v>
      </c>
      <c r="F442" t="s">
        <v>10</v>
      </c>
      <c r="G442" t="s">
        <v>1416</v>
      </c>
      <c r="H442" t="s">
        <v>1418</v>
      </c>
      <c r="I442" t="s">
        <v>32</v>
      </c>
      <c r="J442">
        <v>0</v>
      </c>
      <c r="K442">
        <v>20</v>
      </c>
      <c r="L442" s="4">
        <v>3.5000000000000001E-3</v>
      </c>
      <c r="M442">
        <v>0.02</v>
      </c>
      <c r="N442" s="4">
        <v>7.0000000000000007E-2</v>
      </c>
      <c r="O442" s="4">
        <v>0.4</v>
      </c>
    </row>
    <row r="443" spans="2:15">
      <c r="B443" t="s">
        <v>771</v>
      </c>
      <c r="C443" t="s">
        <v>50</v>
      </c>
      <c r="D443" t="s">
        <v>1416</v>
      </c>
      <c r="E443" t="s">
        <v>1419</v>
      </c>
      <c r="F443" t="s">
        <v>10</v>
      </c>
      <c r="G443" t="s">
        <v>1416</v>
      </c>
      <c r="H443" t="s">
        <v>1420</v>
      </c>
      <c r="I443" t="s">
        <v>32</v>
      </c>
      <c r="J443">
        <v>0</v>
      </c>
      <c r="K443">
        <v>2</v>
      </c>
      <c r="L443" s="4">
        <v>3.5000000000000001E-3</v>
      </c>
      <c r="M443">
        <v>0.02</v>
      </c>
      <c r="N443" s="4">
        <v>7.0000000000000001E-3</v>
      </c>
      <c r="O443" s="4">
        <v>0.04</v>
      </c>
    </row>
    <row r="444" spans="2:15">
      <c r="B444" t="s">
        <v>771</v>
      </c>
      <c r="C444" t="s">
        <v>50</v>
      </c>
      <c r="D444" t="s">
        <v>1421</v>
      </c>
      <c r="E444" t="s">
        <v>1422</v>
      </c>
      <c r="F444" t="s">
        <v>10</v>
      </c>
      <c r="G444" t="s">
        <v>1421</v>
      </c>
      <c r="H444" t="s">
        <v>1423</v>
      </c>
      <c r="I444" t="s">
        <v>32</v>
      </c>
      <c r="J444">
        <v>0</v>
      </c>
      <c r="K444">
        <v>22</v>
      </c>
      <c r="L444" s="4">
        <v>3.5000000000000001E-3</v>
      </c>
      <c r="M444">
        <v>0.02</v>
      </c>
      <c r="N444" s="4">
        <v>7.6999999999999999E-2</v>
      </c>
      <c r="O444" s="4">
        <v>0.44</v>
      </c>
    </row>
    <row r="445" spans="2:15">
      <c r="B445" t="s">
        <v>771</v>
      </c>
      <c r="C445" t="s">
        <v>50</v>
      </c>
      <c r="D445" t="s">
        <v>1421</v>
      </c>
      <c r="E445" t="s">
        <v>1424</v>
      </c>
      <c r="F445" t="s">
        <v>10</v>
      </c>
      <c r="G445" t="s">
        <v>1421</v>
      </c>
      <c r="H445" t="s">
        <v>1425</v>
      </c>
      <c r="I445" t="s">
        <v>32</v>
      </c>
      <c r="J445">
        <v>0</v>
      </c>
      <c r="K445">
        <v>2</v>
      </c>
      <c r="L445" s="4">
        <v>3.5000000000000001E-3</v>
      </c>
      <c r="M445">
        <v>0.02</v>
      </c>
      <c r="N445" s="4">
        <v>7.0000000000000001E-3</v>
      </c>
      <c r="O445" s="4">
        <v>0.04</v>
      </c>
    </row>
    <row r="446" spans="2:15">
      <c r="B446" t="s">
        <v>771</v>
      </c>
      <c r="C446" t="s">
        <v>50</v>
      </c>
      <c r="D446" t="s">
        <v>1426</v>
      </c>
      <c r="E446" t="s">
        <v>1427</v>
      </c>
      <c r="F446" t="s">
        <v>10</v>
      </c>
      <c r="G446" t="s">
        <v>1426</v>
      </c>
      <c r="H446" t="s">
        <v>1428</v>
      </c>
      <c r="I446" t="s">
        <v>32</v>
      </c>
      <c r="J446">
        <v>0</v>
      </c>
      <c r="K446">
        <v>65</v>
      </c>
      <c r="L446" s="4">
        <v>3.5000000000000001E-3</v>
      </c>
      <c r="M446">
        <v>0.02</v>
      </c>
      <c r="N446" s="4">
        <v>0.22750000000000001</v>
      </c>
      <c r="O446" s="4">
        <v>1.3</v>
      </c>
    </row>
    <row r="447" spans="2:15">
      <c r="B447" t="s">
        <v>771</v>
      </c>
      <c r="C447" t="s">
        <v>50</v>
      </c>
      <c r="D447" t="s">
        <v>1429</v>
      </c>
      <c r="E447" t="s">
        <v>1430</v>
      </c>
      <c r="F447" t="s">
        <v>10</v>
      </c>
      <c r="G447" t="s">
        <v>1429</v>
      </c>
      <c r="H447" t="s">
        <v>1431</v>
      </c>
      <c r="I447" t="s">
        <v>32</v>
      </c>
      <c r="J447">
        <v>0</v>
      </c>
      <c r="K447">
        <v>19</v>
      </c>
      <c r="L447" s="4">
        <v>3.5000000000000001E-3</v>
      </c>
      <c r="M447">
        <v>0.02</v>
      </c>
      <c r="N447" s="4">
        <v>6.6500000000000004E-2</v>
      </c>
      <c r="O447" s="4">
        <v>0.38</v>
      </c>
    </row>
    <row r="448" spans="2:15">
      <c r="B448" t="s">
        <v>771</v>
      </c>
      <c r="C448" t="s">
        <v>50</v>
      </c>
      <c r="D448" t="s">
        <v>1432</v>
      </c>
      <c r="E448" t="s">
        <v>1433</v>
      </c>
      <c r="F448" t="s">
        <v>10</v>
      </c>
      <c r="G448" t="s">
        <v>1432</v>
      </c>
      <c r="H448" t="s">
        <v>1434</v>
      </c>
      <c r="I448" t="s">
        <v>32</v>
      </c>
      <c r="J448">
        <v>0</v>
      </c>
      <c r="K448">
        <v>1</v>
      </c>
      <c r="L448" s="4">
        <v>3.5000000000000001E-3</v>
      </c>
      <c r="M448">
        <v>0.02</v>
      </c>
      <c r="N448" s="4">
        <v>3.5000000000000001E-3</v>
      </c>
      <c r="O448" s="4">
        <v>0.02</v>
      </c>
    </row>
    <row r="449" spans="2:15">
      <c r="B449" t="s">
        <v>771</v>
      </c>
      <c r="C449" t="s">
        <v>50</v>
      </c>
      <c r="D449" t="s">
        <v>1435</v>
      </c>
      <c r="E449" t="s">
        <v>1436</v>
      </c>
      <c r="F449" t="s">
        <v>10</v>
      </c>
      <c r="G449" t="s">
        <v>1435</v>
      </c>
      <c r="H449" t="s">
        <v>1437</v>
      </c>
      <c r="I449" t="s">
        <v>32</v>
      </c>
      <c r="J449">
        <v>0</v>
      </c>
      <c r="K449">
        <v>19</v>
      </c>
      <c r="L449" s="4">
        <v>3.5000000000000001E-3</v>
      </c>
      <c r="M449">
        <v>0.02</v>
      </c>
      <c r="N449" s="4">
        <v>6.6500000000000004E-2</v>
      </c>
      <c r="O449" s="4">
        <v>0.38</v>
      </c>
    </row>
    <row r="450" spans="2:15">
      <c r="B450" t="s">
        <v>771</v>
      </c>
      <c r="C450" t="s">
        <v>50</v>
      </c>
      <c r="D450" t="s">
        <v>1438</v>
      </c>
      <c r="E450" t="s">
        <v>1439</v>
      </c>
      <c r="F450" t="s">
        <v>10</v>
      </c>
      <c r="G450" t="s">
        <v>1438</v>
      </c>
      <c r="H450" t="s">
        <v>1440</v>
      </c>
      <c r="I450" t="s">
        <v>32</v>
      </c>
      <c r="J450">
        <v>0</v>
      </c>
      <c r="K450">
        <v>14</v>
      </c>
      <c r="L450" s="4">
        <v>3.5000000000000001E-3</v>
      </c>
      <c r="M450">
        <v>0.02</v>
      </c>
      <c r="N450" s="4">
        <v>4.9000000000000002E-2</v>
      </c>
      <c r="O450" s="4">
        <v>0.28000000000000003</v>
      </c>
    </row>
    <row r="451" spans="2:15">
      <c r="B451" t="s">
        <v>771</v>
      </c>
      <c r="C451" t="s">
        <v>50</v>
      </c>
      <c r="D451" t="s">
        <v>1441</v>
      </c>
      <c r="E451" t="s">
        <v>1442</v>
      </c>
      <c r="F451" t="s">
        <v>10</v>
      </c>
      <c r="G451" t="s">
        <v>1441</v>
      </c>
      <c r="H451" t="s">
        <v>1443</v>
      </c>
      <c r="I451" t="s">
        <v>32</v>
      </c>
      <c r="J451">
        <v>0</v>
      </c>
      <c r="K451">
        <v>50</v>
      </c>
      <c r="L451" s="4">
        <v>3.5000000000000001E-3</v>
      </c>
      <c r="M451">
        <v>0.02</v>
      </c>
      <c r="N451" s="4">
        <v>0.17500000000000002</v>
      </c>
      <c r="O451" s="4">
        <v>1</v>
      </c>
    </row>
    <row r="452" spans="2:15">
      <c r="B452" t="s">
        <v>771</v>
      </c>
      <c r="C452" t="s">
        <v>50</v>
      </c>
      <c r="D452" t="s">
        <v>1441</v>
      </c>
      <c r="E452" t="s">
        <v>1444</v>
      </c>
      <c r="F452" t="s">
        <v>10</v>
      </c>
      <c r="G452" t="s">
        <v>1441</v>
      </c>
      <c r="H452" t="s">
        <v>1445</v>
      </c>
      <c r="I452" t="s">
        <v>32</v>
      </c>
      <c r="J452">
        <v>0</v>
      </c>
      <c r="K452">
        <v>1</v>
      </c>
      <c r="L452" s="4">
        <v>3.5000000000000001E-3</v>
      </c>
      <c r="M452">
        <v>0.02</v>
      </c>
      <c r="N452" s="4">
        <v>3.5000000000000001E-3</v>
      </c>
      <c r="O452" s="4">
        <v>0.02</v>
      </c>
    </row>
    <row r="453" spans="2:15">
      <c r="B453" t="s">
        <v>771</v>
      </c>
      <c r="C453" t="s">
        <v>50</v>
      </c>
      <c r="D453" t="s">
        <v>1446</v>
      </c>
      <c r="E453" t="s">
        <v>1447</v>
      </c>
      <c r="F453" t="s">
        <v>10</v>
      </c>
      <c r="G453" t="s">
        <v>1446</v>
      </c>
      <c r="H453" t="s">
        <v>1448</v>
      </c>
      <c r="I453" t="s">
        <v>32</v>
      </c>
      <c r="J453">
        <v>0</v>
      </c>
      <c r="K453">
        <v>14</v>
      </c>
      <c r="L453" s="4">
        <v>3.5000000000000001E-3</v>
      </c>
      <c r="M453">
        <v>0.02</v>
      </c>
      <c r="N453" s="4">
        <v>4.9000000000000002E-2</v>
      </c>
      <c r="O453" s="4">
        <v>0.28000000000000003</v>
      </c>
    </row>
    <row r="454" spans="2:15">
      <c r="B454" t="s">
        <v>771</v>
      </c>
      <c r="C454" t="s">
        <v>50</v>
      </c>
      <c r="D454" t="s">
        <v>1449</v>
      </c>
      <c r="E454" t="s">
        <v>1450</v>
      </c>
      <c r="F454" t="s">
        <v>10</v>
      </c>
      <c r="G454" t="s">
        <v>1449</v>
      </c>
      <c r="H454" t="s">
        <v>1451</v>
      </c>
      <c r="I454" t="s">
        <v>32</v>
      </c>
      <c r="J454">
        <v>0</v>
      </c>
      <c r="K454">
        <v>16</v>
      </c>
      <c r="L454" s="4">
        <v>3.5000000000000001E-3</v>
      </c>
      <c r="M454">
        <v>0.02</v>
      </c>
      <c r="N454" s="4">
        <v>5.6000000000000001E-2</v>
      </c>
      <c r="O454" s="4">
        <v>0.32</v>
      </c>
    </row>
    <row r="455" spans="2:15">
      <c r="B455" t="s">
        <v>771</v>
      </c>
      <c r="C455" t="s">
        <v>50</v>
      </c>
      <c r="D455" t="s">
        <v>1449</v>
      </c>
      <c r="E455" t="s">
        <v>1452</v>
      </c>
      <c r="F455" t="s">
        <v>10</v>
      </c>
      <c r="G455" t="s">
        <v>1449</v>
      </c>
      <c r="H455" t="s">
        <v>1453</v>
      </c>
      <c r="I455" t="s">
        <v>32</v>
      </c>
      <c r="J455">
        <v>0</v>
      </c>
      <c r="K455">
        <v>1</v>
      </c>
      <c r="L455" s="4">
        <v>3.5000000000000001E-3</v>
      </c>
      <c r="M455">
        <v>0.02</v>
      </c>
      <c r="N455" s="4">
        <v>3.5000000000000001E-3</v>
      </c>
      <c r="O455" s="4">
        <v>0.02</v>
      </c>
    </row>
    <row r="456" spans="2:15">
      <c r="B456" t="s">
        <v>771</v>
      </c>
      <c r="C456" t="s">
        <v>50</v>
      </c>
      <c r="D456" t="s">
        <v>1454</v>
      </c>
      <c r="E456" t="s">
        <v>1455</v>
      </c>
      <c r="F456" t="s">
        <v>10</v>
      </c>
      <c r="G456" t="s">
        <v>1454</v>
      </c>
      <c r="H456" t="s">
        <v>1456</v>
      </c>
      <c r="I456" t="s">
        <v>32</v>
      </c>
      <c r="J456">
        <v>0</v>
      </c>
      <c r="K456">
        <v>1</v>
      </c>
      <c r="L456" s="4">
        <v>3.5000000000000001E-3</v>
      </c>
      <c r="M456">
        <v>0.02</v>
      </c>
      <c r="N456" s="4">
        <v>3.5000000000000001E-3</v>
      </c>
      <c r="O456" s="4">
        <v>0.02</v>
      </c>
    </row>
    <row r="457" spans="2:15">
      <c r="B457" t="s">
        <v>771</v>
      </c>
      <c r="C457" t="s">
        <v>50</v>
      </c>
      <c r="D457" t="s">
        <v>1457</v>
      </c>
      <c r="E457" t="s">
        <v>1458</v>
      </c>
      <c r="F457" t="s">
        <v>10</v>
      </c>
      <c r="G457" t="s">
        <v>1457</v>
      </c>
      <c r="H457" t="s">
        <v>1459</v>
      </c>
      <c r="I457" t="s">
        <v>32</v>
      </c>
      <c r="J457">
        <v>0</v>
      </c>
      <c r="K457">
        <v>37</v>
      </c>
      <c r="L457" s="4">
        <v>3.5000000000000001E-3</v>
      </c>
      <c r="M457">
        <v>0.02</v>
      </c>
      <c r="N457" s="4">
        <v>0.1295</v>
      </c>
      <c r="O457" s="4">
        <v>0.74</v>
      </c>
    </row>
    <row r="458" spans="2:15">
      <c r="B458" t="s">
        <v>771</v>
      </c>
      <c r="C458" t="s">
        <v>50</v>
      </c>
      <c r="D458" t="s">
        <v>1460</v>
      </c>
      <c r="E458" t="s">
        <v>1461</v>
      </c>
      <c r="F458" t="s">
        <v>10</v>
      </c>
      <c r="G458" t="s">
        <v>1460</v>
      </c>
      <c r="H458" t="s">
        <v>1462</v>
      </c>
      <c r="I458" t="s">
        <v>32</v>
      </c>
      <c r="J458">
        <v>0</v>
      </c>
      <c r="K458">
        <v>98</v>
      </c>
      <c r="L458" s="4">
        <v>3.5000000000000001E-3</v>
      </c>
      <c r="M458">
        <v>0.02</v>
      </c>
      <c r="N458" s="4">
        <v>0.34300000000000003</v>
      </c>
      <c r="O458" s="4">
        <v>1.96</v>
      </c>
    </row>
    <row r="459" spans="2:15">
      <c r="B459" t="s">
        <v>771</v>
      </c>
      <c r="C459" t="s">
        <v>50</v>
      </c>
      <c r="D459" t="s">
        <v>1460</v>
      </c>
      <c r="E459" t="s">
        <v>1463</v>
      </c>
      <c r="F459" t="s">
        <v>10</v>
      </c>
      <c r="G459" t="s">
        <v>1460</v>
      </c>
      <c r="H459" t="s">
        <v>1464</v>
      </c>
      <c r="I459" t="s">
        <v>32</v>
      </c>
      <c r="J459">
        <v>0</v>
      </c>
      <c r="K459">
        <v>1</v>
      </c>
      <c r="L459" s="4">
        <v>3.5000000000000001E-3</v>
      </c>
      <c r="M459">
        <v>0.02</v>
      </c>
      <c r="N459" s="4">
        <v>3.5000000000000001E-3</v>
      </c>
      <c r="O459" s="4">
        <v>0.02</v>
      </c>
    </row>
    <row r="460" spans="2:15">
      <c r="B460" t="s">
        <v>771</v>
      </c>
      <c r="C460" t="s">
        <v>50</v>
      </c>
      <c r="D460" t="s">
        <v>1465</v>
      </c>
      <c r="E460" t="s">
        <v>1466</v>
      </c>
      <c r="F460" t="s">
        <v>10</v>
      </c>
      <c r="G460" t="s">
        <v>1465</v>
      </c>
      <c r="H460" t="s">
        <v>1467</v>
      </c>
      <c r="I460" t="s">
        <v>32</v>
      </c>
      <c r="J460">
        <v>0</v>
      </c>
      <c r="K460">
        <v>59</v>
      </c>
      <c r="L460" s="4">
        <v>3.5000000000000001E-3</v>
      </c>
      <c r="M460">
        <v>0.02</v>
      </c>
      <c r="N460" s="4">
        <v>0.20650000000000002</v>
      </c>
      <c r="O460" s="4">
        <v>1.18</v>
      </c>
    </row>
    <row r="461" spans="2:15">
      <c r="B461" t="s">
        <v>771</v>
      </c>
      <c r="C461" t="s">
        <v>50</v>
      </c>
      <c r="D461" t="s">
        <v>1465</v>
      </c>
      <c r="E461" t="s">
        <v>1468</v>
      </c>
      <c r="F461" t="s">
        <v>10</v>
      </c>
      <c r="G461" t="s">
        <v>1465</v>
      </c>
      <c r="H461" t="s">
        <v>1469</v>
      </c>
      <c r="I461" t="s">
        <v>32</v>
      </c>
      <c r="J461">
        <v>0</v>
      </c>
      <c r="K461">
        <v>1</v>
      </c>
      <c r="L461" s="4">
        <v>3.5000000000000001E-3</v>
      </c>
      <c r="M461">
        <v>0.02</v>
      </c>
      <c r="N461" s="4">
        <v>3.5000000000000001E-3</v>
      </c>
      <c r="O461" s="4">
        <v>0.02</v>
      </c>
    </row>
    <row r="462" spans="2:15">
      <c r="B462" t="s">
        <v>771</v>
      </c>
      <c r="C462" t="s">
        <v>50</v>
      </c>
      <c r="D462" t="s">
        <v>1470</v>
      </c>
      <c r="E462" t="s">
        <v>1471</v>
      </c>
      <c r="F462" t="s">
        <v>10</v>
      </c>
      <c r="G462" t="s">
        <v>1470</v>
      </c>
      <c r="H462" t="s">
        <v>1472</v>
      </c>
      <c r="I462" t="s">
        <v>32</v>
      </c>
      <c r="J462">
        <v>0</v>
      </c>
      <c r="K462">
        <v>54</v>
      </c>
      <c r="L462" s="4">
        <v>3.5000000000000001E-3</v>
      </c>
      <c r="M462">
        <v>0.02</v>
      </c>
      <c r="N462" s="4">
        <v>0.189</v>
      </c>
      <c r="O462" s="4">
        <v>1.08</v>
      </c>
    </row>
    <row r="463" spans="2:15">
      <c r="B463" t="s">
        <v>771</v>
      </c>
      <c r="C463" t="s">
        <v>50</v>
      </c>
      <c r="D463" t="s">
        <v>1473</v>
      </c>
      <c r="E463" t="s">
        <v>1474</v>
      </c>
      <c r="F463" t="s">
        <v>10</v>
      </c>
      <c r="G463" t="s">
        <v>1473</v>
      </c>
      <c r="H463" t="s">
        <v>1475</v>
      </c>
      <c r="I463" t="s">
        <v>32</v>
      </c>
      <c r="J463">
        <v>0</v>
      </c>
      <c r="K463">
        <v>12</v>
      </c>
      <c r="L463" s="4">
        <v>3.5000000000000001E-3</v>
      </c>
      <c r="M463">
        <v>0.02</v>
      </c>
      <c r="N463" s="4">
        <v>4.2000000000000003E-2</v>
      </c>
      <c r="O463" s="4">
        <v>0.24</v>
      </c>
    </row>
    <row r="464" spans="2:15">
      <c r="B464" t="s">
        <v>771</v>
      </c>
      <c r="C464" t="s">
        <v>50</v>
      </c>
      <c r="D464" t="s">
        <v>1473</v>
      </c>
      <c r="E464" t="s">
        <v>1476</v>
      </c>
      <c r="F464" t="s">
        <v>10</v>
      </c>
      <c r="G464" t="s">
        <v>1473</v>
      </c>
      <c r="H464" t="s">
        <v>1477</v>
      </c>
      <c r="I464" t="s">
        <v>32</v>
      </c>
      <c r="J464">
        <v>0</v>
      </c>
      <c r="K464">
        <v>1</v>
      </c>
      <c r="L464" s="4">
        <v>3.5000000000000001E-3</v>
      </c>
      <c r="M464">
        <v>0.02</v>
      </c>
      <c r="N464" s="4">
        <v>3.5000000000000001E-3</v>
      </c>
      <c r="O464" s="4">
        <v>0.02</v>
      </c>
    </row>
    <row r="465" spans="2:15">
      <c r="B465" t="s">
        <v>771</v>
      </c>
      <c r="C465" t="s">
        <v>50</v>
      </c>
      <c r="D465" t="s">
        <v>1478</v>
      </c>
      <c r="E465" t="s">
        <v>1479</v>
      </c>
      <c r="F465" t="s">
        <v>10</v>
      </c>
      <c r="G465" t="s">
        <v>1478</v>
      </c>
      <c r="H465" t="s">
        <v>1480</v>
      </c>
      <c r="I465" t="s">
        <v>32</v>
      </c>
      <c r="J465">
        <v>0</v>
      </c>
      <c r="K465">
        <v>35</v>
      </c>
      <c r="L465" s="4">
        <v>3.5000000000000001E-3</v>
      </c>
      <c r="M465">
        <v>0.02</v>
      </c>
      <c r="N465" s="4">
        <v>0.1225</v>
      </c>
      <c r="O465" s="4">
        <v>0.70000000000000007</v>
      </c>
    </row>
    <row r="466" spans="2:15">
      <c r="B466" t="s">
        <v>771</v>
      </c>
      <c r="C466" t="s">
        <v>50</v>
      </c>
      <c r="D466" t="s">
        <v>1478</v>
      </c>
      <c r="E466" t="s">
        <v>1481</v>
      </c>
      <c r="F466" t="s">
        <v>10</v>
      </c>
      <c r="G466" t="s">
        <v>1478</v>
      </c>
      <c r="H466" t="s">
        <v>1482</v>
      </c>
      <c r="I466" t="s">
        <v>32</v>
      </c>
      <c r="J466">
        <v>0</v>
      </c>
      <c r="K466">
        <v>1</v>
      </c>
      <c r="L466" s="4">
        <v>3.5000000000000001E-3</v>
      </c>
      <c r="M466">
        <v>0.02</v>
      </c>
      <c r="N466" s="4">
        <v>3.5000000000000001E-3</v>
      </c>
      <c r="O466" s="4">
        <v>0.02</v>
      </c>
    </row>
    <row r="467" spans="2:15">
      <c r="B467" t="s">
        <v>771</v>
      </c>
      <c r="C467" t="s">
        <v>50</v>
      </c>
      <c r="D467" t="s">
        <v>1483</v>
      </c>
      <c r="E467" t="s">
        <v>1484</v>
      </c>
      <c r="F467" t="s">
        <v>10</v>
      </c>
      <c r="G467" t="s">
        <v>1483</v>
      </c>
      <c r="H467" t="s">
        <v>1485</v>
      </c>
      <c r="I467" t="s">
        <v>32</v>
      </c>
      <c r="J467">
        <v>0</v>
      </c>
      <c r="K467">
        <v>32</v>
      </c>
      <c r="L467" s="4">
        <v>3.5000000000000001E-3</v>
      </c>
      <c r="M467">
        <v>0.02</v>
      </c>
      <c r="N467" s="4">
        <v>0.112</v>
      </c>
      <c r="O467" s="4">
        <v>0.64</v>
      </c>
    </row>
    <row r="468" spans="2:15">
      <c r="B468" t="s">
        <v>771</v>
      </c>
      <c r="C468" t="s">
        <v>50</v>
      </c>
      <c r="D468" t="s">
        <v>1486</v>
      </c>
      <c r="E468" t="s">
        <v>1487</v>
      </c>
      <c r="F468" t="s">
        <v>10</v>
      </c>
      <c r="G468" t="s">
        <v>1486</v>
      </c>
      <c r="H468" t="s">
        <v>1488</v>
      </c>
      <c r="I468" t="s">
        <v>32</v>
      </c>
      <c r="J468">
        <v>0</v>
      </c>
      <c r="K468">
        <v>12</v>
      </c>
      <c r="L468" s="4">
        <v>3.5000000000000001E-3</v>
      </c>
      <c r="M468">
        <v>0.02</v>
      </c>
      <c r="N468" s="4">
        <v>4.2000000000000003E-2</v>
      </c>
      <c r="O468" s="4">
        <v>0.24</v>
      </c>
    </row>
    <row r="469" spans="2:15">
      <c r="B469" t="s">
        <v>771</v>
      </c>
      <c r="C469" t="s">
        <v>50</v>
      </c>
      <c r="D469" t="s">
        <v>1486</v>
      </c>
      <c r="E469" t="s">
        <v>1489</v>
      </c>
      <c r="F469" t="s">
        <v>10</v>
      </c>
      <c r="G469" t="s">
        <v>1486</v>
      </c>
      <c r="H469" t="s">
        <v>1490</v>
      </c>
      <c r="I469" t="s">
        <v>32</v>
      </c>
      <c r="J469">
        <v>0</v>
      </c>
      <c r="K469">
        <v>1</v>
      </c>
      <c r="L469" s="4">
        <v>3.5000000000000001E-3</v>
      </c>
      <c r="M469">
        <v>0.02</v>
      </c>
      <c r="N469" s="4">
        <v>3.5000000000000001E-3</v>
      </c>
      <c r="O469" s="4">
        <v>0.02</v>
      </c>
    </row>
    <row r="470" spans="2:15">
      <c r="B470" t="s">
        <v>771</v>
      </c>
      <c r="C470" t="s">
        <v>50</v>
      </c>
      <c r="D470" t="s">
        <v>1491</v>
      </c>
      <c r="E470" t="s">
        <v>1492</v>
      </c>
      <c r="F470" t="s">
        <v>10</v>
      </c>
      <c r="G470" t="s">
        <v>1491</v>
      </c>
      <c r="H470" t="s">
        <v>1493</v>
      </c>
      <c r="I470" t="s">
        <v>32</v>
      </c>
      <c r="J470">
        <v>0</v>
      </c>
      <c r="K470">
        <v>21</v>
      </c>
      <c r="L470" s="4">
        <v>3.5000000000000001E-3</v>
      </c>
      <c r="M470">
        <v>0.02</v>
      </c>
      <c r="N470" s="4">
        <v>7.3499999999999996E-2</v>
      </c>
      <c r="O470" s="4">
        <v>0.42</v>
      </c>
    </row>
    <row r="471" spans="2:15">
      <c r="B471" t="s">
        <v>771</v>
      </c>
      <c r="C471" t="s">
        <v>50</v>
      </c>
      <c r="D471" t="s">
        <v>1491</v>
      </c>
      <c r="E471" t="s">
        <v>1494</v>
      </c>
      <c r="F471" t="s">
        <v>10</v>
      </c>
      <c r="G471" t="s">
        <v>1491</v>
      </c>
      <c r="H471" t="s">
        <v>1495</v>
      </c>
      <c r="I471" t="s">
        <v>32</v>
      </c>
      <c r="J471">
        <v>0</v>
      </c>
      <c r="K471">
        <v>1</v>
      </c>
      <c r="L471" s="4">
        <v>3.5000000000000001E-3</v>
      </c>
      <c r="M471">
        <v>0.02</v>
      </c>
      <c r="N471" s="4">
        <v>3.5000000000000001E-3</v>
      </c>
      <c r="O471" s="4">
        <v>0.02</v>
      </c>
    </row>
    <row r="472" spans="2:15">
      <c r="B472" t="s">
        <v>771</v>
      </c>
      <c r="C472" t="s">
        <v>50</v>
      </c>
      <c r="D472" t="s">
        <v>1496</v>
      </c>
      <c r="E472" t="s">
        <v>1497</v>
      </c>
      <c r="F472" t="s">
        <v>10</v>
      </c>
      <c r="G472" t="s">
        <v>1496</v>
      </c>
      <c r="H472" t="s">
        <v>1498</v>
      </c>
      <c r="I472" t="s">
        <v>32</v>
      </c>
      <c r="J472">
        <v>0</v>
      </c>
      <c r="K472">
        <v>47</v>
      </c>
      <c r="L472" s="4">
        <v>3.5000000000000001E-3</v>
      </c>
      <c r="M472">
        <v>0.02</v>
      </c>
      <c r="N472" s="4">
        <v>0.16450000000000001</v>
      </c>
      <c r="O472" s="4">
        <v>0.94000000000000006</v>
      </c>
    </row>
    <row r="473" spans="2:15">
      <c r="B473" t="s">
        <v>771</v>
      </c>
      <c r="C473" t="s">
        <v>50</v>
      </c>
      <c r="D473" t="s">
        <v>1499</v>
      </c>
      <c r="E473" t="s">
        <v>1500</v>
      </c>
      <c r="F473" t="s">
        <v>10</v>
      </c>
      <c r="G473" t="s">
        <v>1499</v>
      </c>
      <c r="H473" t="s">
        <v>1501</v>
      </c>
      <c r="I473" t="s">
        <v>32</v>
      </c>
      <c r="J473">
        <v>0</v>
      </c>
      <c r="K473">
        <v>10</v>
      </c>
      <c r="L473" s="4">
        <v>3.5000000000000001E-3</v>
      </c>
      <c r="M473">
        <v>0.02</v>
      </c>
      <c r="N473" s="4">
        <v>3.5000000000000003E-2</v>
      </c>
      <c r="O473" s="4">
        <v>0.2</v>
      </c>
    </row>
    <row r="474" spans="2:15">
      <c r="B474" t="s">
        <v>771</v>
      </c>
      <c r="C474" t="s">
        <v>50</v>
      </c>
      <c r="D474" t="s">
        <v>1502</v>
      </c>
      <c r="E474" t="s">
        <v>1503</v>
      </c>
      <c r="F474" t="s">
        <v>10</v>
      </c>
      <c r="G474" t="s">
        <v>1502</v>
      </c>
      <c r="H474" t="s">
        <v>1504</v>
      </c>
      <c r="I474" t="s">
        <v>32</v>
      </c>
      <c r="J474">
        <v>0</v>
      </c>
      <c r="K474">
        <v>60</v>
      </c>
      <c r="L474" s="4">
        <v>3.5000000000000001E-3</v>
      </c>
      <c r="M474">
        <v>0.02</v>
      </c>
      <c r="N474" s="4">
        <v>0.21</v>
      </c>
      <c r="O474" s="4">
        <v>1.2</v>
      </c>
    </row>
    <row r="475" spans="2:15">
      <c r="B475" t="s">
        <v>771</v>
      </c>
      <c r="C475" t="s">
        <v>50</v>
      </c>
      <c r="D475" t="s">
        <v>1502</v>
      </c>
      <c r="E475" t="s">
        <v>1505</v>
      </c>
      <c r="F475" t="s">
        <v>10</v>
      </c>
      <c r="G475" t="s">
        <v>1502</v>
      </c>
      <c r="H475" t="s">
        <v>1506</v>
      </c>
      <c r="I475" t="s">
        <v>32</v>
      </c>
      <c r="J475">
        <v>0</v>
      </c>
      <c r="K475">
        <v>1</v>
      </c>
      <c r="L475" s="4">
        <v>3.5000000000000001E-3</v>
      </c>
      <c r="M475">
        <v>0.02</v>
      </c>
      <c r="N475" s="4">
        <v>3.5000000000000001E-3</v>
      </c>
      <c r="O475" s="4">
        <v>0.02</v>
      </c>
    </row>
    <row r="476" spans="2:15">
      <c r="B476" t="s">
        <v>771</v>
      </c>
      <c r="C476" t="s">
        <v>50</v>
      </c>
      <c r="D476" t="s">
        <v>1507</v>
      </c>
      <c r="E476" t="s">
        <v>1508</v>
      </c>
      <c r="F476" t="s">
        <v>10</v>
      </c>
      <c r="G476" t="s">
        <v>1507</v>
      </c>
      <c r="H476" t="s">
        <v>1509</v>
      </c>
      <c r="I476" t="s">
        <v>32</v>
      </c>
      <c r="J476">
        <v>0</v>
      </c>
      <c r="K476">
        <v>50</v>
      </c>
      <c r="L476" s="4">
        <v>3.5000000000000001E-3</v>
      </c>
      <c r="M476">
        <v>0.02</v>
      </c>
      <c r="N476" s="4">
        <v>0.17500000000000002</v>
      </c>
      <c r="O476" s="4">
        <v>1</v>
      </c>
    </row>
    <row r="477" spans="2:15">
      <c r="B477" t="s">
        <v>771</v>
      </c>
      <c r="C477" t="s">
        <v>50</v>
      </c>
      <c r="D477" t="s">
        <v>1507</v>
      </c>
      <c r="E477" t="s">
        <v>1510</v>
      </c>
      <c r="F477" t="s">
        <v>10</v>
      </c>
      <c r="G477" t="s">
        <v>1507</v>
      </c>
      <c r="H477" t="s">
        <v>1511</v>
      </c>
      <c r="I477" t="s">
        <v>32</v>
      </c>
      <c r="J477">
        <v>0</v>
      </c>
      <c r="K477">
        <v>1</v>
      </c>
      <c r="L477" s="4">
        <v>3.5000000000000001E-3</v>
      </c>
      <c r="M477">
        <v>0.02</v>
      </c>
      <c r="N477" s="4">
        <v>3.5000000000000001E-3</v>
      </c>
      <c r="O477" s="4">
        <v>0.02</v>
      </c>
    </row>
    <row r="478" spans="2:15">
      <c r="B478" t="s">
        <v>771</v>
      </c>
      <c r="C478" t="s">
        <v>50</v>
      </c>
      <c r="D478" t="s">
        <v>1512</v>
      </c>
      <c r="E478" t="s">
        <v>1513</v>
      </c>
      <c r="F478" t="s">
        <v>10</v>
      </c>
      <c r="G478" t="s">
        <v>1512</v>
      </c>
      <c r="H478" t="s">
        <v>1514</v>
      </c>
      <c r="I478" t="s">
        <v>32</v>
      </c>
      <c r="J478">
        <v>0</v>
      </c>
      <c r="K478">
        <v>52</v>
      </c>
      <c r="L478" s="4">
        <v>3.5000000000000001E-3</v>
      </c>
      <c r="M478">
        <v>0.02</v>
      </c>
      <c r="N478" s="4">
        <v>0.182</v>
      </c>
      <c r="O478" s="4">
        <v>1.04</v>
      </c>
    </row>
    <row r="479" spans="2:15">
      <c r="B479" t="s">
        <v>771</v>
      </c>
      <c r="C479" t="s">
        <v>50</v>
      </c>
      <c r="D479" t="s">
        <v>1515</v>
      </c>
      <c r="E479" t="s">
        <v>1516</v>
      </c>
      <c r="F479" t="s">
        <v>10</v>
      </c>
      <c r="G479" t="s">
        <v>1515</v>
      </c>
      <c r="H479" t="s">
        <v>1517</v>
      </c>
      <c r="I479" t="s">
        <v>32</v>
      </c>
      <c r="J479">
        <v>0</v>
      </c>
      <c r="K479">
        <v>21</v>
      </c>
      <c r="L479" s="4">
        <v>3.5000000000000001E-3</v>
      </c>
      <c r="M479">
        <v>0.02</v>
      </c>
      <c r="N479" s="4">
        <v>7.3499999999999996E-2</v>
      </c>
      <c r="O479" s="4">
        <v>0.42</v>
      </c>
    </row>
    <row r="480" spans="2:15">
      <c r="B480" t="s">
        <v>771</v>
      </c>
      <c r="C480" t="s">
        <v>50</v>
      </c>
      <c r="D480" t="s">
        <v>1276</v>
      </c>
      <c r="E480" t="s">
        <v>1518</v>
      </c>
      <c r="F480" t="s">
        <v>10</v>
      </c>
      <c r="G480" t="s">
        <v>1276</v>
      </c>
      <c r="H480" t="s">
        <v>1519</v>
      </c>
      <c r="I480" t="s">
        <v>32</v>
      </c>
      <c r="J480">
        <v>0</v>
      </c>
      <c r="K480">
        <v>1</v>
      </c>
      <c r="L480" s="4">
        <v>3.5000000000000001E-3</v>
      </c>
      <c r="M480">
        <v>0.02</v>
      </c>
      <c r="N480" s="4">
        <v>3.5000000000000001E-3</v>
      </c>
      <c r="O480" s="4">
        <v>0.02</v>
      </c>
    </row>
    <row r="481" spans="2:15">
      <c r="B481" t="s">
        <v>771</v>
      </c>
      <c r="C481" t="s">
        <v>50</v>
      </c>
      <c r="D481" t="s">
        <v>1520</v>
      </c>
      <c r="E481" t="s">
        <v>1521</v>
      </c>
      <c r="F481" t="s">
        <v>10</v>
      </c>
      <c r="G481" t="s">
        <v>1520</v>
      </c>
      <c r="H481" t="s">
        <v>1522</v>
      </c>
      <c r="I481" t="s">
        <v>32</v>
      </c>
      <c r="J481">
        <v>0</v>
      </c>
      <c r="K481">
        <v>34</v>
      </c>
      <c r="L481" s="4">
        <v>3.5000000000000001E-3</v>
      </c>
      <c r="M481">
        <v>0.02</v>
      </c>
      <c r="N481" s="4">
        <v>0.11900000000000001</v>
      </c>
      <c r="O481" s="4">
        <v>0.68</v>
      </c>
    </row>
    <row r="482" spans="2:15">
      <c r="B482" t="s">
        <v>771</v>
      </c>
      <c r="C482" t="s">
        <v>50</v>
      </c>
      <c r="D482" t="s">
        <v>1523</v>
      </c>
      <c r="E482" t="s">
        <v>1524</v>
      </c>
      <c r="F482" t="s">
        <v>10</v>
      </c>
      <c r="G482" t="s">
        <v>1523</v>
      </c>
      <c r="H482" t="s">
        <v>1525</v>
      </c>
      <c r="I482" t="s">
        <v>32</v>
      </c>
      <c r="J482">
        <v>0</v>
      </c>
      <c r="K482">
        <v>17</v>
      </c>
      <c r="L482" s="4">
        <v>3.5000000000000001E-3</v>
      </c>
      <c r="M482">
        <v>0.02</v>
      </c>
      <c r="N482" s="4">
        <v>5.9500000000000004E-2</v>
      </c>
      <c r="O482" s="4">
        <v>0.34</v>
      </c>
    </row>
    <row r="483" spans="2:15">
      <c r="B483" t="s">
        <v>771</v>
      </c>
      <c r="C483" t="s">
        <v>50</v>
      </c>
      <c r="D483" t="s">
        <v>1526</v>
      </c>
      <c r="E483" t="s">
        <v>1527</v>
      </c>
      <c r="F483" t="s">
        <v>10</v>
      </c>
      <c r="G483" t="s">
        <v>1526</v>
      </c>
      <c r="H483" t="s">
        <v>1528</v>
      </c>
      <c r="I483" t="s">
        <v>32</v>
      </c>
      <c r="J483">
        <v>0</v>
      </c>
      <c r="K483">
        <v>60</v>
      </c>
      <c r="L483" s="4">
        <v>3.5000000000000001E-3</v>
      </c>
      <c r="M483">
        <v>0.02</v>
      </c>
      <c r="N483" s="4">
        <v>0.21</v>
      </c>
      <c r="O483" s="4">
        <v>1.2</v>
      </c>
    </row>
    <row r="484" spans="2:15">
      <c r="B484" t="s">
        <v>771</v>
      </c>
      <c r="C484" t="s">
        <v>50</v>
      </c>
      <c r="D484" t="s">
        <v>1529</v>
      </c>
      <c r="E484" t="s">
        <v>1530</v>
      </c>
      <c r="F484" t="s">
        <v>10</v>
      </c>
      <c r="G484" t="s">
        <v>1529</v>
      </c>
      <c r="H484" t="s">
        <v>1531</v>
      </c>
      <c r="I484" t="s">
        <v>32</v>
      </c>
      <c r="J484">
        <v>0</v>
      </c>
      <c r="K484">
        <v>18</v>
      </c>
      <c r="L484" s="4">
        <v>3.5000000000000001E-3</v>
      </c>
      <c r="M484">
        <v>0.02</v>
      </c>
      <c r="N484" s="4">
        <v>6.3E-2</v>
      </c>
      <c r="O484" s="4">
        <v>0.36</v>
      </c>
    </row>
    <row r="485" spans="2:15">
      <c r="B485" t="s">
        <v>771</v>
      </c>
      <c r="C485" t="s">
        <v>50</v>
      </c>
      <c r="D485" t="s">
        <v>1529</v>
      </c>
      <c r="E485" t="s">
        <v>1532</v>
      </c>
      <c r="F485" t="s">
        <v>10</v>
      </c>
      <c r="G485" t="s">
        <v>1529</v>
      </c>
      <c r="H485" t="s">
        <v>1533</v>
      </c>
      <c r="I485" t="s">
        <v>32</v>
      </c>
      <c r="J485">
        <v>0</v>
      </c>
      <c r="K485">
        <v>1</v>
      </c>
      <c r="L485" s="4">
        <v>3.5000000000000001E-3</v>
      </c>
      <c r="M485">
        <v>0.02</v>
      </c>
      <c r="N485" s="4">
        <v>3.5000000000000001E-3</v>
      </c>
      <c r="O485" s="4">
        <v>0.02</v>
      </c>
    </row>
    <row r="486" spans="2:15">
      <c r="B486" t="s">
        <v>771</v>
      </c>
      <c r="C486" t="s">
        <v>50</v>
      </c>
      <c r="D486" t="s">
        <v>1534</v>
      </c>
      <c r="E486" t="s">
        <v>1535</v>
      </c>
      <c r="F486" t="s">
        <v>10</v>
      </c>
      <c r="G486" t="s">
        <v>1534</v>
      </c>
      <c r="H486" t="s">
        <v>1536</v>
      </c>
      <c r="I486" t="s">
        <v>32</v>
      </c>
      <c r="J486">
        <v>0</v>
      </c>
      <c r="K486">
        <v>18</v>
      </c>
      <c r="L486" s="4">
        <v>3.5000000000000001E-3</v>
      </c>
      <c r="M486">
        <v>0.02</v>
      </c>
      <c r="N486" s="4">
        <v>6.3E-2</v>
      </c>
      <c r="O486" s="4">
        <v>0.36</v>
      </c>
    </row>
    <row r="487" spans="2:15">
      <c r="B487" t="s">
        <v>771</v>
      </c>
      <c r="C487" t="s">
        <v>50</v>
      </c>
      <c r="D487" t="s">
        <v>1537</v>
      </c>
      <c r="E487" t="s">
        <v>1538</v>
      </c>
      <c r="F487" t="s">
        <v>10</v>
      </c>
      <c r="G487" t="s">
        <v>1537</v>
      </c>
      <c r="H487" t="s">
        <v>1539</v>
      </c>
      <c r="I487" t="s">
        <v>32</v>
      </c>
      <c r="J487">
        <v>0</v>
      </c>
      <c r="K487">
        <v>11</v>
      </c>
      <c r="L487" s="4">
        <v>3.5000000000000001E-3</v>
      </c>
      <c r="M487">
        <v>0.02</v>
      </c>
      <c r="N487" s="4">
        <v>3.85E-2</v>
      </c>
      <c r="O487" s="4">
        <v>0.22</v>
      </c>
    </row>
    <row r="488" spans="2:15">
      <c r="B488" t="s">
        <v>771</v>
      </c>
      <c r="C488" t="s">
        <v>50</v>
      </c>
      <c r="D488" t="s">
        <v>1540</v>
      </c>
      <c r="E488" t="s">
        <v>1541</v>
      </c>
      <c r="F488" t="s">
        <v>10</v>
      </c>
      <c r="G488" t="s">
        <v>1540</v>
      </c>
      <c r="H488" t="s">
        <v>1542</v>
      </c>
      <c r="I488" t="s">
        <v>32</v>
      </c>
      <c r="J488">
        <v>0</v>
      </c>
      <c r="K488">
        <v>442</v>
      </c>
      <c r="L488" s="4">
        <v>3.5000000000000001E-3</v>
      </c>
      <c r="M488">
        <v>0.02</v>
      </c>
      <c r="N488" s="4">
        <v>1.5469999999999999</v>
      </c>
      <c r="O488" s="4">
        <v>8.84</v>
      </c>
    </row>
    <row r="489" spans="2:15">
      <c r="B489" t="s">
        <v>771</v>
      </c>
      <c r="C489" t="s">
        <v>50</v>
      </c>
      <c r="D489" t="s">
        <v>1543</v>
      </c>
      <c r="E489" t="s">
        <v>1544</v>
      </c>
      <c r="F489" t="s">
        <v>10</v>
      </c>
      <c r="G489" t="s">
        <v>1543</v>
      </c>
      <c r="H489" t="s">
        <v>1545</v>
      </c>
      <c r="I489" t="s">
        <v>32</v>
      </c>
      <c r="J489">
        <v>0</v>
      </c>
      <c r="K489">
        <v>33</v>
      </c>
      <c r="L489" s="4">
        <v>3.5000000000000001E-3</v>
      </c>
      <c r="M489">
        <v>0.02</v>
      </c>
      <c r="N489" s="4">
        <v>0.11550000000000001</v>
      </c>
      <c r="O489" s="4">
        <v>0.66</v>
      </c>
    </row>
    <row r="490" spans="2:15">
      <c r="B490" t="s">
        <v>771</v>
      </c>
      <c r="C490" t="s">
        <v>50</v>
      </c>
      <c r="D490" t="s">
        <v>1546</v>
      </c>
      <c r="E490" t="s">
        <v>1547</v>
      </c>
      <c r="F490" t="s">
        <v>10</v>
      </c>
      <c r="G490" t="s">
        <v>1546</v>
      </c>
      <c r="H490" t="s">
        <v>1548</v>
      </c>
      <c r="I490" t="s">
        <v>32</v>
      </c>
      <c r="J490">
        <v>0</v>
      </c>
      <c r="K490">
        <v>17</v>
      </c>
      <c r="L490" s="4">
        <v>3.5000000000000001E-3</v>
      </c>
      <c r="M490">
        <v>0.02</v>
      </c>
      <c r="N490" s="4">
        <v>5.9500000000000004E-2</v>
      </c>
      <c r="O490" s="4">
        <v>0.34</v>
      </c>
    </row>
    <row r="491" spans="2:15">
      <c r="B491" t="s">
        <v>771</v>
      </c>
      <c r="C491" t="s">
        <v>50</v>
      </c>
      <c r="D491" t="s">
        <v>1549</v>
      </c>
      <c r="E491" t="s">
        <v>1550</v>
      </c>
      <c r="F491" t="s">
        <v>10</v>
      </c>
      <c r="G491" t="s">
        <v>1549</v>
      </c>
      <c r="H491" t="s">
        <v>1551</v>
      </c>
      <c r="I491" t="s">
        <v>32</v>
      </c>
      <c r="J491">
        <v>0</v>
      </c>
      <c r="K491">
        <v>35</v>
      </c>
      <c r="L491" s="4">
        <v>3.5000000000000001E-3</v>
      </c>
      <c r="M491">
        <v>0.02</v>
      </c>
      <c r="N491" s="4">
        <v>0.1225</v>
      </c>
      <c r="O491" s="4">
        <v>0.70000000000000007</v>
      </c>
    </row>
    <row r="492" spans="2:15">
      <c r="B492" t="s">
        <v>771</v>
      </c>
      <c r="C492" t="s">
        <v>50</v>
      </c>
      <c r="D492" t="s">
        <v>1552</v>
      </c>
      <c r="E492" t="s">
        <v>497</v>
      </c>
      <c r="F492" t="s">
        <v>10</v>
      </c>
      <c r="G492" t="s">
        <v>1552</v>
      </c>
      <c r="H492" t="s">
        <v>498</v>
      </c>
      <c r="I492" t="s">
        <v>32</v>
      </c>
      <c r="J492">
        <v>0</v>
      </c>
      <c r="K492">
        <v>1</v>
      </c>
      <c r="L492" s="4">
        <v>3.5000000000000001E-3</v>
      </c>
      <c r="M492">
        <v>0.02</v>
      </c>
      <c r="N492" s="4">
        <v>3.5000000000000001E-3</v>
      </c>
      <c r="O492" s="4">
        <v>0.02</v>
      </c>
    </row>
    <row r="493" spans="2:15">
      <c r="B493" t="s">
        <v>771</v>
      </c>
      <c r="C493" t="s">
        <v>50</v>
      </c>
      <c r="D493" t="s">
        <v>1553</v>
      </c>
      <c r="E493" t="s">
        <v>1554</v>
      </c>
      <c r="F493" t="s">
        <v>10</v>
      </c>
      <c r="G493" t="s">
        <v>1553</v>
      </c>
      <c r="H493" t="s">
        <v>1555</v>
      </c>
      <c r="I493" t="s">
        <v>32</v>
      </c>
      <c r="J493">
        <v>0</v>
      </c>
      <c r="K493">
        <v>36</v>
      </c>
      <c r="L493" s="4">
        <v>3.5000000000000001E-3</v>
      </c>
      <c r="M493">
        <v>0.02</v>
      </c>
      <c r="N493" s="4">
        <v>0.126</v>
      </c>
      <c r="O493" s="4">
        <v>0.72</v>
      </c>
    </row>
    <row r="494" spans="2:15">
      <c r="B494" t="s">
        <v>771</v>
      </c>
      <c r="C494" t="s">
        <v>50</v>
      </c>
      <c r="D494" t="s">
        <v>1553</v>
      </c>
      <c r="E494" t="s">
        <v>1556</v>
      </c>
      <c r="F494" t="s">
        <v>10</v>
      </c>
      <c r="G494" t="s">
        <v>1553</v>
      </c>
      <c r="H494" t="s">
        <v>1557</v>
      </c>
      <c r="I494" t="s">
        <v>32</v>
      </c>
      <c r="J494">
        <v>0</v>
      </c>
      <c r="K494">
        <v>63</v>
      </c>
      <c r="L494" s="4">
        <v>3.5000000000000001E-3</v>
      </c>
      <c r="M494">
        <v>0.02</v>
      </c>
      <c r="N494" s="4">
        <v>0.2205</v>
      </c>
      <c r="O494" s="4">
        <v>1.26</v>
      </c>
    </row>
    <row r="495" spans="2:15">
      <c r="B495" t="s">
        <v>771</v>
      </c>
      <c r="C495" t="s">
        <v>50</v>
      </c>
      <c r="D495" t="s">
        <v>1558</v>
      </c>
      <c r="E495" t="s">
        <v>1559</v>
      </c>
      <c r="F495" t="s">
        <v>10</v>
      </c>
      <c r="G495" t="s">
        <v>1558</v>
      </c>
      <c r="H495" t="s">
        <v>1560</v>
      </c>
      <c r="I495" t="s">
        <v>32</v>
      </c>
      <c r="J495">
        <v>0</v>
      </c>
      <c r="K495">
        <v>44</v>
      </c>
      <c r="L495" s="4">
        <v>3.5000000000000001E-3</v>
      </c>
      <c r="M495">
        <v>0.02</v>
      </c>
      <c r="N495" s="4">
        <v>0.154</v>
      </c>
      <c r="O495" s="4">
        <v>0.88</v>
      </c>
    </row>
    <row r="496" spans="2:15">
      <c r="B496" t="s">
        <v>771</v>
      </c>
      <c r="C496" t="s">
        <v>50</v>
      </c>
      <c r="D496" t="s">
        <v>1561</v>
      </c>
      <c r="E496" t="s">
        <v>1562</v>
      </c>
      <c r="F496" t="s">
        <v>10</v>
      </c>
      <c r="G496" t="s">
        <v>1561</v>
      </c>
      <c r="H496" t="s">
        <v>1563</v>
      </c>
      <c r="I496" t="s">
        <v>32</v>
      </c>
      <c r="J496">
        <v>0</v>
      </c>
      <c r="K496">
        <v>74</v>
      </c>
      <c r="L496" s="4">
        <v>3.5000000000000001E-3</v>
      </c>
      <c r="M496">
        <v>0.02</v>
      </c>
      <c r="N496" s="4">
        <v>0.25900000000000001</v>
      </c>
      <c r="O496" s="4">
        <v>1.48</v>
      </c>
    </row>
    <row r="497" spans="2:15">
      <c r="B497" t="s">
        <v>771</v>
      </c>
      <c r="C497" t="s">
        <v>50</v>
      </c>
      <c r="D497" t="s">
        <v>1564</v>
      </c>
      <c r="E497" t="s">
        <v>1565</v>
      </c>
      <c r="F497" t="s">
        <v>10</v>
      </c>
      <c r="G497" t="s">
        <v>1564</v>
      </c>
      <c r="H497" t="s">
        <v>1566</v>
      </c>
      <c r="I497" t="s">
        <v>32</v>
      </c>
      <c r="J497">
        <v>0</v>
      </c>
      <c r="K497">
        <v>55</v>
      </c>
      <c r="L497" s="4">
        <v>3.5000000000000001E-3</v>
      </c>
      <c r="M497">
        <v>0.02</v>
      </c>
      <c r="N497" s="4">
        <v>0.1925</v>
      </c>
      <c r="O497" s="4">
        <v>1.1000000000000001</v>
      </c>
    </row>
    <row r="498" spans="2:15">
      <c r="B498" t="s">
        <v>771</v>
      </c>
      <c r="C498" t="s">
        <v>49</v>
      </c>
      <c r="D498" t="s">
        <v>1567</v>
      </c>
      <c r="E498" t="s">
        <v>1568</v>
      </c>
      <c r="F498" t="s">
        <v>12</v>
      </c>
      <c r="G498" t="s">
        <v>1567</v>
      </c>
      <c r="H498" t="s">
        <v>1569</v>
      </c>
      <c r="I498" t="s">
        <v>31</v>
      </c>
      <c r="J498">
        <v>2</v>
      </c>
      <c r="K498">
        <v>0</v>
      </c>
      <c r="L498" s="4">
        <v>3.8199999999999998E-2</v>
      </c>
      <c r="M498">
        <v>0.09</v>
      </c>
      <c r="N498" s="4">
        <v>7.64E-5</v>
      </c>
      <c r="O498" s="4">
        <v>1.7999999999999998E-4</v>
      </c>
    </row>
    <row r="499" spans="2:15">
      <c r="B499" t="s">
        <v>771</v>
      </c>
      <c r="C499" t="s">
        <v>49</v>
      </c>
      <c r="D499" t="s">
        <v>1570</v>
      </c>
      <c r="E499" t="s">
        <v>1571</v>
      </c>
      <c r="F499" t="s">
        <v>12</v>
      </c>
      <c r="G499" t="s">
        <v>1570</v>
      </c>
      <c r="H499" t="s">
        <v>1572</v>
      </c>
      <c r="I499" t="s">
        <v>31</v>
      </c>
      <c r="J499">
        <v>12</v>
      </c>
      <c r="K499">
        <v>0</v>
      </c>
      <c r="L499" s="4">
        <v>3.8199999999999998E-2</v>
      </c>
      <c r="M499">
        <v>0.09</v>
      </c>
      <c r="N499" s="4">
        <v>4.5839999999999998E-4</v>
      </c>
      <c r="O499" s="4">
        <v>1.08E-3</v>
      </c>
    </row>
    <row r="500" spans="2:15">
      <c r="B500" t="s">
        <v>771</v>
      </c>
      <c r="C500" t="s">
        <v>49</v>
      </c>
      <c r="D500" t="s">
        <v>1573</v>
      </c>
      <c r="E500" t="s">
        <v>1574</v>
      </c>
      <c r="F500" t="s">
        <v>12</v>
      </c>
      <c r="G500" t="s">
        <v>1573</v>
      </c>
      <c r="H500" t="s">
        <v>1575</v>
      </c>
      <c r="I500" t="s">
        <v>31</v>
      </c>
      <c r="J500">
        <v>1</v>
      </c>
      <c r="K500">
        <v>0</v>
      </c>
      <c r="L500" s="4">
        <v>3.8199999999999998E-2</v>
      </c>
      <c r="M500">
        <v>0.09</v>
      </c>
      <c r="N500" s="4">
        <v>3.82E-5</v>
      </c>
      <c r="O500" s="4">
        <v>8.9999999999999992E-5</v>
      </c>
    </row>
    <row r="501" spans="2:15">
      <c r="B501" t="s">
        <v>771</v>
      </c>
      <c r="C501" t="s">
        <v>49</v>
      </c>
      <c r="D501" t="s">
        <v>1576</v>
      </c>
      <c r="E501" t="s">
        <v>1577</v>
      </c>
      <c r="F501" t="s">
        <v>12</v>
      </c>
      <c r="G501" t="s">
        <v>1576</v>
      </c>
      <c r="H501" t="s">
        <v>1578</v>
      </c>
      <c r="I501" t="s">
        <v>31</v>
      </c>
      <c r="J501">
        <v>7</v>
      </c>
      <c r="K501">
        <v>0</v>
      </c>
      <c r="L501" s="4">
        <v>3.8199999999999998E-2</v>
      </c>
      <c r="M501">
        <v>0.09</v>
      </c>
      <c r="N501" s="4">
        <v>2.6739999999999999E-4</v>
      </c>
      <c r="O501" s="4">
        <v>6.3000000000000003E-4</v>
      </c>
    </row>
    <row r="502" spans="2:15">
      <c r="B502" t="s">
        <v>771</v>
      </c>
      <c r="C502" t="s">
        <v>49</v>
      </c>
      <c r="D502" t="s">
        <v>1579</v>
      </c>
      <c r="E502" t="s">
        <v>1580</v>
      </c>
      <c r="F502" t="s">
        <v>12</v>
      </c>
      <c r="G502" t="s">
        <v>1579</v>
      </c>
      <c r="H502" t="s">
        <v>1581</v>
      </c>
      <c r="I502" t="s">
        <v>31</v>
      </c>
      <c r="J502">
        <v>2</v>
      </c>
      <c r="K502">
        <v>0</v>
      </c>
      <c r="L502" s="4">
        <v>3.8199999999999998E-2</v>
      </c>
      <c r="M502">
        <v>0.09</v>
      </c>
      <c r="N502" s="4">
        <v>7.64E-5</v>
      </c>
      <c r="O502" s="4">
        <v>1.7999999999999998E-4</v>
      </c>
    </row>
    <row r="503" spans="2:15">
      <c r="B503" t="s">
        <v>771</v>
      </c>
      <c r="C503" t="s">
        <v>49</v>
      </c>
      <c r="D503" t="s">
        <v>1582</v>
      </c>
      <c r="E503" t="s">
        <v>67</v>
      </c>
      <c r="F503" t="s">
        <v>12</v>
      </c>
      <c r="G503" t="s">
        <v>1582</v>
      </c>
      <c r="H503" t="s">
        <v>68</v>
      </c>
      <c r="I503" t="s">
        <v>31</v>
      </c>
      <c r="J503">
        <v>1</v>
      </c>
      <c r="K503">
        <v>0</v>
      </c>
      <c r="L503" s="4">
        <v>3.8199999999999998E-2</v>
      </c>
      <c r="M503">
        <v>0.09</v>
      </c>
      <c r="N503" s="4">
        <v>3.82E-5</v>
      </c>
      <c r="O503" s="4">
        <v>8.9999999999999992E-5</v>
      </c>
    </row>
    <row r="504" spans="2:15">
      <c r="B504" t="s">
        <v>771</v>
      </c>
      <c r="C504" t="s">
        <v>217</v>
      </c>
      <c r="D504" t="s">
        <v>1583</v>
      </c>
      <c r="E504" t="s">
        <v>218</v>
      </c>
      <c r="F504" t="s">
        <v>10</v>
      </c>
      <c r="G504" t="s">
        <v>1583</v>
      </c>
      <c r="H504" t="s">
        <v>219</v>
      </c>
      <c r="I504" t="s">
        <v>32</v>
      </c>
      <c r="J504">
        <v>0</v>
      </c>
      <c r="K504">
        <v>3</v>
      </c>
      <c r="L504" s="4">
        <v>3.5000000000000001E-3</v>
      </c>
      <c r="M504">
        <v>0.02</v>
      </c>
      <c r="N504" s="4">
        <v>1.0500000000000001E-2</v>
      </c>
      <c r="O504" s="4">
        <v>0.06</v>
      </c>
    </row>
    <row r="505" spans="2:15">
      <c r="B505" t="s">
        <v>771</v>
      </c>
      <c r="C505" t="s">
        <v>111</v>
      </c>
      <c r="D505" t="s">
        <v>1584</v>
      </c>
      <c r="E505" t="s">
        <v>222</v>
      </c>
      <c r="F505" t="s">
        <v>12</v>
      </c>
      <c r="G505" t="s">
        <v>1584</v>
      </c>
      <c r="H505" t="s">
        <v>223</v>
      </c>
      <c r="I505" t="s">
        <v>31</v>
      </c>
      <c r="J505">
        <v>19</v>
      </c>
      <c r="K505">
        <v>0</v>
      </c>
      <c r="L505" s="4">
        <v>3.8199999999999998E-2</v>
      </c>
      <c r="M505">
        <v>0.09</v>
      </c>
      <c r="N505" s="4">
        <v>7.2579999999999997E-4</v>
      </c>
      <c r="O505" s="4">
        <v>1.7099999999999999E-3</v>
      </c>
    </row>
    <row r="506" spans="2:15">
      <c r="B506" t="s">
        <v>771</v>
      </c>
      <c r="C506" t="s">
        <v>111</v>
      </c>
      <c r="D506" t="s">
        <v>1585</v>
      </c>
      <c r="E506" t="s">
        <v>226</v>
      </c>
      <c r="F506" t="s">
        <v>12</v>
      </c>
      <c r="G506" t="s">
        <v>1585</v>
      </c>
      <c r="H506" t="s">
        <v>227</v>
      </c>
      <c r="I506" t="s">
        <v>31</v>
      </c>
      <c r="J506">
        <v>12</v>
      </c>
      <c r="K506">
        <v>0</v>
      </c>
      <c r="L506" s="4">
        <v>3.8199999999999998E-2</v>
      </c>
      <c r="M506">
        <v>0.09</v>
      </c>
      <c r="N506" s="4">
        <v>4.5839999999999998E-4</v>
      </c>
      <c r="O506" s="4">
        <v>1.08E-3</v>
      </c>
    </row>
    <row r="507" spans="2:15">
      <c r="B507" t="s">
        <v>771</v>
      </c>
      <c r="C507" t="s">
        <v>111</v>
      </c>
      <c r="D507" t="s">
        <v>1586</v>
      </c>
      <c r="E507" t="s">
        <v>1587</v>
      </c>
      <c r="F507" t="s">
        <v>12</v>
      </c>
      <c r="G507" t="s">
        <v>1586</v>
      </c>
      <c r="H507" t="s">
        <v>1588</v>
      </c>
      <c r="I507" t="s">
        <v>31</v>
      </c>
      <c r="J507">
        <v>1</v>
      </c>
      <c r="K507">
        <v>0</v>
      </c>
      <c r="L507" s="4">
        <v>3.8199999999999998E-2</v>
      </c>
      <c r="M507">
        <v>0.09</v>
      </c>
      <c r="N507" s="4">
        <v>3.82E-5</v>
      </c>
      <c r="O507" s="4">
        <v>8.9999999999999992E-5</v>
      </c>
    </row>
    <row r="508" spans="2:15">
      <c r="B508" t="s">
        <v>771</v>
      </c>
      <c r="C508" t="s">
        <v>111</v>
      </c>
      <c r="D508" t="s">
        <v>1589</v>
      </c>
      <c r="E508" t="s">
        <v>220</v>
      </c>
      <c r="F508" t="s">
        <v>10</v>
      </c>
      <c r="G508" t="s">
        <v>1589</v>
      </c>
      <c r="H508" t="s">
        <v>221</v>
      </c>
      <c r="I508" t="s">
        <v>32</v>
      </c>
      <c r="J508">
        <v>1</v>
      </c>
      <c r="K508">
        <v>0</v>
      </c>
      <c r="L508" s="4">
        <v>3.5000000000000001E-3</v>
      </c>
      <c r="M508">
        <v>0.02</v>
      </c>
      <c r="N508" s="4">
        <v>0</v>
      </c>
      <c r="O508" s="4">
        <v>0</v>
      </c>
    </row>
    <row r="509" spans="2:15">
      <c r="B509" t="s">
        <v>771</v>
      </c>
      <c r="C509" t="s">
        <v>111</v>
      </c>
      <c r="D509" t="s">
        <v>1590</v>
      </c>
      <c r="E509" t="s">
        <v>224</v>
      </c>
      <c r="F509" t="s">
        <v>12</v>
      </c>
      <c r="G509" t="s">
        <v>1590</v>
      </c>
      <c r="H509" t="s">
        <v>225</v>
      </c>
      <c r="I509" t="s">
        <v>31</v>
      </c>
      <c r="J509">
        <v>12</v>
      </c>
      <c r="K509">
        <v>0</v>
      </c>
      <c r="L509" s="4">
        <v>3.8199999999999998E-2</v>
      </c>
      <c r="M509">
        <v>0.09</v>
      </c>
      <c r="N509" s="4">
        <v>4.5839999999999998E-4</v>
      </c>
      <c r="O509" s="4">
        <v>1.08E-3</v>
      </c>
    </row>
    <row r="510" spans="2:15">
      <c r="B510" t="s">
        <v>771</v>
      </c>
      <c r="C510" t="s">
        <v>51</v>
      </c>
      <c r="D510" t="s">
        <v>1591</v>
      </c>
      <c r="E510" t="s">
        <v>1592</v>
      </c>
      <c r="F510" t="s">
        <v>10</v>
      </c>
      <c r="G510" t="s">
        <v>1591</v>
      </c>
      <c r="H510" t="s">
        <v>1593</v>
      </c>
      <c r="I510" t="s">
        <v>32</v>
      </c>
      <c r="J510">
        <v>0</v>
      </c>
      <c r="K510">
        <v>129</v>
      </c>
      <c r="L510" s="4">
        <v>3.5000000000000001E-3</v>
      </c>
      <c r="M510">
        <v>0.02</v>
      </c>
      <c r="N510" s="4">
        <v>0.45150000000000001</v>
      </c>
      <c r="O510" s="4">
        <v>2.58</v>
      </c>
    </row>
    <row r="511" spans="2:15">
      <c r="B511" t="s">
        <v>771</v>
      </c>
      <c r="C511" t="s">
        <v>51</v>
      </c>
      <c r="D511" t="s">
        <v>1591</v>
      </c>
      <c r="E511" t="s">
        <v>1594</v>
      </c>
      <c r="F511" t="s">
        <v>10</v>
      </c>
      <c r="G511" t="s">
        <v>1591</v>
      </c>
      <c r="H511" t="s">
        <v>1595</v>
      </c>
      <c r="I511" t="s">
        <v>32</v>
      </c>
      <c r="J511">
        <v>0</v>
      </c>
      <c r="K511">
        <v>1</v>
      </c>
      <c r="L511" s="4">
        <v>3.5000000000000001E-3</v>
      </c>
      <c r="M511">
        <v>0.02</v>
      </c>
      <c r="N511" s="4">
        <v>3.5000000000000001E-3</v>
      </c>
      <c r="O511" s="4">
        <v>0.02</v>
      </c>
    </row>
    <row r="512" spans="2:15">
      <c r="B512" t="s">
        <v>771</v>
      </c>
      <c r="C512" t="s">
        <v>51</v>
      </c>
      <c r="D512" t="s">
        <v>1596</v>
      </c>
      <c r="E512" t="s">
        <v>1597</v>
      </c>
      <c r="F512" t="s">
        <v>10</v>
      </c>
      <c r="G512" t="s">
        <v>1596</v>
      </c>
      <c r="H512" t="s">
        <v>1598</v>
      </c>
      <c r="I512" t="s">
        <v>32</v>
      </c>
      <c r="J512">
        <v>0</v>
      </c>
      <c r="K512">
        <v>66</v>
      </c>
      <c r="L512" s="4">
        <v>3.5000000000000001E-3</v>
      </c>
      <c r="M512">
        <v>0.02</v>
      </c>
      <c r="N512" s="4">
        <v>0.23100000000000001</v>
      </c>
      <c r="O512" s="4">
        <v>1.32</v>
      </c>
    </row>
    <row r="513" spans="2:15">
      <c r="B513" t="s">
        <v>771</v>
      </c>
      <c r="C513" t="s">
        <v>51</v>
      </c>
      <c r="D513" t="s">
        <v>1596</v>
      </c>
      <c r="E513" t="s">
        <v>1599</v>
      </c>
      <c r="F513" t="s">
        <v>10</v>
      </c>
      <c r="G513" t="s">
        <v>1596</v>
      </c>
      <c r="H513" t="s">
        <v>1600</v>
      </c>
      <c r="I513" t="s">
        <v>32</v>
      </c>
      <c r="J513">
        <v>0</v>
      </c>
      <c r="K513">
        <v>1</v>
      </c>
      <c r="L513" s="4">
        <v>3.5000000000000001E-3</v>
      </c>
      <c r="M513">
        <v>0.02</v>
      </c>
      <c r="N513" s="4">
        <v>3.5000000000000001E-3</v>
      </c>
      <c r="O513" s="4">
        <v>0.02</v>
      </c>
    </row>
    <row r="514" spans="2:15">
      <c r="B514" t="s">
        <v>771</v>
      </c>
      <c r="C514" t="s">
        <v>51</v>
      </c>
      <c r="D514" t="s">
        <v>1553</v>
      </c>
      <c r="E514" t="s">
        <v>1601</v>
      </c>
      <c r="F514" t="s">
        <v>10</v>
      </c>
      <c r="G514" t="s">
        <v>1553</v>
      </c>
      <c r="H514" t="s">
        <v>1602</v>
      </c>
      <c r="I514" t="s">
        <v>32</v>
      </c>
      <c r="J514">
        <v>0</v>
      </c>
      <c r="K514">
        <v>50</v>
      </c>
      <c r="L514" s="4">
        <v>3.5000000000000001E-3</v>
      </c>
      <c r="M514">
        <v>0.02</v>
      </c>
      <c r="N514" s="4">
        <v>0.17500000000000002</v>
      </c>
      <c r="O514" s="4">
        <v>1</v>
      </c>
    </row>
    <row r="515" spans="2:15">
      <c r="B515" t="s">
        <v>771</v>
      </c>
      <c r="C515" t="s">
        <v>51</v>
      </c>
      <c r="D515" t="s">
        <v>1558</v>
      </c>
      <c r="E515" t="s">
        <v>1603</v>
      </c>
      <c r="F515" t="s">
        <v>10</v>
      </c>
      <c r="G515" t="s">
        <v>1558</v>
      </c>
      <c r="H515" t="s">
        <v>1604</v>
      </c>
      <c r="I515" t="s">
        <v>32</v>
      </c>
      <c r="J515">
        <v>0</v>
      </c>
      <c r="K515">
        <v>48</v>
      </c>
      <c r="L515" s="4">
        <v>3.5000000000000001E-3</v>
      </c>
      <c r="M515">
        <v>0.02</v>
      </c>
      <c r="N515" s="4">
        <v>0.16800000000000001</v>
      </c>
      <c r="O515" s="4">
        <v>0.96</v>
      </c>
    </row>
    <row r="516" spans="2:15">
      <c r="B516" t="s">
        <v>771</v>
      </c>
      <c r="C516" t="s">
        <v>51</v>
      </c>
      <c r="D516" t="s">
        <v>1561</v>
      </c>
      <c r="E516" t="s">
        <v>1605</v>
      </c>
      <c r="F516" t="s">
        <v>10</v>
      </c>
      <c r="G516" t="s">
        <v>1561</v>
      </c>
      <c r="H516" t="s">
        <v>1606</v>
      </c>
      <c r="I516" t="s">
        <v>32</v>
      </c>
      <c r="J516">
        <v>0</v>
      </c>
      <c r="K516">
        <v>37</v>
      </c>
      <c r="L516" s="4">
        <v>3.5000000000000001E-3</v>
      </c>
      <c r="M516">
        <v>0.02</v>
      </c>
      <c r="N516" s="4">
        <v>0.1295</v>
      </c>
      <c r="O516" s="4">
        <v>0.74</v>
      </c>
    </row>
    <row r="517" spans="2:15">
      <c r="B517" t="s">
        <v>771</v>
      </c>
      <c r="C517" t="s">
        <v>51</v>
      </c>
      <c r="D517" t="s">
        <v>1607</v>
      </c>
      <c r="E517" t="s">
        <v>1608</v>
      </c>
      <c r="F517" t="s">
        <v>10</v>
      </c>
      <c r="G517" t="s">
        <v>1607</v>
      </c>
      <c r="H517" t="s">
        <v>1609</v>
      </c>
      <c r="I517" t="s">
        <v>32</v>
      </c>
      <c r="J517">
        <v>0</v>
      </c>
      <c r="K517">
        <v>229</v>
      </c>
      <c r="L517" s="4">
        <v>3.5000000000000001E-3</v>
      </c>
      <c r="M517">
        <v>0.02</v>
      </c>
      <c r="N517" s="4">
        <v>0.80149999999999999</v>
      </c>
      <c r="O517" s="4">
        <v>4.58</v>
      </c>
    </row>
    <row r="518" spans="2:15">
      <c r="B518" t="s">
        <v>771</v>
      </c>
      <c r="C518" t="s">
        <v>51</v>
      </c>
      <c r="D518" t="s">
        <v>1564</v>
      </c>
      <c r="E518" t="s">
        <v>1610</v>
      </c>
      <c r="F518" t="s">
        <v>10</v>
      </c>
      <c r="G518" t="s">
        <v>1564</v>
      </c>
      <c r="H518" t="s">
        <v>1611</v>
      </c>
      <c r="I518" t="s">
        <v>32</v>
      </c>
      <c r="J518">
        <v>0</v>
      </c>
      <c r="K518">
        <v>101</v>
      </c>
      <c r="L518" s="4">
        <v>3.5000000000000001E-3</v>
      </c>
      <c r="M518">
        <v>0.02</v>
      </c>
      <c r="N518" s="4">
        <v>0.35349999999999998</v>
      </c>
      <c r="O518" s="4">
        <v>2.02</v>
      </c>
    </row>
    <row r="519" spans="2:15">
      <c r="B519" t="s">
        <v>771</v>
      </c>
      <c r="C519" t="s">
        <v>51</v>
      </c>
      <c r="D519" t="s">
        <v>1612</v>
      </c>
      <c r="E519" t="s">
        <v>1613</v>
      </c>
      <c r="F519" t="s">
        <v>10</v>
      </c>
      <c r="G519" t="s">
        <v>1612</v>
      </c>
      <c r="H519" t="s">
        <v>1614</v>
      </c>
      <c r="I519" t="s">
        <v>32</v>
      </c>
      <c r="J519">
        <v>0</v>
      </c>
      <c r="K519">
        <v>47</v>
      </c>
      <c r="L519" s="4">
        <v>3.5000000000000001E-3</v>
      </c>
      <c r="M519">
        <v>0.02</v>
      </c>
      <c r="N519" s="4">
        <v>0.16450000000000001</v>
      </c>
      <c r="O519" s="4">
        <v>0.94000000000000006</v>
      </c>
    </row>
    <row r="520" spans="2:15">
      <c r="B520" t="s">
        <v>771</v>
      </c>
      <c r="C520" t="s">
        <v>51</v>
      </c>
      <c r="D520" t="s">
        <v>1615</v>
      </c>
      <c r="E520" t="s">
        <v>1616</v>
      </c>
      <c r="F520" t="s">
        <v>10</v>
      </c>
      <c r="G520" t="s">
        <v>1615</v>
      </c>
      <c r="H520" t="s">
        <v>1617</v>
      </c>
      <c r="I520" t="s">
        <v>32</v>
      </c>
      <c r="J520">
        <v>0</v>
      </c>
      <c r="K520">
        <v>60</v>
      </c>
      <c r="L520" s="4">
        <v>3.5000000000000001E-3</v>
      </c>
      <c r="M520">
        <v>0.02</v>
      </c>
      <c r="N520" s="4">
        <v>0.21</v>
      </c>
      <c r="O520" s="4">
        <v>1.2</v>
      </c>
    </row>
    <row r="521" spans="2:15">
      <c r="B521" t="s">
        <v>771</v>
      </c>
      <c r="C521" t="s">
        <v>51</v>
      </c>
      <c r="D521" t="s">
        <v>1618</v>
      </c>
      <c r="E521" t="s">
        <v>1619</v>
      </c>
      <c r="F521" t="s">
        <v>10</v>
      </c>
      <c r="G521" t="s">
        <v>1618</v>
      </c>
      <c r="H521" t="s">
        <v>1620</v>
      </c>
      <c r="I521" t="s">
        <v>32</v>
      </c>
      <c r="J521">
        <v>0</v>
      </c>
      <c r="K521">
        <v>173</v>
      </c>
      <c r="L521" s="4">
        <v>3.5000000000000001E-3</v>
      </c>
      <c r="M521">
        <v>0.02</v>
      </c>
      <c r="N521" s="4">
        <v>0.60550000000000004</v>
      </c>
      <c r="O521" s="4">
        <v>3.46</v>
      </c>
    </row>
    <row r="522" spans="2:15">
      <c r="B522" t="s">
        <v>771</v>
      </c>
      <c r="C522" t="s">
        <v>51</v>
      </c>
      <c r="D522" t="s">
        <v>1621</v>
      </c>
      <c r="E522" t="s">
        <v>1622</v>
      </c>
      <c r="F522" t="s">
        <v>10</v>
      </c>
      <c r="G522" t="s">
        <v>1621</v>
      </c>
      <c r="H522" t="s">
        <v>1623</v>
      </c>
      <c r="I522" t="s">
        <v>32</v>
      </c>
      <c r="J522">
        <v>0</v>
      </c>
      <c r="K522">
        <v>144</v>
      </c>
      <c r="L522" s="4">
        <v>3.5000000000000001E-3</v>
      </c>
      <c r="M522">
        <v>0.02</v>
      </c>
      <c r="N522" s="4">
        <v>0.504</v>
      </c>
      <c r="O522" s="4">
        <v>2.88</v>
      </c>
    </row>
    <row r="523" spans="2:15">
      <c r="B523" t="s">
        <v>771</v>
      </c>
      <c r="C523" t="s">
        <v>51</v>
      </c>
      <c r="D523" t="s">
        <v>1624</v>
      </c>
      <c r="E523" t="s">
        <v>1625</v>
      </c>
      <c r="F523" t="s">
        <v>10</v>
      </c>
      <c r="G523" t="s">
        <v>1624</v>
      </c>
      <c r="H523" t="s">
        <v>1626</v>
      </c>
      <c r="I523" t="s">
        <v>32</v>
      </c>
      <c r="J523">
        <v>0</v>
      </c>
      <c r="K523">
        <v>48</v>
      </c>
      <c r="L523" s="4">
        <v>3.5000000000000001E-3</v>
      </c>
      <c r="M523">
        <v>0.02</v>
      </c>
      <c r="N523" s="4">
        <v>0.16800000000000001</v>
      </c>
      <c r="O523" s="4">
        <v>0.96</v>
      </c>
    </row>
    <row r="524" spans="2:15">
      <c r="B524" t="s">
        <v>771</v>
      </c>
      <c r="C524" t="s">
        <v>51</v>
      </c>
      <c r="D524" t="s">
        <v>1627</v>
      </c>
      <c r="E524" t="s">
        <v>1628</v>
      </c>
      <c r="F524" t="s">
        <v>10</v>
      </c>
      <c r="G524" t="s">
        <v>1627</v>
      </c>
      <c r="H524" t="s">
        <v>1629</v>
      </c>
      <c r="I524" t="s">
        <v>32</v>
      </c>
      <c r="J524">
        <v>0</v>
      </c>
      <c r="K524">
        <v>160</v>
      </c>
      <c r="L524" s="4">
        <v>3.5000000000000001E-3</v>
      </c>
      <c r="M524">
        <v>0.02</v>
      </c>
      <c r="N524" s="4">
        <v>0.56000000000000005</v>
      </c>
      <c r="O524" s="4">
        <v>3.2</v>
      </c>
    </row>
    <row r="525" spans="2:15">
      <c r="B525" t="s">
        <v>771</v>
      </c>
      <c r="C525" t="s">
        <v>51</v>
      </c>
      <c r="D525" t="s">
        <v>1630</v>
      </c>
      <c r="E525" t="s">
        <v>1631</v>
      </c>
      <c r="F525" t="s">
        <v>10</v>
      </c>
      <c r="G525" t="s">
        <v>1630</v>
      </c>
      <c r="H525" t="s">
        <v>1632</v>
      </c>
      <c r="I525" t="s">
        <v>32</v>
      </c>
      <c r="J525">
        <v>0</v>
      </c>
      <c r="K525">
        <v>32</v>
      </c>
      <c r="L525" s="4">
        <v>3.5000000000000001E-3</v>
      </c>
      <c r="M525">
        <v>0.02</v>
      </c>
      <c r="N525" s="4">
        <v>0.112</v>
      </c>
      <c r="O525" s="4">
        <v>0.64</v>
      </c>
    </row>
    <row r="526" spans="2:15">
      <c r="B526" t="s">
        <v>771</v>
      </c>
      <c r="C526" t="s">
        <v>51</v>
      </c>
      <c r="D526" t="s">
        <v>1633</v>
      </c>
      <c r="E526" t="s">
        <v>1634</v>
      </c>
      <c r="F526" t="s">
        <v>10</v>
      </c>
      <c r="G526" t="s">
        <v>1633</v>
      </c>
      <c r="H526" t="s">
        <v>1635</v>
      </c>
      <c r="I526" t="s">
        <v>32</v>
      </c>
      <c r="J526">
        <v>0</v>
      </c>
      <c r="K526">
        <v>47</v>
      </c>
      <c r="L526" s="4">
        <v>3.5000000000000001E-3</v>
      </c>
      <c r="M526">
        <v>0.02</v>
      </c>
      <c r="N526" s="4">
        <v>0.16450000000000001</v>
      </c>
      <c r="O526" s="4">
        <v>0.94000000000000006</v>
      </c>
    </row>
    <row r="527" spans="2:15">
      <c r="B527" t="s">
        <v>771</v>
      </c>
      <c r="C527" t="s">
        <v>51</v>
      </c>
      <c r="D527" t="s">
        <v>1636</v>
      </c>
      <c r="E527" t="s">
        <v>1637</v>
      </c>
      <c r="F527" t="s">
        <v>10</v>
      </c>
      <c r="G527" t="s">
        <v>1636</v>
      </c>
      <c r="H527" t="s">
        <v>1638</v>
      </c>
      <c r="I527" t="s">
        <v>32</v>
      </c>
      <c r="J527">
        <v>0</v>
      </c>
      <c r="K527">
        <v>13</v>
      </c>
      <c r="L527" s="4">
        <v>3.5000000000000001E-3</v>
      </c>
      <c r="M527">
        <v>0.02</v>
      </c>
      <c r="N527" s="4">
        <v>4.5499999999999999E-2</v>
      </c>
      <c r="O527" s="4">
        <v>0.26</v>
      </c>
    </row>
    <row r="528" spans="2:15">
      <c r="B528" t="s">
        <v>771</v>
      </c>
      <c r="C528" t="s">
        <v>51</v>
      </c>
      <c r="D528" t="s">
        <v>1639</v>
      </c>
      <c r="E528" t="s">
        <v>1640</v>
      </c>
      <c r="F528" t="s">
        <v>10</v>
      </c>
      <c r="G528" t="s">
        <v>1639</v>
      </c>
      <c r="H528" t="s">
        <v>1641</v>
      </c>
      <c r="I528" t="s">
        <v>32</v>
      </c>
      <c r="J528">
        <v>0</v>
      </c>
      <c r="K528">
        <v>63</v>
      </c>
      <c r="L528" s="4">
        <v>3.5000000000000001E-3</v>
      </c>
      <c r="M528">
        <v>0.02</v>
      </c>
      <c r="N528" s="4">
        <v>0.2205</v>
      </c>
      <c r="O528" s="4">
        <v>1.26</v>
      </c>
    </row>
    <row r="529" spans="2:15">
      <c r="B529" t="s">
        <v>771</v>
      </c>
      <c r="C529" t="s">
        <v>51</v>
      </c>
      <c r="D529" t="s">
        <v>1642</v>
      </c>
      <c r="E529" t="s">
        <v>1643</v>
      </c>
      <c r="F529" t="s">
        <v>10</v>
      </c>
      <c r="G529" t="s">
        <v>1642</v>
      </c>
      <c r="H529" t="s">
        <v>1644</v>
      </c>
      <c r="I529" t="s">
        <v>32</v>
      </c>
      <c r="J529">
        <v>0</v>
      </c>
      <c r="K529">
        <v>211</v>
      </c>
      <c r="L529" s="4">
        <v>3.5000000000000001E-3</v>
      </c>
      <c r="M529">
        <v>0.02</v>
      </c>
      <c r="N529" s="4">
        <v>0.73850000000000005</v>
      </c>
      <c r="O529" s="4">
        <v>4.22</v>
      </c>
    </row>
    <row r="530" spans="2:15">
      <c r="B530" t="s">
        <v>771</v>
      </c>
      <c r="C530" t="s">
        <v>51</v>
      </c>
      <c r="D530" t="s">
        <v>1645</v>
      </c>
      <c r="E530" t="s">
        <v>1646</v>
      </c>
      <c r="F530" t="s">
        <v>10</v>
      </c>
      <c r="G530" t="s">
        <v>1645</v>
      </c>
      <c r="H530" t="s">
        <v>1647</v>
      </c>
      <c r="I530" t="s">
        <v>32</v>
      </c>
      <c r="J530">
        <v>0</v>
      </c>
      <c r="K530">
        <v>96</v>
      </c>
      <c r="L530" s="4">
        <v>3.5000000000000001E-3</v>
      </c>
      <c r="M530">
        <v>0.02</v>
      </c>
      <c r="N530" s="4">
        <v>0.33600000000000002</v>
      </c>
      <c r="O530" s="4">
        <v>1.92</v>
      </c>
    </row>
    <row r="531" spans="2:15">
      <c r="B531" t="s">
        <v>771</v>
      </c>
      <c r="C531" t="s">
        <v>51</v>
      </c>
      <c r="D531" t="s">
        <v>1648</v>
      </c>
      <c r="E531" t="s">
        <v>1649</v>
      </c>
      <c r="F531" t="s">
        <v>10</v>
      </c>
      <c r="G531" t="s">
        <v>1648</v>
      </c>
      <c r="H531" t="s">
        <v>1650</v>
      </c>
      <c r="I531" t="s">
        <v>32</v>
      </c>
      <c r="J531">
        <v>0</v>
      </c>
      <c r="K531">
        <v>37</v>
      </c>
      <c r="L531" s="4">
        <v>3.5000000000000001E-3</v>
      </c>
      <c r="M531">
        <v>0.02</v>
      </c>
      <c r="N531" s="4">
        <v>0.1295</v>
      </c>
      <c r="O531" s="4">
        <v>0.74</v>
      </c>
    </row>
    <row r="532" spans="2:15">
      <c r="B532" t="s">
        <v>771</v>
      </c>
      <c r="C532" t="s">
        <v>51</v>
      </c>
      <c r="D532" t="s">
        <v>1651</v>
      </c>
      <c r="E532" t="s">
        <v>1652</v>
      </c>
      <c r="F532" t="s">
        <v>10</v>
      </c>
      <c r="G532" t="s">
        <v>1651</v>
      </c>
      <c r="H532" t="s">
        <v>1653</v>
      </c>
      <c r="I532" t="s">
        <v>32</v>
      </c>
      <c r="J532">
        <v>0</v>
      </c>
      <c r="K532">
        <v>95</v>
      </c>
      <c r="L532" s="4">
        <v>3.5000000000000001E-3</v>
      </c>
      <c r="M532">
        <v>0.02</v>
      </c>
      <c r="N532" s="4">
        <v>0.33250000000000002</v>
      </c>
      <c r="O532" s="4">
        <v>1.9000000000000001</v>
      </c>
    </row>
    <row r="533" spans="2:15">
      <c r="B533" t="s">
        <v>771</v>
      </c>
      <c r="C533" t="s">
        <v>51</v>
      </c>
      <c r="D533" t="s">
        <v>1654</v>
      </c>
      <c r="E533" t="s">
        <v>1655</v>
      </c>
      <c r="F533" t="s">
        <v>10</v>
      </c>
      <c r="G533" t="s">
        <v>1654</v>
      </c>
      <c r="H533" t="s">
        <v>1656</v>
      </c>
      <c r="I533" t="s">
        <v>32</v>
      </c>
      <c r="J533">
        <v>0</v>
      </c>
      <c r="K533">
        <v>19</v>
      </c>
      <c r="L533" s="4">
        <v>3.5000000000000001E-3</v>
      </c>
      <c r="M533">
        <v>0.02</v>
      </c>
      <c r="N533" s="4">
        <v>6.6500000000000004E-2</v>
      </c>
      <c r="O533" s="4">
        <v>0.38</v>
      </c>
    </row>
    <row r="534" spans="2:15">
      <c r="B534" t="s">
        <v>771</v>
      </c>
      <c r="C534" t="s">
        <v>51</v>
      </c>
      <c r="D534" t="s">
        <v>1657</v>
      </c>
      <c r="E534" t="s">
        <v>1658</v>
      </c>
      <c r="F534" t="s">
        <v>10</v>
      </c>
      <c r="G534" t="s">
        <v>1657</v>
      </c>
      <c r="H534" t="s">
        <v>1659</v>
      </c>
      <c r="I534" t="s">
        <v>32</v>
      </c>
      <c r="J534">
        <v>0</v>
      </c>
      <c r="K534">
        <v>33</v>
      </c>
      <c r="L534" s="4">
        <v>3.5000000000000001E-3</v>
      </c>
      <c r="M534">
        <v>0.02</v>
      </c>
      <c r="N534" s="4">
        <v>0.11550000000000001</v>
      </c>
      <c r="O534" s="4">
        <v>0.66</v>
      </c>
    </row>
    <row r="535" spans="2:15">
      <c r="B535" t="s">
        <v>771</v>
      </c>
      <c r="C535" t="s">
        <v>51</v>
      </c>
      <c r="D535" t="s">
        <v>1660</v>
      </c>
      <c r="E535" t="s">
        <v>1661</v>
      </c>
      <c r="F535" t="s">
        <v>10</v>
      </c>
      <c r="G535" t="s">
        <v>1660</v>
      </c>
      <c r="H535" t="s">
        <v>1662</v>
      </c>
      <c r="I535" t="s">
        <v>32</v>
      </c>
      <c r="J535">
        <v>0</v>
      </c>
      <c r="K535">
        <v>32</v>
      </c>
      <c r="L535" s="4">
        <v>3.5000000000000001E-3</v>
      </c>
      <c r="M535">
        <v>0.02</v>
      </c>
      <c r="N535" s="4">
        <v>0.112</v>
      </c>
      <c r="O535" s="4">
        <v>0.64</v>
      </c>
    </row>
    <row r="536" spans="2:15">
      <c r="B536" t="s">
        <v>771</v>
      </c>
      <c r="C536" t="s">
        <v>51</v>
      </c>
      <c r="D536" t="s">
        <v>1663</v>
      </c>
      <c r="E536" t="s">
        <v>1664</v>
      </c>
      <c r="F536" t="s">
        <v>10</v>
      </c>
      <c r="G536" t="s">
        <v>1663</v>
      </c>
      <c r="H536" t="s">
        <v>1665</v>
      </c>
      <c r="I536" t="s">
        <v>32</v>
      </c>
      <c r="J536">
        <v>0</v>
      </c>
      <c r="K536">
        <v>30</v>
      </c>
      <c r="L536" s="4">
        <v>3.5000000000000001E-3</v>
      </c>
      <c r="M536">
        <v>0.02</v>
      </c>
      <c r="N536" s="4">
        <v>0.105</v>
      </c>
      <c r="O536" s="4">
        <v>0.6</v>
      </c>
    </row>
    <row r="537" spans="2:15">
      <c r="B537" t="s">
        <v>771</v>
      </c>
      <c r="C537" t="s">
        <v>51</v>
      </c>
      <c r="D537" t="s">
        <v>1666</v>
      </c>
      <c r="E537" t="s">
        <v>1667</v>
      </c>
      <c r="F537" t="s">
        <v>10</v>
      </c>
      <c r="G537" t="s">
        <v>1666</v>
      </c>
      <c r="H537" t="s">
        <v>1668</v>
      </c>
      <c r="I537" t="s">
        <v>32</v>
      </c>
      <c r="J537">
        <v>0</v>
      </c>
      <c r="K537">
        <v>80</v>
      </c>
      <c r="L537" s="4">
        <v>3.5000000000000001E-3</v>
      </c>
      <c r="M537">
        <v>0.02</v>
      </c>
      <c r="N537" s="4">
        <v>0.28000000000000003</v>
      </c>
      <c r="O537" s="4">
        <v>1.6</v>
      </c>
    </row>
    <row r="538" spans="2:15">
      <c r="B538" t="s">
        <v>771</v>
      </c>
      <c r="C538" t="s">
        <v>51</v>
      </c>
      <c r="D538" t="s">
        <v>1669</v>
      </c>
      <c r="E538" t="s">
        <v>1670</v>
      </c>
      <c r="F538" t="s">
        <v>10</v>
      </c>
      <c r="G538" t="s">
        <v>1669</v>
      </c>
      <c r="H538" t="s">
        <v>1671</v>
      </c>
      <c r="I538" t="s">
        <v>32</v>
      </c>
      <c r="J538">
        <v>0</v>
      </c>
      <c r="K538">
        <v>152</v>
      </c>
      <c r="L538" s="4">
        <v>3.5000000000000001E-3</v>
      </c>
      <c r="M538">
        <v>0.02</v>
      </c>
      <c r="N538" s="4">
        <v>0.53200000000000003</v>
      </c>
      <c r="O538" s="4">
        <v>3.04</v>
      </c>
    </row>
    <row r="539" spans="2:15">
      <c r="B539" t="s">
        <v>771</v>
      </c>
      <c r="C539" t="s">
        <v>51</v>
      </c>
      <c r="D539" t="s">
        <v>1672</v>
      </c>
      <c r="E539" t="s">
        <v>1673</v>
      </c>
      <c r="F539" t="s">
        <v>10</v>
      </c>
      <c r="G539" t="s">
        <v>1672</v>
      </c>
      <c r="H539" t="s">
        <v>1674</v>
      </c>
      <c r="I539" t="s">
        <v>32</v>
      </c>
      <c r="J539">
        <v>0</v>
      </c>
      <c r="K539">
        <v>62</v>
      </c>
      <c r="L539" s="4">
        <v>3.5000000000000001E-3</v>
      </c>
      <c r="M539">
        <v>0.02</v>
      </c>
      <c r="N539" s="4">
        <v>0.217</v>
      </c>
      <c r="O539" s="4">
        <v>1.24</v>
      </c>
    </row>
    <row r="540" spans="2:15">
      <c r="B540" t="s">
        <v>771</v>
      </c>
      <c r="C540" t="s">
        <v>51</v>
      </c>
      <c r="D540" t="s">
        <v>1675</v>
      </c>
      <c r="E540" t="s">
        <v>1676</v>
      </c>
      <c r="F540" t="s">
        <v>10</v>
      </c>
      <c r="G540" t="s">
        <v>1675</v>
      </c>
      <c r="H540" t="s">
        <v>1677</v>
      </c>
      <c r="I540" t="s">
        <v>32</v>
      </c>
      <c r="J540">
        <v>0</v>
      </c>
      <c r="K540">
        <v>37</v>
      </c>
      <c r="L540" s="4">
        <v>3.5000000000000001E-3</v>
      </c>
      <c r="M540">
        <v>0.02</v>
      </c>
      <c r="N540" s="4">
        <v>0.1295</v>
      </c>
      <c r="O540" s="4">
        <v>0.74</v>
      </c>
    </row>
    <row r="541" spans="2:15">
      <c r="B541" t="s">
        <v>771</v>
      </c>
      <c r="C541" t="s">
        <v>51</v>
      </c>
      <c r="D541" t="s">
        <v>1678</v>
      </c>
      <c r="E541" t="s">
        <v>1679</v>
      </c>
      <c r="F541" t="s">
        <v>10</v>
      </c>
      <c r="G541" t="s">
        <v>1678</v>
      </c>
      <c r="H541" t="s">
        <v>1680</v>
      </c>
      <c r="I541" t="s">
        <v>32</v>
      </c>
      <c r="J541">
        <v>0</v>
      </c>
      <c r="K541">
        <v>87</v>
      </c>
      <c r="L541" s="4">
        <v>3.5000000000000001E-3</v>
      </c>
      <c r="M541">
        <v>0.02</v>
      </c>
      <c r="N541" s="4">
        <v>0.30449999999999999</v>
      </c>
      <c r="O541" s="4">
        <v>1.74</v>
      </c>
    </row>
    <row r="542" spans="2:15">
      <c r="B542" t="s">
        <v>771</v>
      </c>
      <c r="C542" t="s">
        <v>51</v>
      </c>
      <c r="D542" t="s">
        <v>1681</v>
      </c>
      <c r="E542" t="s">
        <v>1682</v>
      </c>
      <c r="F542" t="s">
        <v>10</v>
      </c>
      <c r="G542" t="s">
        <v>1681</v>
      </c>
      <c r="H542" t="s">
        <v>1683</v>
      </c>
      <c r="I542" t="s">
        <v>32</v>
      </c>
      <c r="J542">
        <v>0</v>
      </c>
      <c r="K542">
        <v>459</v>
      </c>
      <c r="L542" s="4">
        <v>3.5000000000000001E-3</v>
      </c>
      <c r="M542">
        <v>0.02</v>
      </c>
      <c r="N542" s="4">
        <v>1.6065</v>
      </c>
      <c r="O542" s="4">
        <v>9.18</v>
      </c>
    </row>
    <row r="543" spans="2:15">
      <c r="B543" t="s">
        <v>771</v>
      </c>
      <c r="C543" t="s">
        <v>51</v>
      </c>
      <c r="D543" t="s">
        <v>1684</v>
      </c>
      <c r="E543" t="s">
        <v>1685</v>
      </c>
      <c r="F543" t="s">
        <v>10</v>
      </c>
      <c r="G543" t="s">
        <v>1684</v>
      </c>
      <c r="H543" t="s">
        <v>1686</v>
      </c>
      <c r="I543" t="s">
        <v>32</v>
      </c>
      <c r="J543">
        <v>0</v>
      </c>
      <c r="K543">
        <v>398</v>
      </c>
      <c r="L543" s="4">
        <v>3.5000000000000001E-3</v>
      </c>
      <c r="M543">
        <v>0.02</v>
      </c>
      <c r="N543" s="4">
        <v>1.393</v>
      </c>
      <c r="O543" s="4">
        <v>7.96</v>
      </c>
    </row>
    <row r="544" spans="2:15">
      <c r="B544" t="s">
        <v>771</v>
      </c>
      <c r="C544" t="s">
        <v>51</v>
      </c>
      <c r="D544" t="s">
        <v>1687</v>
      </c>
      <c r="E544" t="s">
        <v>1688</v>
      </c>
      <c r="F544" t="s">
        <v>10</v>
      </c>
      <c r="G544" t="s">
        <v>1687</v>
      </c>
      <c r="H544" t="s">
        <v>1689</v>
      </c>
      <c r="I544" t="s">
        <v>32</v>
      </c>
      <c r="J544">
        <v>0</v>
      </c>
      <c r="K544">
        <v>51</v>
      </c>
      <c r="L544" s="4">
        <v>3.5000000000000001E-3</v>
      </c>
      <c r="M544">
        <v>0.02</v>
      </c>
      <c r="N544" s="4">
        <v>0.17849999999999999</v>
      </c>
      <c r="O544" s="4">
        <v>1.02</v>
      </c>
    </row>
    <row r="545" spans="2:15">
      <c r="B545" t="s">
        <v>771</v>
      </c>
      <c r="C545" t="s">
        <v>51</v>
      </c>
      <c r="D545" t="s">
        <v>1690</v>
      </c>
      <c r="E545" t="s">
        <v>1691</v>
      </c>
      <c r="F545" t="s">
        <v>10</v>
      </c>
      <c r="G545" t="s">
        <v>1690</v>
      </c>
      <c r="H545" t="s">
        <v>1692</v>
      </c>
      <c r="I545" t="s">
        <v>32</v>
      </c>
      <c r="J545">
        <v>0</v>
      </c>
      <c r="K545">
        <v>119</v>
      </c>
      <c r="L545" s="4">
        <v>3.5000000000000001E-3</v>
      </c>
      <c r="M545">
        <v>0.02</v>
      </c>
      <c r="N545" s="4">
        <v>0.41649999999999998</v>
      </c>
      <c r="O545" s="4">
        <v>2.38</v>
      </c>
    </row>
    <row r="546" spans="2:15">
      <c r="B546" t="s">
        <v>771</v>
      </c>
      <c r="C546" t="s">
        <v>51</v>
      </c>
      <c r="D546" t="s">
        <v>1693</v>
      </c>
      <c r="E546" t="s">
        <v>1694</v>
      </c>
      <c r="F546" t="s">
        <v>10</v>
      </c>
      <c r="G546" t="s">
        <v>1693</v>
      </c>
      <c r="H546" t="s">
        <v>1695</v>
      </c>
      <c r="I546" t="s">
        <v>32</v>
      </c>
      <c r="J546">
        <v>0</v>
      </c>
      <c r="K546">
        <v>29</v>
      </c>
      <c r="L546" s="4">
        <v>3.5000000000000001E-3</v>
      </c>
      <c r="M546">
        <v>0.02</v>
      </c>
      <c r="N546" s="4">
        <v>0.10150000000000001</v>
      </c>
      <c r="O546" s="4">
        <v>0.57999999999999996</v>
      </c>
    </row>
    <row r="547" spans="2:15">
      <c r="B547" t="s">
        <v>771</v>
      </c>
      <c r="C547" t="s">
        <v>51</v>
      </c>
      <c r="D547" t="s">
        <v>1693</v>
      </c>
      <c r="E547" t="s">
        <v>1696</v>
      </c>
      <c r="F547" t="s">
        <v>10</v>
      </c>
      <c r="G547" t="s">
        <v>1693</v>
      </c>
      <c r="H547" t="s">
        <v>1697</v>
      </c>
      <c r="I547" t="s">
        <v>32</v>
      </c>
      <c r="J547">
        <v>0</v>
      </c>
      <c r="K547">
        <v>1</v>
      </c>
      <c r="L547" s="4">
        <v>3.5000000000000001E-3</v>
      </c>
      <c r="M547">
        <v>0.02</v>
      </c>
      <c r="N547" s="4">
        <v>3.5000000000000001E-3</v>
      </c>
      <c r="O547" s="4">
        <v>0.02</v>
      </c>
    </row>
    <row r="548" spans="2:15">
      <c r="B548" t="s">
        <v>771</v>
      </c>
      <c r="C548" t="s">
        <v>51</v>
      </c>
      <c r="D548" t="s">
        <v>1698</v>
      </c>
      <c r="E548" t="s">
        <v>1699</v>
      </c>
      <c r="F548" t="s">
        <v>10</v>
      </c>
      <c r="G548" t="s">
        <v>1698</v>
      </c>
      <c r="H548" t="s">
        <v>1700</v>
      </c>
      <c r="I548" t="s">
        <v>32</v>
      </c>
      <c r="J548">
        <v>0</v>
      </c>
      <c r="K548">
        <v>124</v>
      </c>
      <c r="L548" s="4">
        <v>3.5000000000000001E-3</v>
      </c>
      <c r="M548">
        <v>0.02</v>
      </c>
      <c r="N548" s="4">
        <v>0.434</v>
      </c>
      <c r="O548" s="4">
        <v>2.48</v>
      </c>
    </row>
    <row r="549" spans="2:15">
      <c r="B549" t="s">
        <v>771</v>
      </c>
      <c r="C549" t="s">
        <v>51</v>
      </c>
      <c r="D549" t="s">
        <v>1701</v>
      </c>
      <c r="E549" t="s">
        <v>1702</v>
      </c>
      <c r="F549" t="s">
        <v>10</v>
      </c>
      <c r="G549" t="s">
        <v>1701</v>
      </c>
      <c r="H549" t="s">
        <v>1703</v>
      </c>
      <c r="I549" t="s">
        <v>32</v>
      </c>
      <c r="J549">
        <v>0</v>
      </c>
      <c r="K549">
        <v>103</v>
      </c>
      <c r="L549" s="4">
        <v>3.5000000000000001E-3</v>
      </c>
      <c r="M549">
        <v>0.02</v>
      </c>
      <c r="N549" s="4">
        <v>0.36049999999999999</v>
      </c>
      <c r="O549" s="4">
        <v>2.06</v>
      </c>
    </row>
    <row r="550" spans="2:15">
      <c r="B550" t="s">
        <v>771</v>
      </c>
      <c r="C550" t="s">
        <v>51</v>
      </c>
      <c r="D550" t="s">
        <v>1704</v>
      </c>
      <c r="E550" t="s">
        <v>1705</v>
      </c>
      <c r="F550" t="s">
        <v>10</v>
      </c>
      <c r="G550" t="s">
        <v>1704</v>
      </c>
      <c r="H550" t="s">
        <v>1706</v>
      </c>
      <c r="I550" t="s">
        <v>32</v>
      </c>
      <c r="J550">
        <v>0</v>
      </c>
      <c r="K550">
        <v>47</v>
      </c>
      <c r="L550" s="4">
        <v>3.5000000000000001E-3</v>
      </c>
      <c r="M550">
        <v>0.02</v>
      </c>
      <c r="N550" s="4">
        <v>0.16450000000000001</v>
      </c>
      <c r="O550" s="4">
        <v>0.94000000000000006</v>
      </c>
    </row>
    <row r="551" spans="2:15">
      <c r="B551" t="s">
        <v>771</v>
      </c>
      <c r="C551" t="s">
        <v>51</v>
      </c>
      <c r="D551" t="s">
        <v>1707</v>
      </c>
      <c r="E551" t="s">
        <v>1708</v>
      </c>
      <c r="F551" t="s">
        <v>10</v>
      </c>
      <c r="G551" t="s">
        <v>1707</v>
      </c>
      <c r="H551" t="s">
        <v>1709</v>
      </c>
      <c r="I551" t="s">
        <v>32</v>
      </c>
      <c r="J551">
        <v>0</v>
      </c>
      <c r="K551">
        <v>26</v>
      </c>
      <c r="L551" s="4">
        <v>3.5000000000000001E-3</v>
      </c>
      <c r="M551">
        <v>0.02</v>
      </c>
      <c r="N551" s="4">
        <v>9.0999999999999998E-2</v>
      </c>
      <c r="O551" s="4">
        <v>0.52</v>
      </c>
    </row>
    <row r="552" spans="2:15">
      <c r="B552" t="s">
        <v>771</v>
      </c>
      <c r="C552" t="s">
        <v>51</v>
      </c>
      <c r="D552" t="s">
        <v>1710</v>
      </c>
      <c r="E552" t="s">
        <v>1711</v>
      </c>
      <c r="F552" t="s">
        <v>10</v>
      </c>
      <c r="G552" t="s">
        <v>1710</v>
      </c>
      <c r="H552" t="s">
        <v>1712</v>
      </c>
      <c r="I552" t="s">
        <v>32</v>
      </c>
      <c r="J552">
        <v>0</v>
      </c>
      <c r="K552">
        <v>38</v>
      </c>
      <c r="L552" s="4">
        <v>3.5000000000000001E-3</v>
      </c>
      <c r="M552">
        <v>0.02</v>
      </c>
      <c r="N552" s="4">
        <v>0.13300000000000001</v>
      </c>
      <c r="O552" s="4">
        <v>0.76</v>
      </c>
    </row>
    <row r="553" spans="2:15">
      <c r="B553" t="s">
        <v>771</v>
      </c>
      <c r="C553" t="s">
        <v>51</v>
      </c>
      <c r="D553" t="s">
        <v>1713</v>
      </c>
      <c r="E553" t="s">
        <v>1714</v>
      </c>
      <c r="F553" t="s">
        <v>10</v>
      </c>
      <c r="G553" t="s">
        <v>1713</v>
      </c>
      <c r="H553" t="s">
        <v>1715</v>
      </c>
      <c r="I553" t="s">
        <v>32</v>
      </c>
      <c r="J553">
        <v>0</v>
      </c>
      <c r="K553">
        <v>46</v>
      </c>
      <c r="L553" s="4">
        <v>3.5000000000000001E-3</v>
      </c>
      <c r="M553">
        <v>0.02</v>
      </c>
      <c r="N553" s="4">
        <v>0.161</v>
      </c>
      <c r="O553" s="4">
        <v>0.92</v>
      </c>
    </row>
    <row r="554" spans="2:15">
      <c r="B554" t="s">
        <v>771</v>
      </c>
      <c r="C554" t="s">
        <v>51</v>
      </c>
      <c r="D554" t="s">
        <v>1716</v>
      </c>
      <c r="E554" t="s">
        <v>1717</v>
      </c>
      <c r="F554" t="s">
        <v>10</v>
      </c>
      <c r="G554" t="s">
        <v>1716</v>
      </c>
      <c r="H554" t="s">
        <v>1718</v>
      </c>
      <c r="I554" t="s">
        <v>32</v>
      </c>
      <c r="J554">
        <v>0</v>
      </c>
      <c r="K554">
        <v>75</v>
      </c>
      <c r="L554" s="4">
        <v>3.5000000000000001E-3</v>
      </c>
      <c r="M554">
        <v>0.02</v>
      </c>
      <c r="N554" s="4">
        <v>0.26250000000000001</v>
      </c>
      <c r="O554" s="4">
        <v>1.5</v>
      </c>
    </row>
    <row r="555" spans="2:15">
      <c r="B555" t="s">
        <v>771</v>
      </c>
      <c r="C555" t="s">
        <v>51</v>
      </c>
      <c r="D555" t="s">
        <v>1719</v>
      </c>
      <c r="E555" t="s">
        <v>1720</v>
      </c>
      <c r="F555" t="s">
        <v>10</v>
      </c>
      <c r="G555" t="s">
        <v>1719</v>
      </c>
      <c r="H555" t="s">
        <v>1721</v>
      </c>
      <c r="I555" t="s">
        <v>32</v>
      </c>
      <c r="J555">
        <v>0</v>
      </c>
      <c r="K555">
        <v>114</v>
      </c>
      <c r="L555" s="4">
        <v>3.5000000000000001E-3</v>
      </c>
      <c r="M555">
        <v>0.02</v>
      </c>
      <c r="N555" s="4">
        <v>0.39900000000000002</v>
      </c>
      <c r="O555" s="4">
        <v>2.2800000000000002</v>
      </c>
    </row>
    <row r="556" spans="2:15">
      <c r="B556" t="s">
        <v>771</v>
      </c>
      <c r="C556" t="s">
        <v>51</v>
      </c>
      <c r="D556" t="s">
        <v>1722</v>
      </c>
      <c r="E556" t="s">
        <v>1723</v>
      </c>
      <c r="F556" t="s">
        <v>10</v>
      </c>
      <c r="G556" t="s">
        <v>1722</v>
      </c>
      <c r="H556" t="s">
        <v>1724</v>
      </c>
      <c r="I556" t="s">
        <v>32</v>
      </c>
      <c r="J556">
        <v>0</v>
      </c>
      <c r="K556">
        <v>162</v>
      </c>
      <c r="L556" s="4">
        <v>3.5000000000000001E-3</v>
      </c>
      <c r="M556">
        <v>0.02</v>
      </c>
      <c r="N556" s="4">
        <v>0.56700000000000006</v>
      </c>
      <c r="O556" s="4">
        <v>3.24</v>
      </c>
    </row>
    <row r="557" spans="2:15">
      <c r="B557" t="s">
        <v>771</v>
      </c>
      <c r="C557" t="s">
        <v>51</v>
      </c>
      <c r="D557" t="s">
        <v>1725</v>
      </c>
      <c r="E557" t="s">
        <v>1726</v>
      </c>
      <c r="F557" t="s">
        <v>10</v>
      </c>
      <c r="G557" t="s">
        <v>1725</v>
      </c>
      <c r="H557" t="s">
        <v>1727</v>
      </c>
      <c r="I557" t="s">
        <v>32</v>
      </c>
      <c r="J557">
        <v>0</v>
      </c>
      <c r="K557">
        <v>72</v>
      </c>
      <c r="L557" s="4">
        <v>3.5000000000000001E-3</v>
      </c>
      <c r="M557">
        <v>0.02</v>
      </c>
      <c r="N557" s="4">
        <v>0.252</v>
      </c>
      <c r="O557" s="4">
        <v>1.44</v>
      </c>
    </row>
    <row r="558" spans="2:15">
      <c r="B558" t="s">
        <v>771</v>
      </c>
      <c r="C558" t="s">
        <v>51</v>
      </c>
      <c r="D558" t="s">
        <v>1728</v>
      </c>
      <c r="E558" t="s">
        <v>1729</v>
      </c>
      <c r="F558" t="s">
        <v>10</v>
      </c>
      <c r="G558" t="s">
        <v>1728</v>
      </c>
      <c r="H558" t="s">
        <v>1730</v>
      </c>
      <c r="I558" t="s">
        <v>32</v>
      </c>
      <c r="J558">
        <v>0</v>
      </c>
      <c r="K558">
        <v>762</v>
      </c>
      <c r="L558" s="4">
        <v>3.5000000000000001E-3</v>
      </c>
      <c r="M558">
        <v>0.02</v>
      </c>
      <c r="N558" s="4">
        <v>2.6670000000000003</v>
      </c>
      <c r="O558" s="4">
        <v>15.24</v>
      </c>
    </row>
    <row r="559" spans="2:15">
      <c r="B559" t="s">
        <v>771</v>
      </c>
      <c r="C559" t="s">
        <v>51</v>
      </c>
      <c r="D559" t="s">
        <v>1731</v>
      </c>
      <c r="E559" t="s">
        <v>1732</v>
      </c>
      <c r="F559" t="s">
        <v>10</v>
      </c>
      <c r="G559" t="s">
        <v>1731</v>
      </c>
      <c r="H559" t="s">
        <v>1733</v>
      </c>
      <c r="I559" t="s">
        <v>32</v>
      </c>
      <c r="J559">
        <v>0</v>
      </c>
      <c r="K559">
        <v>54</v>
      </c>
      <c r="L559" s="4">
        <v>3.5000000000000001E-3</v>
      </c>
      <c r="M559">
        <v>0.02</v>
      </c>
      <c r="N559" s="4">
        <v>0.189</v>
      </c>
      <c r="O559" s="4">
        <v>1.08</v>
      </c>
    </row>
    <row r="560" spans="2:15">
      <c r="B560" t="s">
        <v>771</v>
      </c>
      <c r="C560" t="s">
        <v>51</v>
      </c>
      <c r="D560" t="s">
        <v>1734</v>
      </c>
      <c r="E560" t="s">
        <v>1735</v>
      </c>
      <c r="F560" t="s">
        <v>10</v>
      </c>
      <c r="G560" t="s">
        <v>1734</v>
      </c>
      <c r="H560" t="s">
        <v>1736</v>
      </c>
      <c r="I560" t="s">
        <v>32</v>
      </c>
      <c r="J560">
        <v>0</v>
      </c>
      <c r="K560">
        <v>37</v>
      </c>
      <c r="L560" s="4">
        <v>3.5000000000000001E-3</v>
      </c>
      <c r="M560">
        <v>0.02</v>
      </c>
      <c r="N560" s="4">
        <v>0.1295</v>
      </c>
      <c r="O560" s="4">
        <v>0.74</v>
      </c>
    </row>
    <row r="561" spans="2:15">
      <c r="B561" t="s">
        <v>771</v>
      </c>
      <c r="C561" t="s">
        <v>51</v>
      </c>
      <c r="D561" t="s">
        <v>1737</v>
      </c>
      <c r="E561" t="s">
        <v>1738</v>
      </c>
      <c r="F561" t="s">
        <v>10</v>
      </c>
      <c r="G561" t="s">
        <v>1737</v>
      </c>
      <c r="H561" t="s">
        <v>1739</v>
      </c>
      <c r="I561" t="s">
        <v>32</v>
      </c>
      <c r="J561">
        <v>0</v>
      </c>
      <c r="K561">
        <v>385</v>
      </c>
      <c r="L561" s="4">
        <v>3.5000000000000001E-3</v>
      </c>
      <c r="M561">
        <v>0.02</v>
      </c>
      <c r="N561" s="4">
        <v>1.3474999999999999</v>
      </c>
      <c r="O561" s="4">
        <v>7.7</v>
      </c>
    </row>
    <row r="562" spans="2:15">
      <c r="B562" t="s">
        <v>771</v>
      </c>
      <c r="C562" t="s">
        <v>51</v>
      </c>
      <c r="D562" t="s">
        <v>1740</v>
      </c>
      <c r="E562" t="s">
        <v>1741</v>
      </c>
      <c r="F562" t="s">
        <v>10</v>
      </c>
      <c r="G562" t="s">
        <v>1740</v>
      </c>
      <c r="H562" t="s">
        <v>1742</v>
      </c>
      <c r="I562" t="s">
        <v>32</v>
      </c>
      <c r="J562">
        <v>0</v>
      </c>
      <c r="K562">
        <v>35</v>
      </c>
      <c r="L562" s="4">
        <v>3.5000000000000001E-3</v>
      </c>
      <c r="M562">
        <v>0.02</v>
      </c>
      <c r="N562" s="4">
        <v>0.1225</v>
      </c>
      <c r="O562" s="4">
        <v>0.70000000000000007</v>
      </c>
    </row>
    <row r="563" spans="2:15">
      <c r="B563" t="s">
        <v>771</v>
      </c>
      <c r="C563" t="s">
        <v>51</v>
      </c>
      <c r="D563" t="s">
        <v>1743</v>
      </c>
      <c r="E563" t="s">
        <v>1744</v>
      </c>
      <c r="F563" t="s">
        <v>10</v>
      </c>
      <c r="G563" t="s">
        <v>1743</v>
      </c>
      <c r="H563" t="s">
        <v>1745</v>
      </c>
      <c r="I563" t="s">
        <v>32</v>
      </c>
      <c r="J563">
        <v>0</v>
      </c>
      <c r="K563">
        <v>65</v>
      </c>
      <c r="L563" s="4">
        <v>3.5000000000000001E-3</v>
      </c>
      <c r="M563">
        <v>0.02</v>
      </c>
      <c r="N563" s="4">
        <v>0.22750000000000001</v>
      </c>
      <c r="O563" s="4">
        <v>1.3</v>
      </c>
    </row>
    <row r="564" spans="2:15">
      <c r="B564" t="s">
        <v>771</v>
      </c>
      <c r="C564" t="s">
        <v>51</v>
      </c>
      <c r="D564" t="s">
        <v>1746</v>
      </c>
      <c r="E564" t="s">
        <v>1747</v>
      </c>
      <c r="F564" t="s">
        <v>10</v>
      </c>
      <c r="G564" t="s">
        <v>1746</v>
      </c>
      <c r="H564" t="s">
        <v>1748</v>
      </c>
      <c r="I564" t="s">
        <v>32</v>
      </c>
      <c r="J564">
        <v>0</v>
      </c>
      <c r="K564">
        <v>28</v>
      </c>
      <c r="L564" s="4">
        <v>3.5000000000000001E-3</v>
      </c>
      <c r="M564">
        <v>0.02</v>
      </c>
      <c r="N564" s="4">
        <v>9.8000000000000004E-2</v>
      </c>
      <c r="O564" s="4">
        <v>0.56000000000000005</v>
      </c>
    </row>
    <row r="565" spans="2:15">
      <c r="B565" t="s">
        <v>771</v>
      </c>
      <c r="C565" t="s">
        <v>51</v>
      </c>
      <c r="D565" t="s">
        <v>1749</v>
      </c>
      <c r="E565" t="s">
        <v>1750</v>
      </c>
      <c r="F565" t="s">
        <v>10</v>
      </c>
      <c r="G565" t="s">
        <v>1749</v>
      </c>
      <c r="H565" t="s">
        <v>1751</v>
      </c>
      <c r="I565" t="s">
        <v>32</v>
      </c>
      <c r="J565">
        <v>0</v>
      </c>
      <c r="K565">
        <v>325</v>
      </c>
      <c r="L565" s="4">
        <v>3.5000000000000001E-3</v>
      </c>
      <c r="M565">
        <v>0.02</v>
      </c>
      <c r="N565" s="4">
        <v>1.1375</v>
      </c>
      <c r="O565" s="4">
        <v>6.5</v>
      </c>
    </row>
    <row r="566" spans="2:15">
      <c r="B566" t="s">
        <v>771</v>
      </c>
      <c r="C566" t="s">
        <v>51</v>
      </c>
      <c r="D566" t="s">
        <v>1752</v>
      </c>
      <c r="E566" t="s">
        <v>1753</v>
      </c>
      <c r="F566" t="s">
        <v>10</v>
      </c>
      <c r="G566" t="s">
        <v>1752</v>
      </c>
      <c r="H566" t="s">
        <v>1754</v>
      </c>
      <c r="I566" t="s">
        <v>32</v>
      </c>
      <c r="J566">
        <v>0</v>
      </c>
      <c r="K566">
        <v>138</v>
      </c>
      <c r="L566" s="4">
        <v>3.5000000000000001E-3</v>
      </c>
      <c r="M566">
        <v>0.02</v>
      </c>
      <c r="N566" s="4">
        <v>0.48299999999999998</v>
      </c>
      <c r="O566" s="4">
        <v>2.7600000000000002</v>
      </c>
    </row>
    <row r="567" spans="2:15">
      <c r="B567" t="s">
        <v>771</v>
      </c>
      <c r="C567" t="s">
        <v>51</v>
      </c>
      <c r="D567" t="s">
        <v>1755</v>
      </c>
      <c r="E567" t="s">
        <v>1756</v>
      </c>
      <c r="F567" t="s">
        <v>10</v>
      </c>
      <c r="G567" t="s">
        <v>1755</v>
      </c>
      <c r="H567" t="s">
        <v>1757</v>
      </c>
      <c r="I567" t="s">
        <v>32</v>
      </c>
      <c r="J567">
        <v>0</v>
      </c>
      <c r="K567">
        <v>30</v>
      </c>
      <c r="L567" s="4">
        <v>3.5000000000000001E-3</v>
      </c>
      <c r="M567">
        <v>0.02</v>
      </c>
      <c r="N567" s="4">
        <v>0.105</v>
      </c>
      <c r="O567" s="4">
        <v>0.6</v>
      </c>
    </row>
    <row r="568" spans="2:15">
      <c r="B568" t="s">
        <v>771</v>
      </c>
      <c r="C568" t="s">
        <v>51</v>
      </c>
      <c r="D568" t="s">
        <v>1758</v>
      </c>
      <c r="E568" t="s">
        <v>1759</v>
      </c>
      <c r="F568" t="s">
        <v>10</v>
      </c>
      <c r="G568" t="s">
        <v>1758</v>
      </c>
      <c r="H568" t="s">
        <v>1760</v>
      </c>
      <c r="I568" t="s">
        <v>32</v>
      </c>
      <c r="J568">
        <v>0</v>
      </c>
      <c r="K568">
        <v>122</v>
      </c>
      <c r="L568" s="4">
        <v>3.5000000000000001E-3</v>
      </c>
      <c r="M568">
        <v>0.02</v>
      </c>
      <c r="N568" s="4">
        <v>0.42699999999999999</v>
      </c>
      <c r="O568" s="4">
        <v>2.44</v>
      </c>
    </row>
    <row r="569" spans="2:15">
      <c r="B569" t="s">
        <v>771</v>
      </c>
      <c r="C569" t="s">
        <v>51</v>
      </c>
      <c r="D569" t="s">
        <v>1761</v>
      </c>
      <c r="E569" t="s">
        <v>499</v>
      </c>
      <c r="F569" t="s">
        <v>10</v>
      </c>
      <c r="G569" t="s">
        <v>1761</v>
      </c>
      <c r="H569" t="s">
        <v>500</v>
      </c>
      <c r="I569" t="s">
        <v>32</v>
      </c>
      <c r="J569">
        <v>0</v>
      </c>
      <c r="K569">
        <v>3</v>
      </c>
      <c r="L569" s="4">
        <v>3.5000000000000001E-3</v>
      </c>
      <c r="M569">
        <v>0.02</v>
      </c>
      <c r="N569" s="4">
        <v>1.0500000000000001E-2</v>
      </c>
      <c r="O569" s="4">
        <v>0.06</v>
      </c>
    </row>
    <row r="570" spans="2:15">
      <c r="B570" t="s">
        <v>1762</v>
      </c>
      <c r="C570" t="s">
        <v>66</v>
      </c>
      <c r="D570" t="s">
        <v>1763</v>
      </c>
      <c r="E570" t="s">
        <v>69</v>
      </c>
      <c r="F570" t="s">
        <v>10</v>
      </c>
      <c r="G570" t="s">
        <v>1763</v>
      </c>
      <c r="H570" t="s">
        <v>70</v>
      </c>
      <c r="I570" t="s">
        <v>32</v>
      </c>
      <c r="J570">
        <v>0</v>
      </c>
      <c r="K570">
        <v>1</v>
      </c>
      <c r="L570" s="4">
        <v>3.5000000000000001E-3</v>
      </c>
      <c r="M570">
        <v>0.02</v>
      </c>
      <c r="N570" s="4">
        <v>3.5000000000000001E-3</v>
      </c>
      <c r="O570" s="4">
        <v>0.02</v>
      </c>
    </row>
    <row r="571" spans="2:15">
      <c r="B571" t="s">
        <v>1762</v>
      </c>
      <c r="C571" t="s">
        <v>50</v>
      </c>
      <c r="D571" t="s">
        <v>1764</v>
      </c>
      <c r="E571" t="s">
        <v>129</v>
      </c>
      <c r="F571" t="s">
        <v>10</v>
      </c>
      <c r="G571" t="s">
        <v>1764</v>
      </c>
      <c r="H571" t="s">
        <v>130</v>
      </c>
      <c r="I571" t="s">
        <v>32</v>
      </c>
      <c r="J571">
        <v>0</v>
      </c>
      <c r="K571">
        <v>2</v>
      </c>
      <c r="L571" s="4">
        <v>3.5000000000000001E-3</v>
      </c>
      <c r="M571">
        <v>0.02</v>
      </c>
      <c r="N571" s="4">
        <v>7.0000000000000001E-3</v>
      </c>
      <c r="O571" s="4">
        <v>0.04</v>
      </c>
    </row>
    <row r="572" spans="2:15">
      <c r="B572" t="s">
        <v>1762</v>
      </c>
      <c r="C572" t="s">
        <v>50</v>
      </c>
      <c r="D572" t="s">
        <v>1765</v>
      </c>
      <c r="E572" t="s">
        <v>248</v>
      </c>
      <c r="F572" t="s">
        <v>10</v>
      </c>
      <c r="G572" t="s">
        <v>1765</v>
      </c>
      <c r="H572" t="s">
        <v>249</v>
      </c>
      <c r="I572" t="s">
        <v>32</v>
      </c>
      <c r="J572">
        <v>0</v>
      </c>
      <c r="K572">
        <v>9</v>
      </c>
      <c r="L572" s="4">
        <v>3.5000000000000001E-3</v>
      </c>
      <c r="M572">
        <v>0.02</v>
      </c>
      <c r="N572" s="4">
        <v>3.15E-2</v>
      </c>
      <c r="O572" s="4">
        <v>0.18</v>
      </c>
    </row>
    <row r="573" spans="2:15">
      <c r="B573" t="s">
        <v>1762</v>
      </c>
      <c r="C573" t="s">
        <v>50</v>
      </c>
      <c r="D573" t="s">
        <v>1766</v>
      </c>
      <c r="E573" t="s">
        <v>250</v>
      </c>
      <c r="F573" t="s">
        <v>10</v>
      </c>
      <c r="G573" t="s">
        <v>1766</v>
      </c>
      <c r="H573" t="s">
        <v>251</v>
      </c>
      <c r="I573" t="s">
        <v>32</v>
      </c>
      <c r="J573">
        <v>0</v>
      </c>
      <c r="K573">
        <v>1823</v>
      </c>
      <c r="L573" s="4">
        <v>3.5000000000000001E-3</v>
      </c>
      <c r="M573">
        <v>0.02</v>
      </c>
      <c r="N573" s="4">
        <v>6.3805000000000005</v>
      </c>
      <c r="O573" s="4">
        <v>36.46</v>
      </c>
    </row>
    <row r="574" spans="2:15">
      <c r="B574" t="s">
        <v>1762</v>
      </c>
      <c r="C574" t="s">
        <v>50</v>
      </c>
      <c r="D574" t="s">
        <v>1767</v>
      </c>
      <c r="E574" t="s">
        <v>1768</v>
      </c>
      <c r="F574" t="s">
        <v>10</v>
      </c>
      <c r="G574" t="s">
        <v>1767</v>
      </c>
      <c r="H574" t="s">
        <v>1769</v>
      </c>
      <c r="I574" t="s">
        <v>32</v>
      </c>
      <c r="J574">
        <v>0</v>
      </c>
      <c r="K574">
        <v>1</v>
      </c>
      <c r="L574" s="4">
        <v>3.5000000000000001E-3</v>
      </c>
      <c r="M574">
        <v>0.02</v>
      </c>
      <c r="N574" s="4">
        <v>3.5000000000000001E-3</v>
      </c>
      <c r="O574" s="4">
        <v>0.02</v>
      </c>
    </row>
    <row r="575" spans="2:15">
      <c r="B575" t="s">
        <v>1762</v>
      </c>
      <c r="C575" t="s">
        <v>50</v>
      </c>
      <c r="D575" t="s">
        <v>1770</v>
      </c>
      <c r="E575" t="s">
        <v>1771</v>
      </c>
      <c r="F575" t="s">
        <v>10</v>
      </c>
      <c r="G575" t="s">
        <v>1770</v>
      </c>
      <c r="H575" t="s">
        <v>1772</v>
      </c>
      <c r="I575" t="s">
        <v>32</v>
      </c>
      <c r="J575">
        <v>0</v>
      </c>
      <c r="K575">
        <v>1177</v>
      </c>
      <c r="L575" s="4">
        <v>3.5000000000000001E-3</v>
      </c>
      <c r="M575">
        <v>0.02</v>
      </c>
      <c r="N575" s="4">
        <v>4.1195000000000004</v>
      </c>
      <c r="O575" s="4">
        <v>23.54</v>
      </c>
    </row>
    <row r="576" spans="2:15">
      <c r="B576" t="s">
        <v>1762</v>
      </c>
      <c r="C576" t="s">
        <v>50</v>
      </c>
      <c r="D576" t="s">
        <v>1773</v>
      </c>
      <c r="E576" t="s">
        <v>91</v>
      </c>
      <c r="F576" t="s">
        <v>10</v>
      </c>
      <c r="G576" t="s">
        <v>1773</v>
      </c>
      <c r="H576" t="s">
        <v>92</v>
      </c>
      <c r="I576" t="s">
        <v>32</v>
      </c>
      <c r="J576">
        <v>0</v>
      </c>
      <c r="K576">
        <v>6</v>
      </c>
      <c r="L576" s="4">
        <v>3.5000000000000001E-3</v>
      </c>
      <c r="M576">
        <v>0.02</v>
      </c>
      <c r="N576" s="4">
        <v>2.1000000000000001E-2</v>
      </c>
      <c r="O576" s="4">
        <v>0.12</v>
      </c>
    </row>
    <row r="577" spans="2:15">
      <c r="B577" t="s">
        <v>1762</v>
      </c>
      <c r="C577" t="s">
        <v>50</v>
      </c>
      <c r="D577" t="s">
        <v>1774</v>
      </c>
      <c r="E577" t="s">
        <v>131</v>
      </c>
      <c r="F577" t="s">
        <v>10</v>
      </c>
      <c r="G577" t="s">
        <v>1774</v>
      </c>
      <c r="H577" t="s">
        <v>132</v>
      </c>
      <c r="I577" t="s">
        <v>32</v>
      </c>
      <c r="J577">
        <v>0</v>
      </c>
      <c r="K577">
        <v>6</v>
      </c>
      <c r="L577" s="4">
        <v>3.5000000000000001E-3</v>
      </c>
      <c r="M577">
        <v>0.02</v>
      </c>
      <c r="N577" s="4">
        <v>2.1000000000000001E-2</v>
      </c>
      <c r="O577" s="4">
        <v>0.12</v>
      </c>
    </row>
    <row r="578" spans="2:15">
      <c r="B578" t="s">
        <v>1762</v>
      </c>
      <c r="C578" t="s">
        <v>50</v>
      </c>
      <c r="D578" t="s">
        <v>1775</v>
      </c>
      <c r="E578" t="s">
        <v>89</v>
      </c>
      <c r="F578" t="s">
        <v>10</v>
      </c>
      <c r="G578" t="s">
        <v>1775</v>
      </c>
      <c r="H578" t="s">
        <v>90</v>
      </c>
      <c r="I578" t="s">
        <v>32</v>
      </c>
      <c r="J578">
        <v>0</v>
      </c>
      <c r="K578">
        <v>4</v>
      </c>
      <c r="L578" s="4">
        <v>3.5000000000000001E-3</v>
      </c>
      <c r="M578">
        <v>0.02</v>
      </c>
      <c r="N578" s="4">
        <v>1.4E-2</v>
      </c>
      <c r="O578" s="4">
        <v>0.08</v>
      </c>
    </row>
    <row r="579" spans="2:15">
      <c r="B579" t="s">
        <v>1762</v>
      </c>
      <c r="C579" t="s">
        <v>50</v>
      </c>
      <c r="D579" t="s">
        <v>1776</v>
      </c>
      <c r="E579" t="s">
        <v>256</v>
      </c>
      <c r="F579" t="s">
        <v>10</v>
      </c>
      <c r="G579" t="s">
        <v>1776</v>
      </c>
      <c r="H579" t="s">
        <v>257</v>
      </c>
      <c r="I579" t="s">
        <v>32</v>
      </c>
      <c r="J579">
        <v>0</v>
      </c>
      <c r="K579">
        <v>3</v>
      </c>
      <c r="L579" s="4">
        <v>3.5000000000000001E-3</v>
      </c>
      <c r="M579">
        <v>0.02</v>
      </c>
      <c r="N579" s="4">
        <v>1.0500000000000001E-2</v>
      </c>
      <c r="O579" s="4">
        <v>0.06</v>
      </c>
    </row>
    <row r="580" spans="2:15">
      <c r="B580" t="s">
        <v>1762</v>
      </c>
      <c r="C580" t="s">
        <v>50</v>
      </c>
      <c r="D580" t="s">
        <v>1777</v>
      </c>
      <c r="E580" t="s">
        <v>252</v>
      </c>
      <c r="F580" t="s">
        <v>10</v>
      </c>
      <c r="G580" t="s">
        <v>1777</v>
      </c>
      <c r="H580" t="s">
        <v>253</v>
      </c>
      <c r="I580" t="s">
        <v>32</v>
      </c>
      <c r="J580">
        <v>0</v>
      </c>
      <c r="K580">
        <v>807</v>
      </c>
      <c r="L580" s="4">
        <v>3.5000000000000001E-3</v>
      </c>
      <c r="M580">
        <v>0.02</v>
      </c>
      <c r="N580" s="4">
        <v>2.8245</v>
      </c>
      <c r="O580" s="4">
        <v>16.14</v>
      </c>
    </row>
    <row r="581" spans="2:15">
      <c r="B581" t="s">
        <v>1762</v>
      </c>
      <c r="C581" t="s">
        <v>50</v>
      </c>
      <c r="D581" t="s">
        <v>1778</v>
      </c>
      <c r="E581" t="s">
        <v>254</v>
      </c>
      <c r="F581" t="s">
        <v>10</v>
      </c>
      <c r="G581" t="s">
        <v>1778</v>
      </c>
      <c r="H581" t="s">
        <v>255</v>
      </c>
      <c r="I581" t="s">
        <v>32</v>
      </c>
      <c r="J581">
        <v>0</v>
      </c>
      <c r="K581">
        <v>1</v>
      </c>
      <c r="L581" s="4">
        <v>3.5000000000000001E-3</v>
      </c>
      <c r="M581">
        <v>0.02</v>
      </c>
      <c r="N581" s="4">
        <v>3.5000000000000001E-3</v>
      </c>
      <c r="O581" s="4">
        <v>0.02</v>
      </c>
    </row>
    <row r="582" spans="2:15">
      <c r="B582" t="s">
        <v>1762</v>
      </c>
      <c r="C582" t="s">
        <v>50</v>
      </c>
      <c r="D582" t="s">
        <v>1779</v>
      </c>
      <c r="E582" t="s">
        <v>1780</v>
      </c>
      <c r="F582" t="s">
        <v>10</v>
      </c>
      <c r="G582" t="s">
        <v>1779</v>
      </c>
      <c r="H582" t="s">
        <v>1781</v>
      </c>
      <c r="I582" t="s">
        <v>32</v>
      </c>
      <c r="J582">
        <v>0</v>
      </c>
      <c r="K582">
        <v>597</v>
      </c>
      <c r="L582" s="4">
        <v>3.5000000000000001E-3</v>
      </c>
      <c r="M582">
        <v>0.02</v>
      </c>
      <c r="N582" s="4">
        <v>2.0895000000000001</v>
      </c>
      <c r="O582" s="4">
        <v>11.94</v>
      </c>
    </row>
    <row r="583" spans="2:15">
      <c r="B583" t="s">
        <v>1762</v>
      </c>
      <c r="C583" t="s">
        <v>50</v>
      </c>
      <c r="D583" t="s">
        <v>1782</v>
      </c>
      <c r="E583" t="s">
        <v>1783</v>
      </c>
      <c r="F583" t="s">
        <v>10</v>
      </c>
      <c r="G583" t="s">
        <v>1782</v>
      </c>
      <c r="H583" t="s">
        <v>1784</v>
      </c>
      <c r="I583" t="s">
        <v>32</v>
      </c>
      <c r="J583">
        <v>0</v>
      </c>
      <c r="K583">
        <v>193</v>
      </c>
      <c r="L583" s="4">
        <v>3.5000000000000001E-3</v>
      </c>
      <c r="M583">
        <v>0.02</v>
      </c>
      <c r="N583" s="4">
        <v>0.67549999999999999</v>
      </c>
      <c r="O583" s="4">
        <v>3.86</v>
      </c>
    </row>
    <row r="584" spans="2:15">
      <c r="B584" t="s">
        <v>1762</v>
      </c>
      <c r="C584" t="s">
        <v>50</v>
      </c>
      <c r="D584" t="s">
        <v>1785</v>
      </c>
      <c r="E584" t="s">
        <v>1786</v>
      </c>
      <c r="F584" t="s">
        <v>10</v>
      </c>
      <c r="G584" t="s">
        <v>1785</v>
      </c>
      <c r="H584" t="s">
        <v>1787</v>
      </c>
      <c r="I584" t="s">
        <v>32</v>
      </c>
      <c r="J584">
        <v>0</v>
      </c>
      <c r="K584">
        <v>129</v>
      </c>
      <c r="L584" s="4">
        <v>3.5000000000000001E-3</v>
      </c>
      <c r="M584">
        <v>0.02</v>
      </c>
      <c r="N584" s="4">
        <v>0.45150000000000001</v>
      </c>
      <c r="O584" s="4">
        <v>2.58</v>
      </c>
    </row>
    <row r="585" spans="2:15">
      <c r="B585" t="s">
        <v>1762</v>
      </c>
      <c r="C585" t="s">
        <v>50</v>
      </c>
      <c r="D585" t="s">
        <v>1788</v>
      </c>
      <c r="E585" t="s">
        <v>1789</v>
      </c>
      <c r="F585" t="s">
        <v>10</v>
      </c>
      <c r="G585" t="s">
        <v>1788</v>
      </c>
      <c r="H585" t="s">
        <v>1790</v>
      </c>
      <c r="I585" t="s">
        <v>32</v>
      </c>
      <c r="J585">
        <v>0</v>
      </c>
      <c r="K585">
        <v>1673</v>
      </c>
      <c r="L585" s="4">
        <v>3.5000000000000001E-3</v>
      </c>
      <c r="M585">
        <v>0.02</v>
      </c>
      <c r="N585" s="4">
        <v>5.8555000000000001</v>
      </c>
      <c r="O585" s="4">
        <v>33.46</v>
      </c>
    </row>
    <row r="586" spans="2:15">
      <c r="B586" t="s">
        <v>1762</v>
      </c>
      <c r="C586" t="s">
        <v>50</v>
      </c>
      <c r="D586" t="s">
        <v>1791</v>
      </c>
      <c r="E586" t="s">
        <v>1792</v>
      </c>
      <c r="F586" t="s">
        <v>10</v>
      </c>
      <c r="G586" t="s">
        <v>1791</v>
      </c>
      <c r="H586" t="s">
        <v>1793</v>
      </c>
      <c r="I586" t="s">
        <v>32</v>
      </c>
      <c r="J586">
        <v>0</v>
      </c>
      <c r="K586">
        <v>1463</v>
      </c>
      <c r="L586" s="4">
        <v>3.5000000000000001E-3</v>
      </c>
      <c r="M586">
        <v>0.02</v>
      </c>
      <c r="N586" s="4">
        <v>5.1204999999999998</v>
      </c>
      <c r="O586" s="4">
        <v>29.26</v>
      </c>
    </row>
    <row r="587" spans="2:15">
      <c r="B587" t="s">
        <v>1762</v>
      </c>
      <c r="C587" t="s">
        <v>50</v>
      </c>
      <c r="D587" t="s">
        <v>1794</v>
      </c>
      <c r="E587" t="s">
        <v>1795</v>
      </c>
      <c r="F587" t="s">
        <v>10</v>
      </c>
      <c r="G587" t="s">
        <v>1794</v>
      </c>
      <c r="H587" t="s">
        <v>1796</v>
      </c>
      <c r="I587" t="s">
        <v>32</v>
      </c>
      <c r="J587">
        <v>0</v>
      </c>
      <c r="K587">
        <v>149</v>
      </c>
      <c r="L587" s="4">
        <v>3.5000000000000001E-3</v>
      </c>
      <c r="M587">
        <v>0.02</v>
      </c>
      <c r="N587" s="4">
        <v>0.52149999999999996</v>
      </c>
      <c r="O587" s="4">
        <v>2.98</v>
      </c>
    </row>
    <row r="588" spans="2:15">
      <c r="B588" t="s">
        <v>1762</v>
      </c>
      <c r="C588" t="s">
        <v>50</v>
      </c>
      <c r="D588" t="s">
        <v>1797</v>
      </c>
      <c r="E588" t="s">
        <v>258</v>
      </c>
      <c r="F588" t="s">
        <v>10</v>
      </c>
      <c r="G588" t="s">
        <v>1797</v>
      </c>
      <c r="H588" t="s">
        <v>259</v>
      </c>
      <c r="I588" t="s">
        <v>32</v>
      </c>
      <c r="J588">
        <v>0</v>
      </c>
      <c r="K588">
        <v>1</v>
      </c>
      <c r="L588" s="4">
        <v>3.5000000000000001E-3</v>
      </c>
      <c r="M588">
        <v>0.02</v>
      </c>
      <c r="N588" s="4">
        <v>3.5000000000000001E-3</v>
      </c>
      <c r="O588" s="4">
        <v>0.02</v>
      </c>
    </row>
    <row r="589" spans="2:15">
      <c r="B589" t="s">
        <v>1762</v>
      </c>
      <c r="C589" t="s">
        <v>50</v>
      </c>
      <c r="D589" t="s">
        <v>1798</v>
      </c>
      <c r="E589" t="s">
        <v>93</v>
      </c>
      <c r="F589" t="s">
        <v>10</v>
      </c>
      <c r="G589" t="s">
        <v>1798</v>
      </c>
      <c r="H589" t="s">
        <v>94</v>
      </c>
      <c r="I589" t="s">
        <v>32</v>
      </c>
      <c r="J589">
        <v>0</v>
      </c>
      <c r="K589">
        <v>4</v>
      </c>
      <c r="L589" s="4">
        <v>3.5000000000000001E-3</v>
      </c>
      <c r="M589">
        <v>0.02</v>
      </c>
      <c r="N589" s="4">
        <v>1.4E-2</v>
      </c>
      <c r="O589" s="4">
        <v>0.08</v>
      </c>
    </row>
    <row r="590" spans="2:15">
      <c r="B590" t="s">
        <v>1762</v>
      </c>
      <c r="C590" t="s">
        <v>50</v>
      </c>
      <c r="D590" t="s">
        <v>1799</v>
      </c>
      <c r="E590" t="s">
        <v>260</v>
      </c>
      <c r="F590" t="s">
        <v>10</v>
      </c>
      <c r="G590" t="s">
        <v>1799</v>
      </c>
      <c r="H590" t="s">
        <v>261</v>
      </c>
      <c r="I590" t="s">
        <v>32</v>
      </c>
      <c r="J590">
        <v>0</v>
      </c>
      <c r="K590">
        <v>267</v>
      </c>
      <c r="L590" s="4">
        <v>3.5000000000000001E-3</v>
      </c>
      <c r="M590">
        <v>0.02</v>
      </c>
      <c r="N590" s="4">
        <v>0.9345</v>
      </c>
      <c r="O590" s="4">
        <v>5.34</v>
      </c>
    </row>
    <row r="591" spans="2:15">
      <c r="B591" t="s">
        <v>1762</v>
      </c>
      <c r="C591" t="s">
        <v>50</v>
      </c>
      <c r="D591" t="s">
        <v>1800</v>
      </c>
      <c r="E591" t="s">
        <v>1801</v>
      </c>
      <c r="F591" t="s">
        <v>10</v>
      </c>
      <c r="G591" t="s">
        <v>1800</v>
      </c>
      <c r="H591" t="s">
        <v>1802</v>
      </c>
      <c r="I591" t="s">
        <v>32</v>
      </c>
      <c r="J591">
        <v>0</v>
      </c>
      <c r="K591">
        <v>3677</v>
      </c>
      <c r="L591" s="4">
        <v>3.5000000000000001E-3</v>
      </c>
      <c r="M591">
        <v>0.02</v>
      </c>
      <c r="N591" s="4">
        <v>12.8695</v>
      </c>
      <c r="O591" s="4">
        <v>73.540000000000006</v>
      </c>
    </row>
    <row r="592" spans="2:15">
      <c r="B592" t="s">
        <v>1762</v>
      </c>
      <c r="C592" t="s">
        <v>50</v>
      </c>
      <c r="D592" t="s">
        <v>1803</v>
      </c>
      <c r="E592" t="s">
        <v>133</v>
      </c>
      <c r="F592" t="s">
        <v>10</v>
      </c>
      <c r="G592" t="s">
        <v>1803</v>
      </c>
      <c r="H592" t="s">
        <v>134</v>
      </c>
      <c r="I592" t="s">
        <v>32</v>
      </c>
      <c r="J592">
        <v>0</v>
      </c>
      <c r="K592">
        <v>8</v>
      </c>
      <c r="L592" s="4">
        <v>3.5000000000000001E-3</v>
      </c>
      <c r="M592">
        <v>0.02</v>
      </c>
      <c r="N592" s="4">
        <v>2.8000000000000001E-2</v>
      </c>
      <c r="O592" s="4">
        <v>0.16</v>
      </c>
    </row>
    <row r="593" spans="2:15">
      <c r="B593" t="s">
        <v>1762</v>
      </c>
      <c r="C593" t="s">
        <v>50</v>
      </c>
      <c r="D593" t="s">
        <v>1804</v>
      </c>
      <c r="E593" t="s">
        <v>262</v>
      </c>
      <c r="F593" t="s">
        <v>10</v>
      </c>
      <c r="G593" t="s">
        <v>1804</v>
      </c>
      <c r="H593" t="s">
        <v>263</v>
      </c>
      <c r="I593" t="s">
        <v>32</v>
      </c>
      <c r="J593">
        <v>0</v>
      </c>
      <c r="K593">
        <v>36</v>
      </c>
      <c r="L593" s="4">
        <v>3.5000000000000001E-3</v>
      </c>
      <c r="M593">
        <v>0.02</v>
      </c>
      <c r="N593" s="4">
        <v>0.126</v>
      </c>
      <c r="O593" s="4">
        <v>0.72</v>
      </c>
    </row>
    <row r="594" spans="2:15">
      <c r="B594" t="s">
        <v>1762</v>
      </c>
      <c r="C594" t="s">
        <v>50</v>
      </c>
      <c r="D594" t="s">
        <v>1805</v>
      </c>
      <c r="E594" t="s">
        <v>1806</v>
      </c>
      <c r="F594" t="s">
        <v>10</v>
      </c>
      <c r="G594" t="s">
        <v>1805</v>
      </c>
      <c r="H594" t="s">
        <v>1807</v>
      </c>
      <c r="I594" t="s">
        <v>32</v>
      </c>
      <c r="J594">
        <v>0</v>
      </c>
      <c r="K594">
        <v>884</v>
      </c>
      <c r="L594" s="4">
        <v>3.5000000000000001E-3</v>
      </c>
      <c r="M594">
        <v>0.02</v>
      </c>
      <c r="N594" s="4">
        <v>3.0939999999999999</v>
      </c>
      <c r="O594" s="4">
        <v>17.68</v>
      </c>
    </row>
    <row r="595" spans="2:15">
      <c r="B595" t="s">
        <v>1762</v>
      </c>
      <c r="C595" t="s">
        <v>50</v>
      </c>
      <c r="D595" t="s">
        <v>1808</v>
      </c>
      <c r="E595" t="s">
        <v>264</v>
      </c>
      <c r="F595" t="s">
        <v>10</v>
      </c>
      <c r="G595" t="s">
        <v>1808</v>
      </c>
      <c r="H595" t="s">
        <v>265</v>
      </c>
      <c r="I595" t="s">
        <v>32</v>
      </c>
      <c r="J595">
        <v>0</v>
      </c>
      <c r="K595">
        <v>4765</v>
      </c>
      <c r="L595" s="4">
        <v>3.5000000000000001E-3</v>
      </c>
      <c r="M595">
        <v>0.02</v>
      </c>
      <c r="N595" s="4">
        <v>16.677500000000002</v>
      </c>
      <c r="O595" s="4">
        <v>95.3</v>
      </c>
    </row>
    <row r="596" spans="2:15">
      <c r="B596" t="s">
        <v>1762</v>
      </c>
      <c r="C596" t="s">
        <v>50</v>
      </c>
      <c r="D596" t="s">
        <v>1809</v>
      </c>
      <c r="E596" t="s">
        <v>266</v>
      </c>
      <c r="F596" t="s">
        <v>10</v>
      </c>
      <c r="G596" t="s">
        <v>1809</v>
      </c>
      <c r="H596" t="s">
        <v>267</v>
      </c>
      <c r="I596" t="s">
        <v>32</v>
      </c>
      <c r="J596">
        <v>0</v>
      </c>
      <c r="K596">
        <v>551</v>
      </c>
      <c r="L596" s="4">
        <v>3.5000000000000001E-3</v>
      </c>
      <c r="M596">
        <v>0.02</v>
      </c>
      <c r="N596" s="4">
        <v>1.9285000000000001</v>
      </c>
      <c r="O596" s="4">
        <v>11.02</v>
      </c>
    </row>
    <row r="597" spans="2:15">
      <c r="B597" t="s">
        <v>1762</v>
      </c>
      <c r="C597" t="s">
        <v>50</v>
      </c>
      <c r="D597" t="s">
        <v>1810</v>
      </c>
      <c r="E597" t="s">
        <v>95</v>
      </c>
      <c r="F597" t="s">
        <v>10</v>
      </c>
      <c r="G597" t="s">
        <v>1810</v>
      </c>
      <c r="H597" t="s">
        <v>96</v>
      </c>
      <c r="I597" t="s">
        <v>32</v>
      </c>
      <c r="J597">
        <v>0</v>
      </c>
      <c r="K597">
        <v>3</v>
      </c>
      <c r="L597" s="4">
        <v>3.5000000000000001E-3</v>
      </c>
      <c r="M597">
        <v>0.02</v>
      </c>
      <c r="N597" s="4">
        <v>1.0500000000000001E-2</v>
      </c>
      <c r="O597" s="4">
        <v>0.06</v>
      </c>
    </row>
    <row r="598" spans="2:15">
      <c r="B598" t="s">
        <v>1762</v>
      </c>
      <c r="C598" t="s">
        <v>50</v>
      </c>
      <c r="D598" t="s">
        <v>1811</v>
      </c>
      <c r="E598" t="s">
        <v>137</v>
      </c>
      <c r="F598" t="s">
        <v>10</v>
      </c>
      <c r="G598" t="s">
        <v>1811</v>
      </c>
      <c r="H598" t="s">
        <v>138</v>
      </c>
      <c r="I598" t="s">
        <v>32</v>
      </c>
      <c r="J598">
        <v>0</v>
      </c>
      <c r="K598">
        <v>2</v>
      </c>
      <c r="L598" s="4">
        <v>3.5000000000000001E-3</v>
      </c>
      <c r="M598">
        <v>0.02</v>
      </c>
      <c r="N598" s="4">
        <v>7.0000000000000001E-3</v>
      </c>
      <c r="O598" s="4">
        <v>0.04</v>
      </c>
    </row>
    <row r="599" spans="2:15">
      <c r="B599" t="s">
        <v>1762</v>
      </c>
      <c r="C599" t="s">
        <v>50</v>
      </c>
      <c r="D599" t="s">
        <v>1812</v>
      </c>
      <c r="E599" t="s">
        <v>1813</v>
      </c>
      <c r="F599" t="s">
        <v>10</v>
      </c>
      <c r="G599" t="s">
        <v>1812</v>
      </c>
      <c r="H599" t="s">
        <v>1814</v>
      </c>
      <c r="I599" t="s">
        <v>32</v>
      </c>
      <c r="J599">
        <v>0</v>
      </c>
      <c r="K599">
        <v>115</v>
      </c>
      <c r="L599" s="4">
        <v>3.5000000000000001E-3</v>
      </c>
      <c r="M599">
        <v>0.02</v>
      </c>
      <c r="N599" s="4">
        <v>0.40250000000000002</v>
      </c>
      <c r="O599" s="4">
        <v>2.3000000000000003</v>
      </c>
    </row>
    <row r="600" spans="2:15">
      <c r="B600" t="s">
        <v>1762</v>
      </c>
      <c r="C600" t="s">
        <v>50</v>
      </c>
      <c r="D600" t="s">
        <v>1815</v>
      </c>
      <c r="E600" t="s">
        <v>1816</v>
      </c>
      <c r="F600" t="s">
        <v>10</v>
      </c>
      <c r="G600" t="s">
        <v>1815</v>
      </c>
      <c r="H600" t="s">
        <v>1817</v>
      </c>
      <c r="I600" t="s">
        <v>32</v>
      </c>
      <c r="J600">
        <v>0</v>
      </c>
      <c r="K600">
        <v>1153</v>
      </c>
      <c r="L600" s="4">
        <v>3.5000000000000001E-3</v>
      </c>
      <c r="M600">
        <v>0.02</v>
      </c>
      <c r="N600" s="4">
        <v>4.0354999999999999</v>
      </c>
      <c r="O600" s="4">
        <v>23.06</v>
      </c>
    </row>
    <row r="601" spans="2:15">
      <c r="B601" t="s">
        <v>1762</v>
      </c>
      <c r="C601" t="s">
        <v>50</v>
      </c>
      <c r="D601" t="s">
        <v>1818</v>
      </c>
      <c r="E601" t="s">
        <v>268</v>
      </c>
      <c r="F601" t="s">
        <v>10</v>
      </c>
      <c r="G601" t="s">
        <v>1818</v>
      </c>
      <c r="H601" t="s">
        <v>269</v>
      </c>
      <c r="I601" t="s">
        <v>32</v>
      </c>
      <c r="J601">
        <v>0</v>
      </c>
      <c r="K601">
        <v>292</v>
      </c>
      <c r="L601" s="4">
        <v>3.5000000000000001E-3</v>
      </c>
      <c r="M601">
        <v>0.02</v>
      </c>
      <c r="N601" s="4">
        <v>1.022</v>
      </c>
      <c r="O601" s="4">
        <v>5.84</v>
      </c>
    </row>
    <row r="602" spans="2:15">
      <c r="B602" t="s">
        <v>1762</v>
      </c>
      <c r="C602" t="s">
        <v>50</v>
      </c>
      <c r="D602" t="s">
        <v>1819</v>
      </c>
      <c r="E602" t="s">
        <v>1820</v>
      </c>
      <c r="F602" t="s">
        <v>10</v>
      </c>
      <c r="G602" t="s">
        <v>1819</v>
      </c>
      <c r="H602" t="s">
        <v>1821</v>
      </c>
      <c r="I602" t="s">
        <v>32</v>
      </c>
      <c r="J602">
        <v>0</v>
      </c>
      <c r="K602">
        <v>12658</v>
      </c>
      <c r="L602" s="4">
        <v>3.5000000000000001E-3</v>
      </c>
      <c r="M602">
        <v>0.02</v>
      </c>
      <c r="N602" s="4">
        <v>44.303000000000004</v>
      </c>
      <c r="O602" s="4">
        <v>253.16</v>
      </c>
    </row>
    <row r="603" spans="2:15">
      <c r="B603" t="s">
        <v>1762</v>
      </c>
      <c r="C603" t="s">
        <v>50</v>
      </c>
      <c r="D603" t="s">
        <v>1822</v>
      </c>
      <c r="E603" t="s">
        <v>270</v>
      </c>
      <c r="F603" t="s">
        <v>10</v>
      </c>
      <c r="G603" t="s">
        <v>1822</v>
      </c>
      <c r="H603" t="s">
        <v>271</v>
      </c>
      <c r="I603" t="s">
        <v>32</v>
      </c>
      <c r="J603">
        <v>0</v>
      </c>
      <c r="K603">
        <v>1</v>
      </c>
      <c r="L603" s="4">
        <v>3.5000000000000001E-3</v>
      </c>
      <c r="M603">
        <v>0.02</v>
      </c>
      <c r="N603" s="4">
        <v>3.5000000000000001E-3</v>
      </c>
      <c r="O603" s="4">
        <v>0.02</v>
      </c>
    </row>
    <row r="604" spans="2:15">
      <c r="B604" t="s">
        <v>1762</v>
      </c>
      <c r="C604" t="s">
        <v>50</v>
      </c>
      <c r="D604" t="s">
        <v>1823</v>
      </c>
      <c r="E604" t="s">
        <v>135</v>
      </c>
      <c r="F604" t="s">
        <v>10</v>
      </c>
      <c r="G604" t="s">
        <v>1823</v>
      </c>
      <c r="H604" t="s">
        <v>136</v>
      </c>
      <c r="I604" t="s">
        <v>32</v>
      </c>
      <c r="J604">
        <v>0</v>
      </c>
      <c r="K604">
        <v>1</v>
      </c>
      <c r="L604" s="4">
        <v>3.5000000000000001E-3</v>
      </c>
      <c r="M604">
        <v>0.02</v>
      </c>
      <c r="N604" s="4">
        <v>3.5000000000000001E-3</v>
      </c>
      <c r="O604" s="4">
        <v>0.02</v>
      </c>
    </row>
    <row r="605" spans="2:15">
      <c r="B605" t="s">
        <v>1762</v>
      </c>
      <c r="C605" t="s">
        <v>50</v>
      </c>
      <c r="D605" t="s">
        <v>1824</v>
      </c>
      <c r="E605" t="s">
        <v>1825</v>
      </c>
      <c r="F605" t="s">
        <v>10</v>
      </c>
      <c r="G605" t="s">
        <v>1824</v>
      </c>
      <c r="H605" t="s">
        <v>1826</v>
      </c>
      <c r="I605" t="s">
        <v>32</v>
      </c>
      <c r="J605">
        <v>0</v>
      </c>
      <c r="K605">
        <v>36776</v>
      </c>
      <c r="L605" s="4">
        <v>3.5000000000000001E-3</v>
      </c>
      <c r="M605">
        <v>0.02</v>
      </c>
      <c r="N605" s="4">
        <v>128.71600000000001</v>
      </c>
      <c r="O605" s="4">
        <v>735.52</v>
      </c>
    </row>
    <row r="606" spans="2:15">
      <c r="B606" t="s">
        <v>1762</v>
      </c>
      <c r="C606" t="s">
        <v>50</v>
      </c>
      <c r="D606" t="s">
        <v>1827</v>
      </c>
      <c r="E606" t="s">
        <v>1828</v>
      </c>
      <c r="F606" t="s">
        <v>10</v>
      </c>
      <c r="G606" t="s">
        <v>1827</v>
      </c>
      <c r="H606" t="s">
        <v>1829</v>
      </c>
      <c r="I606" t="s">
        <v>32</v>
      </c>
      <c r="J606">
        <v>0</v>
      </c>
      <c r="K606">
        <v>1</v>
      </c>
      <c r="L606" s="4">
        <v>3.5000000000000001E-3</v>
      </c>
      <c r="M606">
        <v>0.02</v>
      </c>
      <c r="N606" s="4">
        <v>3.5000000000000001E-3</v>
      </c>
      <c r="O606" s="4">
        <v>0.02</v>
      </c>
    </row>
    <row r="607" spans="2:15">
      <c r="B607" t="s">
        <v>1762</v>
      </c>
      <c r="C607" t="s">
        <v>50</v>
      </c>
      <c r="D607" t="s">
        <v>1830</v>
      </c>
      <c r="E607" t="s">
        <v>272</v>
      </c>
      <c r="F607" t="s">
        <v>10</v>
      </c>
      <c r="G607" t="s">
        <v>1830</v>
      </c>
      <c r="H607" t="s">
        <v>273</v>
      </c>
      <c r="I607" t="s">
        <v>32</v>
      </c>
      <c r="J607">
        <v>0</v>
      </c>
      <c r="K607">
        <v>13610</v>
      </c>
      <c r="L607" s="4">
        <v>3.5000000000000001E-3</v>
      </c>
      <c r="M607">
        <v>0.02</v>
      </c>
      <c r="N607" s="4">
        <v>47.634999999999998</v>
      </c>
      <c r="O607" s="4">
        <v>272.2</v>
      </c>
    </row>
    <row r="608" spans="2:15">
      <c r="B608" t="s">
        <v>1762</v>
      </c>
      <c r="C608" t="s">
        <v>50</v>
      </c>
      <c r="D608" t="s">
        <v>1831</v>
      </c>
      <c r="E608" t="s">
        <v>1832</v>
      </c>
      <c r="F608" t="s">
        <v>10</v>
      </c>
      <c r="G608" t="s">
        <v>1831</v>
      </c>
      <c r="H608" t="s">
        <v>1833</v>
      </c>
      <c r="I608" t="s">
        <v>32</v>
      </c>
      <c r="J608">
        <v>0</v>
      </c>
      <c r="K608">
        <v>1</v>
      </c>
      <c r="L608" s="4">
        <v>3.5000000000000001E-3</v>
      </c>
      <c r="M608">
        <v>0.02</v>
      </c>
      <c r="N608" s="4">
        <v>3.5000000000000001E-3</v>
      </c>
      <c r="O608" s="4">
        <v>0.02</v>
      </c>
    </row>
    <row r="609" spans="2:15">
      <c r="B609" t="s">
        <v>1762</v>
      </c>
      <c r="C609" t="s">
        <v>50</v>
      </c>
      <c r="D609" t="s">
        <v>1834</v>
      </c>
      <c r="E609" t="s">
        <v>71</v>
      </c>
      <c r="F609" t="s">
        <v>10</v>
      </c>
      <c r="G609" t="s">
        <v>1834</v>
      </c>
      <c r="H609" t="s">
        <v>72</v>
      </c>
      <c r="I609" t="s">
        <v>32</v>
      </c>
      <c r="J609">
        <v>0</v>
      </c>
      <c r="K609">
        <v>1</v>
      </c>
      <c r="L609" s="4">
        <v>3.5000000000000001E-3</v>
      </c>
      <c r="M609">
        <v>0.02</v>
      </c>
      <c r="N609" s="4">
        <v>3.5000000000000001E-3</v>
      </c>
      <c r="O609" s="4">
        <v>0.02</v>
      </c>
    </row>
    <row r="610" spans="2:15">
      <c r="B610" t="s">
        <v>1762</v>
      </c>
      <c r="C610" t="s">
        <v>50</v>
      </c>
      <c r="D610" t="s">
        <v>1835</v>
      </c>
      <c r="E610" t="s">
        <v>1836</v>
      </c>
      <c r="F610" t="s">
        <v>10</v>
      </c>
      <c r="G610" t="s">
        <v>1835</v>
      </c>
      <c r="H610" t="s">
        <v>1837</v>
      </c>
      <c r="I610" t="s">
        <v>32</v>
      </c>
      <c r="J610">
        <v>0</v>
      </c>
      <c r="K610">
        <v>1</v>
      </c>
      <c r="L610" s="4">
        <v>3.5000000000000001E-3</v>
      </c>
      <c r="M610">
        <v>0.02</v>
      </c>
      <c r="N610" s="4">
        <v>3.5000000000000001E-3</v>
      </c>
      <c r="O610" s="4">
        <v>0.02</v>
      </c>
    </row>
    <row r="611" spans="2:15">
      <c r="B611" t="s">
        <v>1762</v>
      </c>
      <c r="C611" t="s">
        <v>50</v>
      </c>
      <c r="D611" t="s">
        <v>1838</v>
      </c>
      <c r="E611" t="s">
        <v>274</v>
      </c>
      <c r="F611" t="s">
        <v>10</v>
      </c>
      <c r="G611" t="s">
        <v>1838</v>
      </c>
      <c r="H611" t="s">
        <v>275</v>
      </c>
      <c r="I611" t="s">
        <v>32</v>
      </c>
      <c r="J611">
        <v>0</v>
      </c>
      <c r="K611">
        <v>793</v>
      </c>
      <c r="L611" s="4">
        <v>3.5000000000000001E-3</v>
      </c>
      <c r="M611">
        <v>0.02</v>
      </c>
      <c r="N611" s="4">
        <v>2.7755000000000001</v>
      </c>
      <c r="O611" s="4">
        <v>15.860000000000001</v>
      </c>
    </row>
    <row r="612" spans="2:15">
      <c r="B612" t="s">
        <v>1762</v>
      </c>
      <c r="C612" t="s">
        <v>50</v>
      </c>
      <c r="D612" t="s">
        <v>1839</v>
      </c>
      <c r="E612" t="s">
        <v>1840</v>
      </c>
      <c r="F612" t="s">
        <v>10</v>
      </c>
      <c r="G612" t="s">
        <v>1839</v>
      </c>
      <c r="H612" t="s">
        <v>1841</v>
      </c>
      <c r="I612" t="s">
        <v>32</v>
      </c>
      <c r="J612">
        <v>0</v>
      </c>
      <c r="K612">
        <v>1054</v>
      </c>
      <c r="L612" s="4">
        <v>3.5000000000000001E-3</v>
      </c>
      <c r="M612">
        <v>0.02</v>
      </c>
      <c r="N612" s="4">
        <v>3.6890000000000001</v>
      </c>
      <c r="O612" s="4">
        <v>21.080000000000002</v>
      </c>
    </row>
    <row r="613" spans="2:15">
      <c r="B613" t="s">
        <v>1762</v>
      </c>
      <c r="C613" t="s">
        <v>50</v>
      </c>
      <c r="D613" t="s">
        <v>1842</v>
      </c>
      <c r="E613" t="s">
        <v>276</v>
      </c>
      <c r="F613" t="s">
        <v>10</v>
      </c>
      <c r="G613" t="s">
        <v>1842</v>
      </c>
      <c r="H613" t="s">
        <v>277</v>
      </c>
      <c r="I613" t="s">
        <v>32</v>
      </c>
      <c r="J613">
        <v>0</v>
      </c>
      <c r="K613">
        <v>2246</v>
      </c>
      <c r="L613" s="4">
        <v>3.5000000000000001E-3</v>
      </c>
      <c r="M613">
        <v>0.02</v>
      </c>
      <c r="N613" s="4">
        <v>7.8609999999999998</v>
      </c>
      <c r="O613" s="4">
        <v>44.92</v>
      </c>
    </row>
    <row r="614" spans="2:15">
      <c r="B614" t="s">
        <v>1762</v>
      </c>
      <c r="C614" t="s">
        <v>50</v>
      </c>
      <c r="D614" t="s">
        <v>1843</v>
      </c>
      <c r="E614" t="s">
        <v>73</v>
      </c>
      <c r="F614" t="s">
        <v>10</v>
      </c>
      <c r="G614" t="s">
        <v>1843</v>
      </c>
      <c r="H614" t="s">
        <v>74</v>
      </c>
      <c r="I614" t="s">
        <v>32</v>
      </c>
      <c r="J614">
        <v>0</v>
      </c>
      <c r="K614">
        <v>1</v>
      </c>
      <c r="L614" s="4">
        <v>3.5000000000000001E-3</v>
      </c>
      <c r="M614">
        <v>0.02</v>
      </c>
      <c r="N614" s="4">
        <v>3.5000000000000001E-3</v>
      </c>
      <c r="O614" s="4">
        <v>0.02</v>
      </c>
    </row>
    <row r="615" spans="2:15">
      <c r="B615" t="s">
        <v>1762</v>
      </c>
      <c r="C615" t="s">
        <v>50</v>
      </c>
      <c r="D615" t="s">
        <v>1844</v>
      </c>
      <c r="E615" t="s">
        <v>1845</v>
      </c>
      <c r="F615" t="s">
        <v>10</v>
      </c>
      <c r="G615" t="s">
        <v>1844</v>
      </c>
      <c r="H615" t="s">
        <v>1846</v>
      </c>
      <c r="I615" t="s">
        <v>32</v>
      </c>
      <c r="J615">
        <v>0</v>
      </c>
      <c r="K615">
        <v>792</v>
      </c>
      <c r="L615" s="4">
        <v>3.5000000000000001E-3</v>
      </c>
      <c r="M615">
        <v>0.02</v>
      </c>
      <c r="N615" s="4">
        <v>2.7720000000000002</v>
      </c>
      <c r="O615" s="4">
        <v>15.84</v>
      </c>
    </row>
    <row r="616" spans="2:15">
      <c r="B616" t="s">
        <v>1762</v>
      </c>
      <c r="C616" t="s">
        <v>50</v>
      </c>
      <c r="D616" t="s">
        <v>1847</v>
      </c>
      <c r="E616" t="s">
        <v>1848</v>
      </c>
      <c r="F616" t="s">
        <v>10</v>
      </c>
      <c r="G616" t="s">
        <v>1847</v>
      </c>
      <c r="H616" t="s">
        <v>1849</v>
      </c>
      <c r="I616" t="s">
        <v>32</v>
      </c>
      <c r="J616">
        <v>0</v>
      </c>
      <c r="K616">
        <v>1046</v>
      </c>
      <c r="L616" s="4">
        <v>3.5000000000000001E-3</v>
      </c>
      <c r="M616">
        <v>0.02</v>
      </c>
      <c r="N616" s="4">
        <v>3.661</v>
      </c>
      <c r="O616" s="4">
        <v>20.92</v>
      </c>
    </row>
    <row r="617" spans="2:15">
      <c r="B617" t="s">
        <v>1762</v>
      </c>
      <c r="C617" t="s">
        <v>50</v>
      </c>
      <c r="D617" t="s">
        <v>1850</v>
      </c>
      <c r="E617" t="s">
        <v>145</v>
      </c>
      <c r="F617" t="s">
        <v>10</v>
      </c>
      <c r="G617" t="s">
        <v>1850</v>
      </c>
      <c r="H617" t="s">
        <v>146</v>
      </c>
      <c r="I617" t="s">
        <v>32</v>
      </c>
      <c r="J617">
        <v>0</v>
      </c>
      <c r="K617">
        <v>13</v>
      </c>
      <c r="L617" s="4">
        <v>3.5000000000000001E-3</v>
      </c>
      <c r="M617">
        <v>0.02</v>
      </c>
      <c r="N617" s="4">
        <v>4.5499999999999999E-2</v>
      </c>
      <c r="O617" s="4">
        <v>0.26</v>
      </c>
    </row>
    <row r="618" spans="2:15">
      <c r="B618" t="s">
        <v>1762</v>
      </c>
      <c r="C618" t="s">
        <v>50</v>
      </c>
      <c r="D618" t="s">
        <v>1851</v>
      </c>
      <c r="E618" t="s">
        <v>147</v>
      </c>
      <c r="F618" t="s">
        <v>10</v>
      </c>
      <c r="G618" t="s">
        <v>1851</v>
      </c>
      <c r="H618" t="s">
        <v>148</v>
      </c>
      <c r="I618" t="s">
        <v>32</v>
      </c>
      <c r="J618">
        <v>0</v>
      </c>
      <c r="K618">
        <v>8</v>
      </c>
      <c r="L618" s="4">
        <v>3.5000000000000001E-3</v>
      </c>
      <c r="M618">
        <v>0.02</v>
      </c>
      <c r="N618" s="4">
        <v>2.8000000000000001E-2</v>
      </c>
      <c r="O618" s="4">
        <v>0.16</v>
      </c>
    </row>
    <row r="619" spans="2:15">
      <c r="B619" t="s">
        <v>1762</v>
      </c>
      <c r="C619" t="s">
        <v>50</v>
      </c>
      <c r="D619" t="s">
        <v>1852</v>
      </c>
      <c r="E619" t="s">
        <v>282</v>
      </c>
      <c r="F619" t="s">
        <v>10</v>
      </c>
      <c r="G619" t="s">
        <v>1852</v>
      </c>
      <c r="H619" t="s">
        <v>283</v>
      </c>
      <c r="I619" t="s">
        <v>32</v>
      </c>
      <c r="J619">
        <v>0</v>
      </c>
      <c r="K619">
        <v>8</v>
      </c>
      <c r="L619" s="4">
        <v>3.5000000000000001E-3</v>
      </c>
      <c r="M619">
        <v>0.02</v>
      </c>
      <c r="N619" s="4">
        <v>2.8000000000000001E-2</v>
      </c>
      <c r="O619" s="4">
        <v>0.16</v>
      </c>
    </row>
    <row r="620" spans="2:15">
      <c r="B620" t="s">
        <v>1762</v>
      </c>
      <c r="C620" t="s">
        <v>50</v>
      </c>
      <c r="D620" t="s">
        <v>1853</v>
      </c>
      <c r="E620" t="s">
        <v>284</v>
      </c>
      <c r="F620" t="s">
        <v>10</v>
      </c>
      <c r="G620" t="s">
        <v>1853</v>
      </c>
      <c r="H620" t="s">
        <v>285</v>
      </c>
      <c r="I620" t="s">
        <v>32</v>
      </c>
      <c r="J620">
        <v>0</v>
      </c>
      <c r="K620">
        <v>2</v>
      </c>
      <c r="L620" s="4">
        <v>3.5000000000000001E-3</v>
      </c>
      <c r="M620">
        <v>0.02</v>
      </c>
      <c r="N620" s="4">
        <v>7.0000000000000001E-3</v>
      </c>
      <c r="O620" s="4">
        <v>0.04</v>
      </c>
    </row>
    <row r="621" spans="2:15">
      <c r="B621" t="s">
        <v>1762</v>
      </c>
      <c r="C621" t="s">
        <v>50</v>
      </c>
      <c r="D621" t="s">
        <v>1854</v>
      </c>
      <c r="E621" t="s">
        <v>139</v>
      </c>
      <c r="F621" t="s">
        <v>10</v>
      </c>
      <c r="G621" t="s">
        <v>1854</v>
      </c>
      <c r="H621" t="s">
        <v>140</v>
      </c>
      <c r="I621" t="s">
        <v>32</v>
      </c>
      <c r="J621">
        <v>0</v>
      </c>
      <c r="K621">
        <v>108</v>
      </c>
      <c r="L621" s="4">
        <v>3.5000000000000001E-3</v>
      </c>
      <c r="M621">
        <v>0.02</v>
      </c>
      <c r="N621" s="4">
        <v>0.378</v>
      </c>
      <c r="O621" s="4">
        <v>2.16</v>
      </c>
    </row>
    <row r="622" spans="2:15">
      <c r="B622" t="s">
        <v>1762</v>
      </c>
      <c r="C622" t="s">
        <v>50</v>
      </c>
      <c r="D622" t="s">
        <v>1855</v>
      </c>
      <c r="E622" t="s">
        <v>141</v>
      </c>
      <c r="F622" t="s">
        <v>10</v>
      </c>
      <c r="G622" t="s">
        <v>1855</v>
      </c>
      <c r="H622" t="s">
        <v>142</v>
      </c>
      <c r="I622" t="s">
        <v>32</v>
      </c>
      <c r="J622">
        <v>0</v>
      </c>
      <c r="K622">
        <v>96</v>
      </c>
      <c r="L622" s="4">
        <v>3.5000000000000001E-3</v>
      </c>
      <c r="M622">
        <v>0.02</v>
      </c>
      <c r="N622" s="4">
        <v>0.33600000000000002</v>
      </c>
      <c r="O622" s="4">
        <v>1.92</v>
      </c>
    </row>
    <row r="623" spans="2:15">
      <c r="B623" t="s">
        <v>1762</v>
      </c>
      <c r="C623" t="s">
        <v>50</v>
      </c>
      <c r="D623" t="s">
        <v>1856</v>
      </c>
      <c r="E623" t="s">
        <v>143</v>
      </c>
      <c r="F623" t="s">
        <v>10</v>
      </c>
      <c r="G623" t="s">
        <v>1856</v>
      </c>
      <c r="H623" t="s">
        <v>144</v>
      </c>
      <c r="I623" t="s">
        <v>32</v>
      </c>
      <c r="J623">
        <v>0</v>
      </c>
      <c r="K623">
        <v>2</v>
      </c>
      <c r="L623" s="4">
        <v>3.5000000000000001E-3</v>
      </c>
      <c r="M623">
        <v>0.02</v>
      </c>
      <c r="N623" s="4">
        <v>7.0000000000000001E-3</v>
      </c>
      <c r="O623" s="4">
        <v>0.04</v>
      </c>
    </row>
    <row r="624" spans="2:15">
      <c r="B624" t="s">
        <v>1762</v>
      </c>
      <c r="C624" t="s">
        <v>50</v>
      </c>
      <c r="D624" t="s">
        <v>1857</v>
      </c>
      <c r="E624" t="s">
        <v>280</v>
      </c>
      <c r="F624" t="s">
        <v>10</v>
      </c>
      <c r="G624" t="s">
        <v>1857</v>
      </c>
      <c r="H624" t="s">
        <v>281</v>
      </c>
      <c r="I624" t="s">
        <v>32</v>
      </c>
      <c r="J624">
        <v>0</v>
      </c>
      <c r="K624">
        <v>122</v>
      </c>
      <c r="L624" s="4">
        <v>3.5000000000000001E-3</v>
      </c>
      <c r="M624">
        <v>0.02</v>
      </c>
      <c r="N624" s="4">
        <v>0.42699999999999999</v>
      </c>
      <c r="O624" s="4">
        <v>2.44</v>
      </c>
    </row>
    <row r="625" spans="2:15">
      <c r="B625" t="s">
        <v>1762</v>
      </c>
      <c r="C625" t="s">
        <v>50</v>
      </c>
      <c r="D625" t="s">
        <v>1858</v>
      </c>
      <c r="E625" t="s">
        <v>79</v>
      </c>
      <c r="F625" t="s">
        <v>10</v>
      </c>
      <c r="G625" t="s">
        <v>1858</v>
      </c>
      <c r="H625" t="s">
        <v>80</v>
      </c>
      <c r="I625" t="s">
        <v>32</v>
      </c>
      <c r="J625">
        <v>0</v>
      </c>
      <c r="K625">
        <v>3027</v>
      </c>
      <c r="L625" s="4">
        <v>3.5000000000000001E-3</v>
      </c>
      <c r="M625">
        <v>0.02</v>
      </c>
      <c r="N625" s="4">
        <v>10.5945</v>
      </c>
      <c r="O625" s="4">
        <v>60.54</v>
      </c>
    </row>
    <row r="626" spans="2:15">
      <c r="B626" t="s">
        <v>1762</v>
      </c>
      <c r="C626" t="s">
        <v>50</v>
      </c>
      <c r="D626" t="s">
        <v>1859</v>
      </c>
      <c r="E626" t="s">
        <v>1860</v>
      </c>
      <c r="F626" t="s">
        <v>10</v>
      </c>
      <c r="G626" t="s">
        <v>1859</v>
      </c>
      <c r="H626" t="s">
        <v>1861</v>
      </c>
      <c r="I626" t="s">
        <v>32</v>
      </c>
      <c r="J626">
        <v>0</v>
      </c>
      <c r="K626">
        <v>130</v>
      </c>
      <c r="L626" s="4">
        <v>3.5000000000000001E-3</v>
      </c>
      <c r="M626">
        <v>0.02</v>
      </c>
      <c r="N626" s="4">
        <v>0.45500000000000002</v>
      </c>
      <c r="O626" s="4">
        <v>2.6</v>
      </c>
    </row>
    <row r="627" spans="2:15">
      <c r="B627" t="s">
        <v>1762</v>
      </c>
      <c r="C627" t="s">
        <v>50</v>
      </c>
      <c r="D627" t="s">
        <v>1862</v>
      </c>
      <c r="E627" t="s">
        <v>1863</v>
      </c>
      <c r="F627" t="s">
        <v>10</v>
      </c>
      <c r="G627" t="s">
        <v>1862</v>
      </c>
      <c r="H627" t="s">
        <v>1864</v>
      </c>
      <c r="I627" t="s">
        <v>32</v>
      </c>
      <c r="J627">
        <v>0</v>
      </c>
      <c r="K627">
        <v>1442</v>
      </c>
      <c r="L627" s="4">
        <v>3.5000000000000001E-3</v>
      </c>
      <c r="M627">
        <v>0.02</v>
      </c>
      <c r="N627" s="4">
        <v>5.0469999999999997</v>
      </c>
      <c r="O627" s="4">
        <v>28.84</v>
      </c>
    </row>
    <row r="628" spans="2:15">
      <c r="B628" t="s">
        <v>1762</v>
      </c>
      <c r="C628" t="s">
        <v>50</v>
      </c>
      <c r="D628" t="s">
        <v>1865</v>
      </c>
      <c r="E628" t="s">
        <v>1866</v>
      </c>
      <c r="F628" t="s">
        <v>10</v>
      </c>
      <c r="G628" t="s">
        <v>1865</v>
      </c>
      <c r="H628" t="s">
        <v>1867</v>
      </c>
      <c r="I628" t="s">
        <v>32</v>
      </c>
      <c r="J628">
        <v>0</v>
      </c>
      <c r="K628">
        <v>5075</v>
      </c>
      <c r="L628" s="4">
        <v>3.5000000000000001E-3</v>
      </c>
      <c r="M628">
        <v>0.02</v>
      </c>
      <c r="N628" s="4">
        <v>17.762499999999999</v>
      </c>
      <c r="O628" s="4">
        <v>101.5</v>
      </c>
    </row>
    <row r="629" spans="2:15">
      <c r="B629" t="s">
        <v>1762</v>
      </c>
      <c r="C629" t="s">
        <v>50</v>
      </c>
      <c r="D629" t="s">
        <v>1868</v>
      </c>
      <c r="E629" t="s">
        <v>1869</v>
      </c>
      <c r="F629" t="s">
        <v>10</v>
      </c>
      <c r="G629" t="s">
        <v>1868</v>
      </c>
      <c r="H629" t="s">
        <v>1870</v>
      </c>
      <c r="I629" t="s">
        <v>32</v>
      </c>
      <c r="J629">
        <v>0</v>
      </c>
      <c r="K629">
        <v>1</v>
      </c>
      <c r="L629" s="4">
        <v>3.5000000000000001E-3</v>
      </c>
      <c r="M629">
        <v>0.02</v>
      </c>
      <c r="N629" s="4">
        <v>3.5000000000000001E-3</v>
      </c>
      <c r="O629" s="4">
        <v>0.02</v>
      </c>
    </row>
    <row r="630" spans="2:15">
      <c r="B630" t="s">
        <v>1762</v>
      </c>
      <c r="C630" t="s">
        <v>50</v>
      </c>
      <c r="D630" t="s">
        <v>1871</v>
      </c>
      <c r="E630" t="s">
        <v>1872</v>
      </c>
      <c r="F630" t="s">
        <v>10</v>
      </c>
      <c r="G630" t="s">
        <v>1871</v>
      </c>
      <c r="H630" t="s">
        <v>1873</v>
      </c>
      <c r="I630" t="s">
        <v>32</v>
      </c>
      <c r="J630">
        <v>0</v>
      </c>
      <c r="K630">
        <v>5623</v>
      </c>
      <c r="L630" s="4">
        <v>3.5000000000000001E-3</v>
      </c>
      <c r="M630">
        <v>0.02</v>
      </c>
      <c r="N630" s="4">
        <v>19.680500000000002</v>
      </c>
      <c r="O630" s="4">
        <v>112.46000000000001</v>
      </c>
    </row>
    <row r="631" spans="2:15">
      <c r="B631" t="s">
        <v>1762</v>
      </c>
      <c r="C631" t="s">
        <v>50</v>
      </c>
      <c r="D631" t="s">
        <v>1874</v>
      </c>
      <c r="E631" t="s">
        <v>1875</v>
      </c>
      <c r="F631" t="s">
        <v>10</v>
      </c>
      <c r="G631" t="s">
        <v>1874</v>
      </c>
      <c r="H631" t="s">
        <v>1876</v>
      </c>
      <c r="I631" t="s">
        <v>32</v>
      </c>
      <c r="J631">
        <v>0</v>
      </c>
      <c r="K631">
        <v>5714</v>
      </c>
      <c r="L631" s="4">
        <v>3.5000000000000001E-3</v>
      </c>
      <c r="M631">
        <v>0.02</v>
      </c>
      <c r="N631" s="4">
        <v>19.998999999999999</v>
      </c>
      <c r="O631" s="4">
        <v>114.28</v>
      </c>
    </row>
    <row r="632" spans="2:15">
      <c r="B632" t="s">
        <v>1762</v>
      </c>
      <c r="C632" t="s">
        <v>50</v>
      </c>
      <c r="D632" t="s">
        <v>1877</v>
      </c>
      <c r="E632" t="s">
        <v>1878</v>
      </c>
      <c r="F632" t="s">
        <v>10</v>
      </c>
      <c r="G632" t="s">
        <v>1877</v>
      </c>
      <c r="H632" t="s">
        <v>1879</v>
      </c>
      <c r="I632" t="s">
        <v>32</v>
      </c>
      <c r="J632">
        <v>0</v>
      </c>
      <c r="K632">
        <v>245</v>
      </c>
      <c r="L632" s="4">
        <v>3.5000000000000001E-3</v>
      </c>
      <c r="M632">
        <v>0.02</v>
      </c>
      <c r="N632" s="4">
        <v>0.85750000000000004</v>
      </c>
      <c r="O632" s="4">
        <v>4.9000000000000004</v>
      </c>
    </row>
    <row r="633" spans="2:15">
      <c r="B633" t="s">
        <v>1762</v>
      </c>
      <c r="C633" t="s">
        <v>50</v>
      </c>
      <c r="D633" t="s">
        <v>1880</v>
      </c>
      <c r="E633" t="s">
        <v>278</v>
      </c>
      <c r="F633" t="s">
        <v>10</v>
      </c>
      <c r="G633" t="s">
        <v>1880</v>
      </c>
      <c r="H633" t="s">
        <v>279</v>
      </c>
      <c r="I633" t="s">
        <v>32</v>
      </c>
      <c r="J633">
        <v>0</v>
      </c>
      <c r="K633">
        <v>1831</v>
      </c>
      <c r="L633" s="4">
        <v>3.5000000000000001E-3</v>
      </c>
      <c r="M633">
        <v>0.02</v>
      </c>
      <c r="N633" s="4">
        <v>6.4085000000000001</v>
      </c>
      <c r="O633" s="4">
        <v>36.619999999999997</v>
      </c>
    </row>
    <row r="634" spans="2:15">
      <c r="B634" t="s">
        <v>1762</v>
      </c>
      <c r="C634" t="s">
        <v>50</v>
      </c>
      <c r="D634" t="s">
        <v>1881</v>
      </c>
      <c r="E634" t="s">
        <v>1882</v>
      </c>
      <c r="F634" t="s">
        <v>10</v>
      </c>
      <c r="G634" t="s">
        <v>1881</v>
      </c>
      <c r="H634" t="s">
        <v>1883</v>
      </c>
      <c r="I634" t="s">
        <v>32</v>
      </c>
      <c r="J634">
        <v>0</v>
      </c>
      <c r="K634">
        <v>3019</v>
      </c>
      <c r="L634" s="4">
        <v>3.5000000000000001E-3</v>
      </c>
      <c r="M634">
        <v>0.02</v>
      </c>
      <c r="N634" s="4">
        <v>10.5665</v>
      </c>
      <c r="O634" s="4">
        <v>60.38</v>
      </c>
    </row>
    <row r="635" spans="2:15">
      <c r="B635" t="s">
        <v>1762</v>
      </c>
      <c r="C635" t="s">
        <v>50</v>
      </c>
      <c r="D635" t="s">
        <v>1884</v>
      </c>
      <c r="E635" t="s">
        <v>97</v>
      </c>
      <c r="F635" t="s">
        <v>10</v>
      </c>
      <c r="G635" t="s">
        <v>1884</v>
      </c>
      <c r="H635" t="s">
        <v>98</v>
      </c>
      <c r="I635" t="s">
        <v>32</v>
      </c>
      <c r="J635">
        <v>0</v>
      </c>
      <c r="K635">
        <v>1</v>
      </c>
      <c r="L635" s="4">
        <v>3.5000000000000001E-3</v>
      </c>
      <c r="M635">
        <v>0.02</v>
      </c>
      <c r="N635" s="4">
        <v>3.5000000000000001E-3</v>
      </c>
      <c r="O635" s="4">
        <v>0.02</v>
      </c>
    </row>
    <row r="636" spans="2:15">
      <c r="B636" t="s">
        <v>1762</v>
      </c>
      <c r="C636" t="s">
        <v>50</v>
      </c>
      <c r="D636" t="s">
        <v>1885</v>
      </c>
      <c r="E636" t="s">
        <v>286</v>
      </c>
      <c r="F636" t="s">
        <v>10</v>
      </c>
      <c r="G636" t="s">
        <v>1885</v>
      </c>
      <c r="H636" t="s">
        <v>287</v>
      </c>
      <c r="I636" t="s">
        <v>32</v>
      </c>
      <c r="J636">
        <v>0</v>
      </c>
      <c r="K636">
        <v>1</v>
      </c>
      <c r="L636" s="4">
        <v>3.5000000000000001E-3</v>
      </c>
      <c r="M636">
        <v>0.02</v>
      </c>
      <c r="N636" s="4">
        <v>3.5000000000000001E-3</v>
      </c>
      <c r="O636" s="4">
        <v>0.02</v>
      </c>
    </row>
    <row r="637" spans="2:15">
      <c r="B637" t="s">
        <v>1762</v>
      </c>
      <c r="C637" t="s">
        <v>50</v>
      </c>
      <c r="D637" t="s">
        <v>1886</v>
      </c>
      <c r="E637" t="s">
        <v>1887</v>
      </c>
      <c r="F637" t="s">
        <v>10</v>
      </c>
      <c r="G637" t="s">
        <v>1886</v>
      </c>
      <c r="H637" t="s">
        <v>1888</v>
      </c>
      <c r="I637" t="s">
        <v>32</v>
      </c>
      <c r="J637">
        <v>0</v>
      </c>
      <c r="K637">
        <v>3230</v>
      </c>
      <c r="L637" s="4">
        <v>3.5000000000000001E-3</v>
      </c>
      <c r="M637">
        <v>0.02</v>
      </c>
      <c r="N637" s="4">
        <v>11.305</v>
      </c>
      <c r="O637" s="4">
        <v>64.599999999999994</v>
      </c>
    </row>
    <row r="638" spans="2:15">
      <c r="B638" t="s">
        <v>1762</v>
      </c>
      <c r="C638" t="s">
        <v>50</v>
      </c>
      <c r="D638" t="s">
        <v>1889</v>
      </c>
      <c r="E638" t="s">
        <v>1890</v>
      </c>
      <c r="F638" t="s">
        <v>10</v>
      </c>
      <c r="G638" t="s">
        <v>1889</v>
      </c>
      <c r="H638" t="s">
        <v>1891</v>
      </c>
      <c r="I638" t="s">
        <v>32</v>
      </c>
      <c r="J638">
        <v>0</v>
      </c>
      <c r="K638">
        <v>140</v>
      </c>
      <c r="L638" s="4">
        <v>3.5000000000000001E-3</v>
      </c>
      <c r="M638">
        <v>0.02</v>
      </c>
      <c r="N638" s="4">
        <v>0.49</v>
      </c>
      <c r="O638" s="4">
        <v>2.8000000000000003</v>
      </c>
    </row>
    <row r="639" spans="2:15">
      <c r="B639" t="s">
        <v>1762</v>
      </c>
      <c r="C639" t="s">
        <v>50</v>
      </c>
      <c r="D639" t="s">
        <v>1892</v>
      </c>
      <c r="E639" t="s">
        <v>149</v>
      </c>
      <c r="F639" t="s">
        <v>10</v>
      </c>
      <c r="G639" t="s">
        <v>1892</v>
      </c>
      <c r="H639" t="s">
        <v>150</v>
      </c>
      <c r="I639" t="s">
        <v>32</v>
      </c>
      <c r="J639">
        <v>0</v>
      </c>
      <c r="K639">
        <v>1</v>
      </c>
      <c r="L639" s="4">
        <v>3.5000000000000001E-3</v>
      </c>
      <c r="M639">
        <v>0.02</v>
      </c>
      <c r="N639" s="4">
        <v>3.5000000000000001E-3</v>
      </c>
      <c r="O639" s="4">
        <v>0.02</v>
      </c>
    </row>
    <row r="640" spans="2:15">
      <c r="B640" t="s">
        <v>1762</v>
      </c>
      <c r="C640" t="s">
        <v>83</v>
      </c>
      <c r="D640" t="s">
        <v>1893</v>
      </c>
      <c r="E640" t="s">
        <v>1894</v>
      </c>
      <c r="F640" t="s">
        <v>10</v>
      </c>
      <c r="G640" t="s">
        <v>1893</v>
      </c>
      <c r="H640" t="s">
        <v>1895</v>
      </c>
      <c r="I640" t="s">
        <v>32</v>
      </c>
      <c r="J640">
        <v>1475168</v>
      </c>
      <c r="K640">
        <v>174780</v>
      </c>
      <c r="L640" s="4">
        <v>3.5000000000000001E-3</v>
      </c>
      <c r="M640">
        <v>0.02</v>
      </c>
      <c r="N640" s="4">
        <v>611.73</v>
      </c>
      <c r="O640" s="4">
        <v>3495.6</v>
      </c>
    </row>
    <row r="641" spans="2:15">
      <c r="B641" t="s">
        <v>1762</v>
      </c>
      <c r="C641" t="s">
        <v>83</v>
      </c>
      <c r="D641" t="s">
        <v>1896</v>
      </c>
      <c r="E641" t="s">
        <v>1897</v>
      </c>
      <c r="F641" t="s">
        <v>10</v>
      </c>
      <c r="G641" t="s">
        <v>1896</v>
      </c>
      <c r="H641" t="s">
        <v>1898</v>
      </c>
      <c r="I641" t="s">
        <v>32</v>
      </c>
      <c r="J641">
        <v>0</v>
      </c>
      <c r="K641">
        <v>1</v>
      </c>
      <c r="L641" s="4">
        <v>3.5000000000000001E-3</v>
      </c>
      <c r="M641">
        <v>0.02</v>
      </c>
      <c r="N641" s="4">
        <v>3.5000000000000001E-3</v>
      </c>
      <c r="O641" s="4">
        <v>0.02</v>
      </c>
    </row>
    <row r="642" spans="2:15">
      <c r="B642" t="s">
        <v>1762</v>
      </c>
      <c r="C642" t="s">
        <v>83</v>
      </c>
      <c r="D642" t="s">
        <v>1899</v>
      </c>
      <c r="E642" t="s">
        <v>151</v>
      </c>
      <c r="F642" t="s">
        <v>10</v>
      </c>
      <c r="G642" t="s">
        <v>1899</v>
      </c>
      <c r="H642" t="s">
        <v>152</v>
      </c>
      <c r="I642" t="s">
        <v>32</v>
      </c>
      <c r="J642">
        <v>0</v>
      </c>
      <c r="K642">
        <v>6</v>
      </c>
      <c r="L642" s="4">
        <v>3.5000000000000001E-3</v>
      </c>
      <c r="M642">
        <v>0.02</v>
      </c>
      <c r="N642" s="4">
        <v>2.1000000000000001E-2</v>
      </c>
      <c r="O642" s="4">
        <v>0.12</v>
      </c>
    </row>
    <row r="643" spans="2:15">
      <c r="B643" t="s">
        <v>1762</v>
      </c>
      <c r="C643" t="s">
        <v>83</v>
      </c>
      <c r="D643" t="s">
        <v>1900</v>
      </c>
      <c r="E643" t="s">
        <v>99</v>
      </c>
      <c r="F643" t="s">
        <v>10</v>
      </c>
      <c r="G643" t="s">
        <v>1900</v>
      </c>
      <c r="H643" t="s">
        <v>100</v>
      </c>
      <c r="I643" t="s">
        <v>32</v>
      </c>
      <c r="J643">
        <v>0</v>
      </c>
      <c r="K643">
        <v>5960</v>
      </c>
      <c r="L643" s="4">
        <v>3.5000000000000001E-3</v>
      </c>
      <c r="M643">
        <v>0.02</v>
      </c>
      <c r="N643" s="4">
        <v>20.86</v>
      </c>
      <c r="O643" s="4">
        <v>119.2</v>
      </c>
    </row>
    <row r="644" spans="2:15">
      <c r="B644" t="s">
        <v>1762</v>
      </c>
      <c r="C644" t="s">
        <v>83</v>
      </c>
      <c r="D644" t="s">
        <v>1901</v>
      </c>
      <c r="E644" t="s">
        <v>1902</v>
      </c>
      <c r="F644" t="s">
        <v>30</v>
      </c>
      <c r="G644" t="s">
        <v>1901</v>
      </c>
      <c r="H644" t="s">
        <v>1903</v>
      </c>
      <c r="I644" t="s">
        <v>84</v>
      </c>
      <c r="J644">
        <v>2</v>
      </c>
      <c r="K644">
        <v>0</v>
      </c>
      <c r="L644" s="4">
        <v>0.6</v>
      </c>
      <c r="M644">
        <v>0.35</v>
      </c>
      <c r="N644" s="4">
        <v>1.1999999999999999E-3</v>
      </c>
      <c r="O644" s="4">
        <v>6.9999999999999999E-4</v>
      </c>
    </row>
    <row r="645" spans="2:15">
      <c r="B645" t="s">
        <v>1762</v>
      </c>
      <c r="C645" t="s">
        <v>83</v>
      </c>
      <c r="D645" t="s">
        <v>1904</v>
      </c>
      <c r="E645" t="s">
        <v>1905</v>
      </c>
      <c r="F645" t="s">
        <v>10</v>
      </c>
      <c r="G645" t="s">
        <v>1904</v>
      </c>
      <c r="H645" t="s">
        <v>1906</v>
      </c>
      <c r="I645" t="s">
        <v>32</v>
      </c>
      <c r="J645">
        <v>1417003</v>
      </c>
      <c r="K645">
        <v>6653</v>
      </c>
      <c r="L645" s="4">
        <v>3.5000000000000001E-3</v>
      </c>
      <c r="M645">
        <v>0.02</v>
      </c>
      <c r="N645" s="4">
        <v>23.285499999999999</v>
      </c>
      <c r="O645" s="4">
        <v>133.06</v>
      </c>
    </row>
    <row r="646" spans="2:15">
      <c r="B646" t="s">
        <v>1762</v>
      </c>
      <c r="C646" t="s">
        <v>49</v>
      </c>
      <c r="D646" t="s">
        <v>1907</v>
      </c>
      <c r="E646" t="s">
        <v>288</v>
      </c>
      <c r="F646" t="s">
        <v>12</v>
      </c>
      <c r="G646" t="s">
        <v>1907</v>
      </c>
      <c r="H646" t="s">
        <v>289</v>
      </c>
      <c r="I646" t="s">
        <v>31</v>
      </c>
      <c r="J646">
        <v>4</v>
      </c>
      <c r="K646">
        <v>0</v>
      </c>
      <c r="L646" s="4">
        <v>3.8199999999999998E-2</v>
      </c>
      <c r="M646">
        <v>0.09</v>
      </c>
      <c r="N646" s="4">
        <v>1.528E-4</v>
      </c>
      <c r="O646" s="4">
        <v>3.5999999999999997E-4</v>
      </c>
    </row>
    <row r="647" spans="2:15">
      <c r="B647" t="s">
        <v>1762</v>
      </c>
      <c r="C647" t="s">
        <v>49</v>
      </c>
      <c r="D647" t="s">
        <v>1908</v>
      </c>
      <c r="E647" t="s">
        <v>290</v>
      </c>
      <c r="F647" t="s">
        <v>12</v>
      </c>
      <c r="G647" t="s">
        <v>1908</v>
      </c>
      <c r="H647" t="s">
        <v>291</v>
      </c>
      <c r="I647" t="s">
        <v>31</v>
      </c>
      <c r="J647">
        <v>1</v>
      </c>
      <c r="K647">
        <v>1</v>
      </c>
      <c r="L647" s="4">
        <v>3.8199999999999998E-2</v>
      </c>
      <c r="M647">
        <v>0.09</v>
      </c>
      <c r="N647" s="4">
        <v>3.82E-5</v>
      </c>
      <c r="O647" s="4">
        <v>8.9999999999999992E-5</v>
      </c>
    </row>
    <row r="648" spans="2:15">
      <c r="B648" t="s">
        <v>1762</v>
      </c>
      <c r="C648" t="s">
        <v>49</v>
      </c>
      <c r="D648" t="s">
        <v>1909</v>
      </c>
      <c r="E648" t="s">
        <v>292</v>
      </c>
      <c r="F648" t="s">
        <v>12</v>
      </c>
      <c r="G648" t="s">
        <v>1909</v>
      </c>
      <c r="H648" t="s">
        <v>293</v>
      </c>
      <c r="I648" t="s">
        <v>31</v>
      </c>
      <c r="J648">
        <v>5236</v>
      </c>
      <c r="K648">
        <v>331</v>
      </c>
      <c r="L648" s="4">
        <v>3.8199999999999998E-2</v>
      </c>
      <c r="M648">
        <v>0.09</v>
      </c>
      <c r="N648" s="4">
        <v>0.2000152</v>
      </c>
      <c r="O648" s="4">
        <v>0.47123999999999999</v>
      </c>
    </row>
    <row r="649" spans="2:15">
      <c r="B649" t="s">
        <v>1762</v>
      </c>
      <c r="C649" t="s">
        <v>49</v>
      </c>
      <c r="D649" t="s">
        <v>1910</v>
      </c>
      <c r="E649" t="s">
        <v>294</v>
      </c>
      <c r="F649" t="s">
        <v>12</v>
      </c>
      <c r="G649" t="s">
        <v>1910</v>
      </c>
      <c r="H649" t="s">
        <v>295</v>
      </c>
      <c r="I649" t="s">
        <v>31</v>
      </c>
      <c r="J649">
        <v>967407</v>
      </c>
      <c r="K649">
        <v>33049</v>
      </c>
      <c r="L649" s="4">
        <v>3.8199999999999998E-2</v>
      </c>
      <c r="M649">
        <v>0.09</v>
      </c>
      <c r="N649" s="4">
        <v>36.954947399999995</v>
      </c>
      <c r="O649" s="4">
        <v>87.066629999999989</v>
      </c>
    </row>
    <row r="650" spans="2:15">
      <c r="B650" t="s">
        <v>1762</v>
      </c>
      <c r="C650" t="s">
        <v>49</v>
      </c>
      <c r="D650" t="s">
        <v>1911</v>
      </c>
      <c r="E650" t="s">
        <v>296</v>
      </c>
      <c r="F650" t="s">
        <v>12</v>
      </c>
      <c r="G650" t="s">
        <v>1911</v>
      </c>
      <c r="H650" t="s">
        <v>297</v>
      </c>
      <c r="I650" t="s">
        <v>31</v>
      </c>
      <c r="J650">
        <v>166258</v>
      </c>
      <c r="K650">
        <v>6410</v>
      </c>
      <c r="L650" s="4">
        <v>3.8199999999999998E-2</v>
      </c>
      <c r="M650">
        <v>0.09</v>
      </c>
      <c r="N650" s="4">
        <v>6.3510555999999996</v>
      </c>
      <c r="O650" s="4">
        <v>14.96322</v>
      </c>
    </row>
    <row r="651" spans="2:15">
      <c r="B651" t="s">
        <v>1762</v>
      </c>
      <c r="C651" t="s">
        <v>49</v>
      </c>
      <c r="D651" t="s">
        <v>1912</v>
      </c>
      <c r="E651" t="s">
        <v>298</v>
      </c>
      <c r="F651" t="s">
        <v>12</v>
      </c>
      <c r="G651" t="s">
        <v>1912</v>
      </c>
      <c r="H651" t="s">
        <v>299</v>
      </c>
      <c r="I651" t="s">
        <v>31</v>
      </c>
      <c r="J651">
        <v>13520</v>
      </c>
      <c r="K651">
        <v>88</v>
      </c>
      <c r="L651" s="4">
        <v>3.8199999999999998E-2</v>
      </c>
      <c r="M651">
        <v>0.09</v>
      </c>
      <c r="N651" s="4">
        <v>0.51646399999999992</v>
      </c>
      <c r="O651" s="4">
        <v>1.2167999999999999</v>
      </c>
    </row>
    <row r="652" spans="2:15">
      <c r="B652" t="s">
        <v>1762</v>
      </c>
      <c r="C652" t="s">
        <v>49</v>
      </c>
      <c r="D652" t="s">
        <v>1913</v>
      </c>
      <c r="E652" t="s">
        <v>153</v>
      </c>
      <c r="F652" t="s">
        <v>12</v>
      </c>
      <c r="G652" t="s">
        <v>1913</v>
      </c>
      <c r="H652" t="s">
        <v>154</v>
      </c>
      <c r="I652" t="s">
        <v>31</v>
      </c>
      <c r="J652">
        <v>36266</v>
      </c>
      <c r="K652">
        <v>120</v>
      </c>
      <c r="L652" s="4">
        <v>3.8199999999999998E-2</v>
      </c>
      <c r="M652">
        <v>0.09</v>
      </c>
      <c r="N652" s="4">
        <v>1.3853611999999997</v>
      </c>
      <c r="O652" s="4">
        <v>3.2639399999999998</v>
      </c>
    </row>
    <row r="653" spans="2:15">
      <c r="B653" t="s">
        <v>1762</v>
      </c>
      <c r="C653" t="s">
        <v>49</v>
      </c>
      <c r="D653" t="s">
        <v>1914</v>
      </c>
      <c r="E653" t="s">
        <v>161</v>
      </c>
      <c r="F653" t="s">
        <v>12</v>
      </c>
      <c r="G653" t="s">
        <v>1914</v>
      </c>
      <c r="H653" t="s">
        <v>162</v>
      </c>
      <c r="I653" t="s">
        <v>31</v>
      </c>
      <c r="J653">
        <v>27271</v>
      </c>
      <c r="K653">
        <v>137</v>
      </c>
      <c r="L653" s="4">
        <v>3.8199999999999998E-2</v>
      </c>
      <c r="M653">
        <v>0.09</v>
      </c>
      <c r="N653" s="4">
        <v>1.0417521999999999</v>
      </c>
      <c r="O653" s="4">
        <v>2.4543900000000001</v>
      </c>
    </row>
    <row r="654" spans="2:15">
      <c r="B654" t="s">
        <v>1762</v>
      </c>
      <c r="C654" t="s">
        <v>49</v>
      </c>
      <c r="D654" t="s">
        <v>1915</v>
      </c>
      <c r="E654" t="s">
        <v>155</v>
      </c>
      <c r="F654" t="s">
        <v>12</v>
      </c>
      <c r="G654" t="s">
        <v>1915</v>
      </c>
      <c r="H654" t="s">
        <v>156</v>
      </c>
      <c r="I654" t="s">
        <v>31</v>
      </c>
      <c r="J654">
        <v>5199479</v>
      </c>
      <c r="K654">
        <v>144708</v>
      </c>
      <c r="L654" s="4">
        <v>3.8199999999999998E-2</v>
      </c>
      <c r="M654">
        <v>0.09</v>
      </c>
      <c r="N654" s="4">
        <v>198.6200978</v>
      </c>
      <c r="O654" s="4">
        <v>467.95310999999998</v>
      </c>
    </row>
    <row r="655" spans="2:15">
      <c r="B655" t="s">
        <v>1762</v>
      </c>
      <c r="C655" t="s">
        <v>49</v>
      </c>
      <c r="D655" t="s">
        <v>1916</v>
      </c>
      <c r="E655" t="s">
        <v>163</v>
      </c>
      <c r="F655" t="s">
        <v>12</v>
      </c>
      <c r="G655" t="s">
        <v>1916</v>
      </c>
      <c r="H655" t="s">
        <v>164</v>
      </c>
      <c r="I655" t="s">
        <v>31</v>
      </c>
      <c r="J655">
        <v>579559</v>
      </c>
      <c r="K655">
        <v>7191</v>
      </c>
      <c r="L655" s="4">
        <v>3.8199999999999998E-2</v>
      </c>
      <c r="M655">
        <v>0.09</v>
      </c>
      <c r="N655" s="4">
        <v>22.139153799999999</v>
      </c>
      <c r="O655" s="4">
        <v>52.160309999999996</v>
      </c>
    </row>
    <row r="656" spans="2:15">
      <c r="B656" t="s">
        <v>1762</v>
      </c>
      <c r="C656" t="s">
        <v>49</v>
      </c>
      <c r="D656" t="s">
        <v>1917</v>
      </c>
      <c r="E656" t="s">
        <v>157</v>
      </c>
      <c r="F656" t="s">
        <v>12</v>
      </c>
      <c r="G656" t="s">
        <v>1917</v>
      </c>
      <c r="H656" t="s">
        <v>158</v>
      </c>
      <c r="I656" t="s">
        <v>31</v>
      </c>
      <c r="J656">
        <v>6123928</v>
      </c>
      <c r="K656">
        <v>276103</v>
      </c>
      <c r="L656" s="4">
        <v>3.8199999999999998E-2</v>
      </c>
      <c r="M656">
        <v>0.09</v>
      </c>
      <c r="N656" s="4">
        <v>233.93404960000001</v>
      </c>
      <c r="O656" s="4">
        <v>551.15352000000007</v>
      </c>
    </row>
    <row r="657" spans="2:15">
      <c r="B657" t="s">
        <v>1762</v>
      </c>
      <c r="C657" t="s">
        <v>49</v>
      </c>
      <c r="D657" t="s">
        <v>1918</v>
      </c>
      <c r="E657" t="s">
        <v>165</v>
      </c>
      <c r="F657" t="s">
        <v>12</v>
      </c>
      <c r="G657" t="s">
        <v>1918</v>
      </c>
      <c r="H657" t="s">
        <v>166</v>
      </c>
      <c r="I657" t="s">
        <v>31</v>
      </c>
      <c r="J657">
        <v>269679</v>
      </c>
      <c r="K657">
        <v>4193</v>
      </c>
      <c r="L657" s="4">
        <v>3.8199999999999998E-2</v>
      </c>
      <c r="M657">
        <v>0.09</v>
      </c>
      <c r="N657" s="4">
        <v>10.3017378</v>
      </c>
      <c r="O657" s="4">
        <v>24.27111</v>
      </c>
    </row>
    <row r="658" spans="2:15">
      <c r="B658" t="s">
        <v>1762</v>
      </c>
      <c r="C658" t="s">
        <v>49</v>
      </c>
      <c r="D658" t="s">
        <v>1919</v>
      </c>
      <c r="E658" t="s">
        <v>159</v>
      </c>
      <c r="F658" t="s">
        <v>12</v>
      </c>
      <c r="G658" t="s">
        <v>1919</v>
      </c>
      <c r="H658" t="s">
        <v>160</v>
      </c>
      <c r="I658" t="s">
        <v>31</v>
      </c>
      <c r="J658">
        <v>162546</v>
      </c>
      <c r="K658">
        <v>4287</v>
      </c>
      <c r="L658" s="4">
        <v>3.8199999999999998E-2</v>
      </c>
      <c r="M658">
        <v>0.09</v>
      </c>
      <c r="N658" s="4">
        <v>6.2092571999999997</v>
      </c>
      <c r="O658" s="4">
        <v>14.62914</v>
      </c>
    </row>
    <row r="659" spans="2:15">
      <c r="B659" t="s">
        <v>1762</v>
      </c>
      <c r="C659" t="s">
        <v>49</v>
      </c>
      <c r="D659" t="s">
        <v>1920</v>
      </c>
      <c r="E659" t="s">
        <v>167</v>
      </c>
      <c r="F659" t="s">
        <v>12</v>
      </c>
      <c r="G659" t="s">
        <v>1920</v>
      </c>
      <c r="H659" t="s">
        <v>168</v>
      </c>
      <c r="I659" t="s">
        <v>31</v>
      </c>
      <c r="J659">
        <v>12056</v>
      </c>
      <c r="K659">
        <v>112</v>
      </c>
      <c r="L659" s="4">
        <v>3.8199999999999998E-2</v>
      </c>
      <c r="M659">
        <v>0.09</v>
      </c>
      <c r="N659" s="4">
        <v>0.46053919999999998</v>
      </c>
      <c r="O659" s="4">
        <v>1.08504</v>
      </c>
    </row>
    <row r="660" spans="2:15">
      <c r="B660" t="s">
        <v>1762</v>
      </c>
      <c r="C660" t="s">
        <v>52</v>
      </c>
      <c r="D660" t="s">
        <v>1921</v>
      </c>
      <c r="E660" t="s">
        <v>171</v>
      </c>
      <c r="F660" t="s">
        <v>12</v>
      </c>
      <c r="G660" t="s">
        <v>1921</v>
      </c>
      <c r="H660" t="s">
        <v>172</v>
      </c>
      <c r="I660" t="s">
        <v>31</v>
      </c>
      <c r="J660">
        <v>10</v>
      </c>
      <c r="K660">
        <v>0</v>
      </c>
      <c r="L660" s="4">
        <v>3.8199999999999998E-2</v>
      </c>
      <c r="M660">
        <v>0.09</v>
      </c>
      <c r="N660" s="4">
        <v>3.8200000000000002E-4</v>
      </c>
      <c r="O660" s="4">
        <v>8.9999999999999987E-4</v>
      </c>
    </row>
    <row r="661" spans="2:15">
      <c r="B661" t="s">
        <v>1762</v>
      </c>
      <c r="C661" t="s">
        <v>52</v>
      </c>
      <c r="D661" t="s">
        <v>1922</v>
      </c>
      <c r="E661" t="s">
        <v>1923</v>
      </c>
      <c r="F661" t="s">
        <v>10</v>
      </c>
      <c r="G661" t="s">
        <v>1922</v>
      </c>
      <c r="H661" t="s">
        <v>1924</v>
      </c>
      <c r="I661" t="s">
        <v>32</v>
      </c>
      <c r="J661">
        <v>0</v>
      </c>
      <c r="K661">
        <v>1</v>
      </c>
      <c r="L661" s="4">
        <v>3.5000000000000001E-3</v>
      </c>
      <c r="M661">
        <v>0.02</v>
      </c>
      <c r="N661" s="4">
        <v>3.5000000000000001E-3</v>
      </c>
      <c r="O661" s="4">
        <v>0.02</v>
      </c>
    </row>
    <row r="662" spans="2:15">
      <c r="B662" t="s">
        <v>1762</v>
      </c>
      <c r="C662" t="s">
        <v>52</v>
      </c>
      <c r="D662" t="s">
        <v>1925</v>
      </c>
      <c r="E662" t="s">
        <v>101</v>
      </c>
      <c r="F662" t="s">
        <v>10</v>
      </c>
      <c r="G662" t="s">
        <v>1925</v>
      </c>
      <c r="H662" t="s">
        <v>102</v>
      </c>
      <c r="I662" t="s">
        <v>32</v>
      </c>
      <c r="J662">
        <v>0</v>
      </c>
      <c r="K662">
        <v>25</v>
      </c>
      <c r="L662" s="4">
        <v>3.5000000000000001E-3</v>
      </c>
      <c r="M662">
        <v>0.02</v>
      </c>
      <c r="N662" s="4">
        <v>8.7500000000000008E-2</v>
      </c>
      <c r="O662" s="4">
        <v>0.5</v>
      </c>
    </row>
    <row r="663" spans="2:15">
      <c r="B663" t="s">
        <v>1762</v>
      </c>
      <c r="C663" t="s">
        <v>52</v>
      </c>
      <c r="D663" t="s">
        <v>1926</v>
      </c>
      <c r="E663" t="s">
        <v>175</v>
      </c>
      <c r="F663" t="s">
        <v>10</v>
      </c>
      <c r="G663" t="s">
        <v>1926</v>
      </c>
      <c r="H663" t="s">
        <v>176</v>
      </c>
      <c r="I663" t="s">
        <v>32</v>
      </c>
      <c r="J663">
        <v>0</v>
      </c>
      <c r="K663">
        <v>9</v>
      </c>
      <c r="L663" s="4">
        <v>3.5000000000000001E-3</v>
      </c>
      <c r="M663">
        <v>0.02</v>
      </c>
      <c r="N663" s="4">
        <v>3.15E-2</v>
      </c>
      <c r="O663" s="4">
        <v>0.18</v>
      </c>
    </row>
    <row r="664" spans="2:15">
      <c r="B664" t="s">
        <v>1762</v>
      </c>
      <c r="C664" t="s">
        <v>52</v>
      </c>
      <c r="D664" t="s">
        <v>1927</v>
      </c>
      <c r="E664" t="s">
        <v>177</v>
      </c>
      <c r="F664" t="s">
        <v>10</v>
      </c>
      <c r="G664" t="s">
        <v>1927</v>
      </c>
      <c r="H664" t="s">
        <v>178</v>
      </c>
      <c r="I664" t="s">
        <v>32</v>
      </c>
      <c r="J664">
        <v>0</v>
      </c>
      <c r="K664">
        <v>2</v>
      </c>
      <c r="L664" s="4">
        <v>3.5000000000000001E-3</v>
      </c>
      <c r="M664">
        <v>0.02</v>
      </c>
      <c r="N664" s="4">
        <v>7.0000000000000001E-3</v>
      </c>
      <c r="O664" s="4">
        <v>0.04</v>
      </c>
    </row>
    <row r="665" spans="2:15">
      <c r="B665" t="s">
        <v>1762</v>
      </c>
      <c r="C665" t="s">
        <v>52</v>
      </c>
      <c r="D665" t="s">
        <v>1928</v>
      </c>
      <c r="E665" t="s">
        <v>169</v>
      </c>
      <c r="F665" t="s">
        <v>12</v>
      </c>
      <c r="G665" t="s">
        <v>1928</v>
      </c>
      <c r="H665" t="s">
        <v>170</v>
      </c>
      <c r="I665" t="s">
        <v>31</v>
      </c>
      <c r="J665">
        <v>6</v>
      </c>
      <c r="K665">
        <v>0</v>
      </c>
      <c r="L665" s="4">
        <v>3.8199999999999998E-2</v>
      </c>
      <c r="M665">
        <v>0.09</v>
      </c>
      <c r="N665" s="4">
        <v>2.2919999999999999E-4</v>
      </c>
      <c r="O665" s="4">
        <v>5.4000000000000001E-4</v>
      </c>
    </row>
    <row r="666" spans="2:15">
      <c r="B666" t="s">
        <v>1762</v>
      </c>
      <c r="C666" t="s">
        <v>52</v>
      </c>
      <c r="D666" t="s">
        <v>1929</v>
      </c>
      <c r="E666" t="s">
        <v>173</v>
      </c>
      <c r="F666" t="s">
        <v>12</v>
      </c>
      <c r="G666" t="s">
        <v>1929</v>
      </c>
      <c r="H666" t="s">
        <v>174</v>
      </c>
      <c r="I666" t="s">
        <v>31</v>
      </c>
      <c r="J666">
        <v>2</v>
      </c>
      <c r="K666">
        <v>0</v>
      </c>
      <c r="L666" s="4">
        <v>3.8199999999999998E-2</v>
      </c>
      <c r="M666">
        <v>0.09</v>
      </c>
      <c r="N666" s="4">
        <v>7.64E-5</v>
      </c>
      <c r="O666" s="4">
        <v>1.7999999999999998E-4</v>
      </c>
    </row>
    <row r="667" spans="2:15">
      <c r="B667" t="s">
        <v>1762</v>
      </c>
      <c r="C667" t="s">
        <v>111</v>
      </c>
      <c r="D667" t="s">
        <v>1930</v>
      </c>
      <c r="E667" t="s">
        <v>300</v>
      </c>
      <c r="F667" t="s">
        <v>12</v>
      </c>
      <c r="G667" t="s">
        <v>1930</v>
      </c>
      <c r="H667" t="s">
        <v>301</v>
      </c>
      <c r="I667" t="s">
        <v>31</v>
      </c>
      <c r="J667">
        <v>1</v>
      </c>
      <c r="K667">
        <v>0</v>
      </c>
      <c r="L667" s="4">
        <v>3.8199999999999998E-2</v>
      </c>
      <c r="M667">
        <v>0.09</v>
      </c>
      <c r="N667" s="4">
        <v>3.82E-5</v>
      </c>
      <c r="O667" s="4">
        <v>8.9999999999999992E-5</v>
      </c>
    </row>
    <row r="668" spans="2:15">
      <c r="B668" t="s">
        <v>1762</v>
      </c>
      <c r="C668" t="s">
        <v>111</v>
      </c>
      <c r="D668" t="s">
        <v>1931</v>
      </c>
      <c r="E668" t="s">
        <v>308</v>
      </c>
      <c r="F668" t="s">
        <v>12</v>
      </c>
      <c r="G668" t="s">
        <v>1931</v>
      </c>
      <c r="H668" t="s">
        <v>309</v>
      </c>
      <c r="I668" t="s">
        <v>31</v>
      </c>
      <c r="J668">
        <v>2</v>
      </c>
      <c r="K668">
        <v>0</v>
      </c>
      <c r="L668" s="4">
        <v>3.8199999999999998E-2</v>
      </c>
      <c r="M668">
        <v>0.09</v>
      </c>
      <c r="N668" s="4">
        <v>7.64E-5</v>
      </c>
      <c r="O668" s="4">
        <v>1.7999999999999998E-4</v>
      </c>
    </row>
    <row r="669" spans="2:15">
      <c r="B669" t="s">
        <v>1762</v>
      </c>
      <c r="C669" t="s">
        <v>111</v>
      </c>
      <c r="D669" t="s">
        <v>1932</v>
      </c>
      <c r="E669" t="s">
        <v>316</v>
      </c>
      <c r="F669" t="s">
        <v>12</v>
      </c>
      <c r="G669" t="s">
        <v>1932</v>
      </c>
      <c r="H669" t="s">
        <v>317</v>
      </c>
      <c r="I669" t="s">
        <v>31</v>
      </c>
      <c r="J669">
        <v>1</v>
      </c>
      <c r="K669">
        <v>0</v>
      </c>
      <c r="L669" s="4">
        <v>3.8199999999999998E-2</v>
      </c>
      <c r="M669">
        <v>0.09</v>
      </c>
      <c r="N669" s="4">
        <v>3.82E-5</v>
      </c>
      <c r="O669" s="4">
        <v>8.9999999999999992E-5</v>
      </c>
    </row>
    <row r="670" spans="2:15">
      <c r="B670" t="s">
        <v>1762</v>
      </c>
      <c r="C670" t="s">
        <v>111</v>
      </c>
      <c r="D670" t="s">
        <v>1933</v>
      </c>
      <c r="E670" t="s">
        <v>302</v>
      </c>
      <c r="F670" t="s">
        <v>12</v>
      </c>
      <c r="G670" t="s">
        <v>1933</v>
      </c>
      <c r="H670" t="s">
        <v>303</v>
      </c>
      <c r="I670" t="s">
        <v>31</v>
      </c>
      <c r="J670">
        <v>5</v>
      </c>
      <c r="K670">
        <v>0</v>
      </c>
      <c r="L670" s="4">
        <v>3.8199999999999998E-2</v>
      </c>
      <c r="M670">
        <v>0.09</v>
      </c>
      <c r="N670" s="4">
        <v>1.9100000000000001E-4</v>
      </c>
      <c r="O670" s="4">
        <v>4.4999999999999993E-4</v>
      </c>
    </row>
    <row r="671" spans="2:15">
      <c r="B671" t="s">
        <v>1762</v>
      </c>
      <c r="C671" t="s">
        <v>111</v>
      </c>
      <c r="D671" t="s">
        <v>1934</v>
      </c>
      <c r="E671" t="s">
        <v>310</v>
      </c>
      <c r="F671" t="s">
        <v>12</v>
      </c>
      <c r="G671" t="s">
        <v>1934</v>
      </c>
      <c r="H671" t="s">
        <v>311</v>
      </c>
      <c r="I671" t="s">
        <v>31</v>
      </c>
      <c r="J671">
        <v>6</v>
      </c>
      <c r="K671">
        <v>0</v>
      </c>
      <c r="L671" s="4">
        <v>3.8199999999999998E-2</v>
      </c>
      <c r="M671">
        <v>0.09</v>
      </c>
      <c r="N671" s="4">
        <v>2.2919999999999999E-4</v>
      </c>
      <c r="O671" s="4">
        <v>5.4000000000000001E-4</v>
      </c>
    </row>
    <row r="672" spans="2:15">
      <c r="B672" t="s">
        <v>1762</v>
      </c>
      <c r="C672" t="s">
        <v>111</v>
      </c>
      <c r="D672" t="s">
        <v>1935</v>
      </c>
      <c r="E672" t="s">
        <v>318</v>
      </c>
      <c r="F672" t="s">
        <v>12</v>
      </c>
      <c r="G672" t="s">
        <v>1935</v>
      </c>
      <c r="H672" t="s">
        <v>319</v>
      </c>
      <c r="I672" t="s">
        <v>31</v>
      </c>
      <c r="J672">
        <v>4</v>
      </c>
      <c r="K672">
        <v>0</v>
      </c>
      <c r="L672" s="4">
        <v>3.8199999999999998E-2</v>
      </c>
      <c r="M672">
        <v>0.09</v>
      </c>
      <c r="N672" s="4">
        <v>1.528E-4</v>
      </c>
      <c r="O672" s="4">
        <v>3.5999999999999997E-4</v>
      </c>
    </row>
    <row r="673" spans="2:15">
      <c r="B673" t="s">
        <v>1762</v>
      </c>
      <c r="C673" t="s">
        <v>111</v>
      </c>
      <c r="D673" t="s">
        <v>1936</v>
      </c>
      <c r="E673" t="s">
        <v>304</v>
      </c>
      <c r="F673" t="s">
        <v>12</v>
      </c>
      <c r="G673" t="s">
        <v>1936</v>
      </c>
      <c r="H673" t="s">
        <v>305</v>
      </c>
      <c r="I673" t="s">
        <v>31</v>
      </c>
      <c r="J673">
        <v>2</v>
      </c>
      <c r="K673">
        <v>0</v>
      </c>
      <c r="L673" s="4">
        <v>3.8199999999999998E-2</v>
      </c>
      <c r="M673">
        <v>0.09</v>
      </c>
      <c r="N673" s="4">
        <v>7.64E-5</v>
      </c>
      <c r="O673" s="4">
        <v>1.7999999999999998E-4</v>
      </c>
    </row>
    <row r="674" spans="2:15">
      <c r="B674" t="s">
        <v>1762</v>
      </c>
      <c r="C674" t="s">
        <v>111</v>
      </c>
      <c r="D674" t="s">
        <v>1937</v>
      </c>
      <c r="E674" t="s">
        <v>312</v>
      </c>
      <c r="F674" t="s">
        <v>12</v>
      </c>
      <c r="G674" t="s">
        <v>1937</v>
      </c>
      <c r="H674" t="s">
        <v>313</v>
      </c>
      <c r="I674" t="s">
        <v>31</v>
      </c>
      <c r="J674">
        <v>2</v>
      </c>
      <c r="K674">
        <v>0</v>
      </c>
      <c r="L674" s="4">
        <v>3.8199999999999998E-2</v>
      </c>
      <c r="M674">
        <v>0.09</v>
      </c>
      <c r="N674" s="4">
        <v>7.64E-5</v>
      </c>
      <c r="O674" s="4">
        <v>1.7999999999999998E-4</v>
      </c>
    </row>
    <row r="675" spans="2:15">
      <c r="B675" t="s">
        <v>1762</v>
      </c>
      <c r="C675" t="s">
        <v>111</v>
      </c>
      <c r="D675" t="s">
        <v>1938</v>
      </c>
      <c r="E675" t="s">
        <v>320</v>
      </c>
      <c r="F675" t="s">
        <v>12</v>
      </c>
      <c r="G675" t="s">
        <v>1938</v>
      </c>
      <c r="H675" t="s">
        <v>321</v>
      </c>
      <c r="I675" t="s">
        <v>31</v>
      </c>
      <c r="J675">
        <v>2</v>
      </c>
      <c r="K675">
        <v>0</v>
      </c>
      <c r="L675" s="4">
        <v>3.8199999999999998E-2</v>
      </c>
      <c r="M675">
        <v>0.09</v>
      </c>
      <c r="N675" s="4">
        <v>7.64E-5</v>
      </c>
      <c r="O675" s="4">
        <v>1.7999999999999998E-4</v>
      </c>
    </row>
    <row r="676" spans="2:15">
      <c r="B676" t="s">
        <v>1762</v>
      </c>
      <c r="C676" t="s">
        <v>111</v>
      </c>
      <c r="D676" t="s">
        <v>1939</v>
      </c>
      <c r="E676" t="s">
        <v>306</v>
      </c>
      <c r="F676" t="s">
        <v>12</v>
      </c>
      <c r="G676" t="s">
        <v>1939</v>
      </c>
      <c r="H676" t="s">
        <v>307</v>
      </c>
      <c r="I676" t="s">
        <v>31</v>
      </c>
      <c r="J676">
        <v>1</v>
      </c>
      <c r="K676">
        <v>0</v>
      </c>
      <c r="L676" s="4">
        <v>3.8199999999999998E-2</v>
      </c>
      <c r="M676">
        <v>0.09</v>
      </c>
      <c r="N676" s="4">
        <v>3.82E-5</v>
      </c>
      <c r="O676" s="4">
        <v>8.9999999999999992E-5</v>
      </c>
    </row>
    <row r="677" spans="2:15">
      <c r="B677" t="s">
        <v>1762</v>
      </c>
      <c r="C677" t="s">
        <v>111</v>
      </c>
      <c r="D677" t="s">
        <v>1940</v>
      </c>
      <c r="E677" t="s">
        <v>314</v>
      </c>
      <c r="F677" t="s">
        <v>12</v>
      </c>
      <c r="G677" t="s">
        <v>1940</v>
      </c>
      <c r="H677" t="s">
        <v>315</v>
      </c>
      <c r="I677" t="s">
        <v>31</v>
      </c>
      <c r="J677">
        <v>1</v>
      </c>
      <c r="K677">
        <v>0</v>
      </c>
      <c r="L677" s="4">
        <v>3.8199999999999998E-2</v>
      </c>
      <c r="M677">
        <v>0.09</v>
      </c>
      <c r="N677" s="4">
        <v>3.82E-5</v>
      </c>
      <c r="O677" s="4">
        <v>8.9999999999999992E-5</v>
      </c>
    </row>
    <row r="678" spans="2:15">
      <c r="B678" t="s">
        <v>1762</v>
      </c>
      <c r="C678" t="s">
        <v>111</v>
      </c>
      <c r="D678" t="s">
        <v>1941</v>
      </c>
      <c r="E678" t="s">
        <v>322</v>
      </c>
      <c r="F678" t="s">
        <v>12</v>
      </c>
      <c r="G678" t="s">
        <v>1941</v>
      </c>
      <c r="H678" t="s">
        <v>323</v>
      </c>
      <c r="I678" t="s">
        <v>31</v>
      </c>
      <c r="J678">
        <v>2</v>
      </c>
      <c r="K678">
        <v>0</v>
      </c>
      <c r="L678" s="4">
        <v>3.8199999999999998E-2</v>
      </c>
      <c r="M678">
        <v>0.09</v>
      </c>
      <c r="N678" s="4">
        <v>7.64E-5</v>
      </c>
      <c r="O678" s="4">
        <v>1.7999999999999998E-4</v>
      </c>
    </row>
    <row r="679" spans="2:15">
      <c r="B679" t="s">
        <v>1762</v>
      </c>
      <c r="C679" t="s">
        <v>111</v>
      </c>
      <c r="D679" t="s">
        <v>1942</v>
      </c>
      <c r="E679" t="s">
        <v>1943</v>
      </c>
      <c r="F679" t="s">
        <v>12</v>
      </c>
      <c r="G679" t="s">
        <v>1942</v>
      </c>
      <c r="H679" t="s">
        <v>1944</v>
      </c>
      <c r="I679" t="s">
        <v>31</v>
      </c>
      <c r="J679">
        <v>1</v>
      </c>
      <c r="K679">
        <v>1</v>
      </c>
      <c r="L679" s="4">
        <v>3.8199999999999998E-2</v>
      </c>
      <c r="M679">
        <v>0.09</v>
      </c>
      <c r="N679" s="4">
        <v>3.82E-5</v>
      </c>
      <c r="O679" s="4">
        <v>8.9999999999999992E-5</v>
      </c>
    </row>
    <row r="680" spans="2:15">
      <c r="B680" t="s">
        <v>1762</v>
      </c>
      <c r="C680" t="s">
        <v>111</v>
      </c>
      <c r="D680" t="s">
        <v>1945</v>
      </c>
      <c r="E680" t="s">
        <v>1946</v>
      </c>
      <c r="F680" t="s">
        <v>12</v>
      </c>
      <c r="G680" t="s">
        <v>1945</v>
      </c>
      <c r="H680" t="s">
        <v>1947</v>
      </c>
      <c r="I680" t="s">
        <v>31</v>
      </c>
      <c r="J680">
        <v>1</v>
      </c>
      <c r="K680">
        <v>1</v>
      </c>
      <c r="L680" s="4">
        <v>3.8199999999999998E-2</v>
      </c>
      <c r="M680">
        <v>0.09</v>
      </c>
      <c r="N680" s="4">
        <v>3.82E-5</v>
      </c>
      <c r="O680" s="4">
        <v>8.9999999999999992E-5</v>
      </c>
    </row>
    <row r="681" spans="2:15">
      <c r="B681" t="s">
        <v>1762</v>
      </c>
      <c r="C681" t="s">
        <v>111</v>
      </c>
      <c r="D681" t="s">
        <v>1948</v>
      </c>
      <c r="E681" t="s">
        <v>326</v>
      </c>
      <c r="F681" t="s">
        <v>10</v>
      </c>
      <c r="G681" t="s">
        <v>1948</v>
      </c>
      <c r="H681" t="s">
        <v>327</v>
      </c>
      <c r="I681" t="s">
        <v>32</v>
      </c>
      <c r="J681">
        <v>33567164</v>
      </c>
      <c r="K681">
        <v>327192</v>
      </c>
      <c r="L681" s="4">
        <v>3.5000000000000001E-3</v>
      </c>
      <c r="M681">
        <v>0.02</v>
      </c>
      <c r="N681" s="4">
        <v>1145.172</v>
      </c>
      <c r="O681" s="4">
        <v>6543.84</v>
      </c>
    </row>
    <row r="682" spans="2:15">
      <c r="B682" t="s">
        <v>1762</v>
      </c>
      <c r="C682" t="s">
        <v>111</v>
      </c>
      <c r="D682" t="s">
        <v>1949</v>
      </c>
      <c r="E682" t="s">
        <v>1950</v>
      </c>
      <c r="F682" t="s">
        <v>10</v>
      </c>
      <c r="G682" t="s">
        <v>1949</v>
      </c>
      <c r="H682" t="s">
        <v>1951</v>
      </c>
      <c r="I682" t="s">
        <v>32</v>
      </c>
      <c r="J682">
        <v>249943</v>
      </c>
      <c r="K682">
        <v>2220</v>
      </c>
      <c r="L682" s="4">
        <v>3.5000000000000001E-3</v>
      </c>
      <c r="M682">
        <v>0.02</v>
      </c>
      <c r="N682" s="4">
        <v>7.7700000000000005</v>
      </c>
      <c r="O682" s="4">
        <v>44.4</v>
      </c>
    </row>
    <row r="683" spans="2:15">
      <c r="B683" t="s">
        <v>1762</v>
      </c>
      <c r="C683" t="s">
        <v>111</v>
      </c>
      <c r="D683" t="s">
        <v>1952</v>
      </c>
      <c r="E683" t="s">
        <v>328</v>
      </c>
      <c r="F683" t="s">
        <v>10</v>
      </c>
      <c r="G683" t="s">
        <v>1952</v>
      </c>
      <c r="H683" t="s">
        <v>329</v>
      </c>
      <c r="I683" t="s">
        <v>32</v>
      </c>
      <c r="J683">
        <v>621938</v>
      </c>
      <c r="K683">
        <v>12571</v>
      </c>
      <c r="L683" s="4">
        <v>3.5000000000000001E-3</v>
      </c>
      <c r="M683">
        <v>0.02</v>
      </c>
      <c r="N683" s="4">
        <v>43.9985</v>
      </c>
      <c r="O683" s="4">
        <v>251.42000000000002</v>
      </c>
    </row>
    <row r="684" spans="2:15">
      <c r="B684" t="s">
        <v>1762</v>
      </c>
      <c r="C684" t="s">
        <v>111</v>
      </c>
      <c r="D684" t="s">
        <v>1953</v>
      </c>
      <c r="E684" t="s">
        <v>1954</v>
      </c>
      <c r="F684" t="s">
        <v>10</v>
      </c>
      <c r="G684" t="s">
        <v>1953</v>
      </c>
      <c r="H684" t="s">
        <v>1955</v>
      </c>
      <c r="I684" t="s">
        <v>32</v>
      </c>
      <c r="J684">
        <v>0</v>
      </c>
      <c r="K684">
        <v>2</v>
      </c>
      <c r="L684" s="4">
        <v>3.5000000000000001E-3</v>
      </c>
      <c r="M684">
        <v>0.02</v>
      </c>
      <c r="N684" s="4">
        <v>7.0000000000000001E-3</v>
      </c>
      <c r="O684" s="4">
        <v>0.04</v>
      </c>
    </row>
    <row r="685" spans="2:15">
      <c r="B685" t="s">
        <v>1762</v>
      </c>
      <c r="C685" t="s">
        <v>111</v>
      </c>
      <c r="D685" t="s">
        <v>1956</v>
      </c>
      <c r="E685" t="s">
        <v>1957</v>
      </c>
      <c r="F685" t="s">
        <v>10</v>
      </c>
      <c r="G685" t="s">
        <v>1956</v>
      </c>
      <c r="H685" t="s">
        <v>1958</v>
      </c>
      <c r="I685" t="s">
        <v>32</v>
      </c>
      <c r="J685">
        <v>0</v>
      </c>
      <c r="K685">
        <v>2</v>
      </c>
      <c r="L685" s="4">
        <v>3.5000000000000001E-3</v>
      </c>
      <c r="M685">
        <v>0.02</v>
      </c>
      <c r="N685" s="4">
        <v>7.0000000000000001E-3</v>
      </c>
      <c r="O685" s="4">
        <v>0.04</v>
      </c>
    </row>
    <row r="686" spans="2:15">
      <c r="B686" t="s">
        <v>1762</v>
      </c>
      <c r="C686" t="s">
        <v>111</v>
      </c>
      <c r="D686" t="s">
        <v>1959</v>
      </c>
      <c r="E686" t="s">
        <v>324</v>
      </c>
      <c r="F686" t="s">
        <v>10</v>
      </c>
      <c r="G686" t="s">
        <v>1959</v>
      </c>
      <c r="H686" t="s">
        <v>325</v>
      </c>
      <c r="I686" t="s">
        <v>32</v>
      </c>
      <c r="J686">
        <v>1021</v>
      </c>
      <c r="K686">
        <v>121</v>
      </c>
      <c r="L686" s="4">
        <v>3.5000000000000001E-3</v>
      </c>
      <c r="M686">
        <v>0.02</v>
      </c>
      <c r="N686" s="4">
        <v>0.42349999999999999</v>
      </c>
      <c r="O686" s="4">
        <v>2.42</v>
      </c>
    </row>
    <row r="687" spans="2:15">
      <c r="B687" t="s">
        <v>1762</v>
      </c>
      <c r="C687" t="s">
        <v>111</v>
      </c>
      <c r="D687" t="s">
        <v>1960</v>
      </c>
      <c r="E687" t="s">
        <v>1961</v>
      </c>
      <c r="F687" t="s">
        <v>30</v>
      </c>
      <c r="G687" t="s">
        <v>1960</v>
      </c>
      <c r="H687" t="s">
        <v>1962</v>
      </c>
      <c r="I687" t="s">
        <v>84</v>
      </c>
      <c r="J687">
        <v>955959</v>
      </c>
      <c r="K687">
        <v>8134</v>
      </c>
      <c r="L687" s="4">
        <v>0.6</v>
      </c>
      <c r="M687">
        <v>0.35</v>
      </c>
      <c r="N687" s="4">
        <v>573.57540000000006</v>
      </c>
      <c r="O687" s="4">
        <v>334.58564999999999</v>
      </c>
    </row>
    <row r="688" spans="2:15">
      <c r="B688" t="s">
        <v>1762</v>
      </c>
      <c r="C688" t="s">
        <v>51</v>
      </c>
      <c r="D688" t="s">
        <v>1963</v>
      </c>
      <c r="E688" t="s">
        <v>1964</v>
      </c>
      <c r="F688" t="s">
        <v>10</v>
      </c>
      <c r="G688" t="s">
        <v>1963</v>
      </c>
      <c r="H688" t="s">
        <v>1965</v>
      </c>
      <c r="I688" t="s">
        <v>32</v>
      </c>
      <c r="J688">
        <v>0</v>
      </c>
      <c r="K688">
        <v>193</v>
      </c>
      <c r="L688" s="4">
        <v>3.5000000000000001E-3</v>
      </c>
      <c r="M688">
        <v>0.02</v>
      </c>
      <c r="N688" s="4">
        <v>0.67549999999999999</v>
      </c>
      <c r="O688" s="4">
        <v>3.86</v>
      </c>
    </row>
    <row r="689" spans="2:15">
      <c r="B689" t="s">
        <v>1762</v>
      </c>
      <c r="C689" t="s">
        <v>51</v>
      </c>
      <c r="D689" t="s">
        <v>1966</v>
      </c>
      <c r="E689" t="s">
        <v>1967</v>
      </c>
      <c r="F689" t="s">
        <v>10</v>
      </c>
      <c r="G689" t="s">
        <v>1966</v>
      </c>
      <c r="H689" t="s">
        <v>1968</v>
      </c>
      <c r="I689" t="s">
        <v>32</v>
      </c>
      <c r="J689">
        <v>0</v>
      </c>
      <c r="K689">
        <v>178</v>
      </c>
      <c r="L689" s="4">
        <v>3.5000000000000001E-3</v>
      </c>
      <c r="M689">
        <v>0.02</v>
      </c>
      <c r="N689" s="4">
        <v>0.623</v>
      </c>
      <c r="O689" s="4">
        <v>3.56</v>
      </c>
    </row>
    <row r="690" spans="2:15">
      <c r="B690" t="s">
        <v>1762</v>
      </c>
      <c r="C690" t="s">
        <v>51</v>
      </c>
      <c r="D690" t="s">
        <v>1969</v>
      </c>
      <c r="E690" t="s">
        <v>1970</v>
      </c>
      <c r="F690" t="s">
        <v>10</v>
      </c>
      <c r="G690" t="s">
        <v>1969</v>
      </c>
      <c r="H690" t="s">
        <v>1971</v>
      </c>
      <c r="I690" t="s">
        <v>32</v>
      </c>
      <c r="J690">
        <v>0</v>
      </c>
      <c r="K690">
        <v>3676</v>
      </c>
      <c r="L690" s="4">
        <v>3.5000000000000001E-3</v>
      </c>
      <c r="M690">
        <v>0.02</v>
      </c>
      <c r="N690" s="4">
        <v>12.866</v>
      </c>
      <c r="O690" s="4">
        <v>73.52</v>
      </c>
    </row>
    <row r="691" spans="2:15">
      <c r="B691" t="s">
        <v>1762</v>
      </c>
      <c r="C691" t="s">
        <v>51</v>
      </c>
      <c r="D691" t="s">
        <v>1972</v>
      </c>
      <c r="E691" t="s">
        <v>1973</v>
      </c>
      <c r="F691" t="s">
        <v>10</v>
      </c>
      <c r="G691" t="s">
        <v>1972</v>
      </c>
      <c r="H691" t="s">
        <v>1974</v>
      </c>
      <c r="I691" t="s">
        <v>32</v>
      </c>
      <c r="J691">
        <v>0</v>
      </c>
      <c r="K691">
        <v>130</v>
      </c>
      <c r="L691" s="4">
        <v>3.5000000000000001E-3</v>
      </c>
      <c r="M691">
        <v>0.02</v>
      </c>
      <c r="N691" s="4">
        <v>0.45500000000000002</v>
      </c>
      <c r="O691" s="4">
        <v>2.6</v>
      </c>
    </row>
    <row r="692" spans="2:15">
      <c r="B692" t="s">
        <v>1762</v>
      </c>
      <c r="C692" t="s">
        <v>51</v>
      </c>
      <c r="D692" t="s">
        <v>1975</v>
      </c>
      <c r="E692" t="s">
        <v>1976</v>
      </c>
      <c r="F692" t="s">
        <v>10</v>
      </c>
      <c r="G692" t="s">
        <v>1975</v>
      </c>
      <c r="H692" t="s">
        <v>1977</v>
      </c>
      <c r="I692" t="s">
        <v>32</v>
      </c>
      <c r="J692">
        <v>0</v>
      </c>
      <c r="K692">
        <v>909</v>
      </c>
      <c r="L692" s="4">
        <v>3.5000000000000001E-3</v>
      </c>
      <c r="M692">
        <v>0.02</v>
      </c>
      <c r="N692" s="4">
        <v>3.1815000000000002</v>
      </c>
      <c r="O692" s="4">
        <v>18.18</v>
      </c>
    </row>
    <row r="693" spans="2:15">
      <c r="B693" t="s">
        <v>1762</v>
      </c>
      <c r="C693" t="s">
        <v>51</v>
      </c>
      <c r="D693" t="s">
        <v>1978</v>
      </c>
      <c r="E693" t="s">
        <v>1979</v>
      </c>
      <c r="F693" t="s">
        <v>10</v>
      </c>
      <c r="G693" t="s">
        <v>1978</v>
      </c>
      <c r="H693" t="s">
        <v>1980</v>
      </c>
      <c r="I693" t="s">
        <v>32</v>
      </c>
      <c r="J693">
        <v>0</v>
      </c>
      <c r="K693">
        <v>164</v>
      </c>
      <c r="L693" s="4">
        <v>3.5000000000000001E-3</v>
      </c>
      <c r="M693">
        <v>0.02</v>
      </c>
      <c r="N693" s="4">
        <v>0.57400000000000007</v>
      </c>
      <c r="O693" s="4">
        <v>3.2800000000000002</v>
      </c>
    </row>
    <row r="694" spans="2:15">
      <c r="B694" t="s">
        <v>1762</v>
      </c>
      <c r="C694" t="s">
        <v>51</v>
      </c>
      <c r="D694" t="s">
        <v>1981</v>
      </c>
      <c r="E694" t="s">
        <v>1982</v>
      </c>
      <c r="F694" t="s">
        <v>10</v>
      </c>
      <c r="G694" t="s">
        <v>1981</v>
      </c>
      <c r="H694" t="s">
        <v>1983</v>
      </c>
      <c r="I694" t="s">
        <v>32</v>
      </c>
      <c r="J694">
        <v>0</v>
      </c>
      <c r="K694">
        <v>1255</v>
      </c>
      <c r="L694" s="4">
        <v>3.5000000000000001E-3</v>
      </c>
      <c r="M694">
        <v>0.02</v>
      </c>
      <c r="N694" s="4">
        <v>4.3925000000000001</v>
      </c>
      <c r="O694" s="4">
        <v>25.1</v>
      </c>
    </row>
    <row r="695" spans="2:15">
      <c r="B695" t="s">
        <v>1762</v>
      </c>
      <c r="C695" t="s">
        <v>51</v>
      </c>
      <c r="D695" t="s">
        <v>1984</v>
      </c>
      <c r="E695" t="s">
        <v>1985</v>
      </c>
      <c r="F695" t="s">
        <v>10</v>
      </c>
      <c r="G695" t="s">
        <v>1984</v>
      </c>
      <c r="H695" t="s">
        <v>1986</v>
      </c>
      <c r="I695" t="s">
        <v>32</v>
      </c>
      <c r="J695">
        <v>0</v>
      </c>
      <c r="K695">
        <v>2105</v>
      </c>
      <c r="L695" s="4">
        <v>3.5000000000000001E-3</v>
      </c>
      <c r="M695">
        <v>0.02</v>
      </c>
      <c r="N695" s="4">
        <v>7.3674999999999997</v>
      </c>
      <c r="O695" s="4">
        <v>42.1</v>
      </c>
    </row>
    <row r="696" spans="2:15">
      <c r="B696" t="s">
        <v>1762</v>
      </c>
      <c r="C696" t="s">
        <v>51</v>
      </c>
      <c r="D696" t="s">
        <v>1987</v>
      </c>
      <c r="E696" t="s">
        <v>1988</v>
      </c>
      <c r="F696" t="s">
        <v>10</v>
      </c>
      <c r="G696" t="s">
        <v>1987</v>
      </c>
      <c r="H696" t="s">
        <v>1989</v>
      </c>
      <c r="I696" t="s">
        <v>32</v>
      </c>
      <c r="J696">
        <v>0</v>
      </c>
      <c r="K696">
        <v>8</v>
      </c>
      <c r="L696" s="4">
        <v>3.5000000000000001E-3</v>
      </c>
      <c r="M696">
        <v>0.02</v>
      </c>
      <c r="N696" s="4">
        <v>2.8000000000000001E-2</v>
      </c>
      <c r="O696" s="4">
        <v>0.16</v>
      </c>
    </row>
    <row r="697" spans="2:15">
      <c r="B697" t="s">
        <v>1762</v>
      </c>
      <c r="C697" t="s">
        <v>51</v>
      </c>
      <c r="D697" t="s">
        <v>1990</v>
      </c>
      <c r="E697" t="s">
        <v>181</v>
      </c>
      <c r="F697" t="s">
        <v>10</v>
      </c>
      <c r="G697" t="s">
        <v>1990</v>
      </c>
      <c r="H697" t="s">
        <v>182</v>
      </c>
      <c r="I697" t="s">
        <v>32</v>
      </c>
      <c r="J697">
        <v>0</v>
      </c>
      <c r="K697">
        <v>1</v>
      </c>
      <c r="L697" s="4">
        <v>3.5000000000000001E-3</v>
      </c>
      <c r="M697">
        <v>0.02</v>
      </c>
      <c r="N697" s="4">
        <v>3.5000000000000001E-3</v>
      </c>
      <c r="O697" s="4">
        <v>0.02</v>
      </c>
    </row>
    <row r="698" spans="2:15">
      <c r="B698" t="s">
        <v>1762</v>
      </c>
      <c r="C698" t="s">
        <v>51</v>
      </c>
      <c r="D698" t="s">
        <v>1991</v>
      </c>
      <c r="E698" t="s">
        <v>183</v>
      </c>
      <c r="F698" t="s">
        <v>10</v>
      </c>
      <c r="G698" t="s">
        <v>1991</v>
      </c>
      <c r="H698" t="s">
        <v>184</v>
      </c>
      <c r="I698" t="s">
        <v>32</v>
      </c>
      <c r="J698">
        <v>0</v>
      </c>
      <c r="K698">
        <v>1</v>
      </c>
      <c r="L698" s="4">
        <v>3.5000000000000001E-3</v>
      </c>
      <c r="M698">
        <v>0.02</v>
      </c>
      <c r="N698" s="4">
        <v>3.5000000000000001E-3</v>
      </c>
      <c r="O698" s="4">
        <v>0.02</v>
      </c>
    </row>
    <row r="699" spans="2:15">
      <c r="B699" t="s">
        <v>1762</v>
      </c>
      <c r="C699" t="s">
        <v>51</v>
      </c>
      <c r="D699" t="s">
        <v>1992</v>
      </c>
      <c r="E699" t="s">
        <v>185</v>
      </c>
      <c r="F699" t="s">
        <v>10</v>
      </c>
      <c r="G699" t="s">
        <v>1992</v>
      </c>
      <c r="H699" t="s">
        <v>186</v>
      </c>
      <c r="I699" t="s">
        <v>32</v>
      </c>
      <c r="J699">
        <v>0</v>
      </c>
      <c r="K699">
        <v>3</v>
      </c>
      <c r="L699" s="4">
        <v>3.5000000000000001E-3</v>
      </c>
      <c r="M699">
        <v>0.02</v>
      </c>
      <c r="N699" s="4">
        <v>1.0500000000000001E-2</v>
      </c>
      <c r="O699" s="4">
        <v>0.06</v>
      </c>
    </row>
    <row r="700" spans="2:15">
      <c r="B700" t="s">
        <v>1762</v>
      </c>
      <c r="C700" t="s">
        <v>51</v>
      </c>
      <c r="D700" t="s">
        <v>1993</v>
      </c>
      <c r="E700" t="s">
        <v>330</v>
      </c>
      <c r="F700" t="s">
        <v>10</v>
      </c>
      <c r="G700" t="s">
        <v>1993</v>
      </c>
      <c r="H700" t="s">
        <v>331</v>
      </c>
      <c r="I700" t="s">
        <v>32</v>
      </c>
      <c r="J700">
        <v>0</v>
      </c>
      <c r="K700">
        <v>61</v>
      </c>
      <c r="L700" s="4">
        <v>3.5000000000000001E-3</v>
      </c>
      <c r="M700">
        <v>0.02</v>
      </c>
      <c r="N700" s="4">
        <v>0.2135</v>
      </c>
      <c r="O700" s="4">
        <v>1.22</v>
      </c>
    </row>
    <row r="701" spans="2:15">
      <c r="B701" t="s">
        <v>1762</v>
      </c>
      <c r="C701" t="s">
        <v>51</v>
      </c>
      <c r="D701" t="s">
        <v>1994</v>
      </c>
      <c r="E701" t="s">
        <v>332</v>
      </c>
      <c r="F701" t="s">
        <v>10</v>
      </c>
      <c r="G701" t="s">
        <v>1994</v>
      </c>
      <c r="H701" t="s">
        <v>333</v>
      </c>
      <c r="I701" t="s">
        <v>32</v>
      </c>
      <c r="J701">
        <v>0</v>
      </c>
      <c r="K701">
        <v>411</v>
      </c>
      <c r="L701" s="4">
        <v>3.5000000000000001E-3</v>
      </c>
      <c r="M701">
        <v>0.02</v>
      </c>
      <c r="N701" s="4">
        <v>1.4385000000000001</v>
      </c>
      <c r="O701" s="4">
        <v>8.2200000000000006</v>
      </c>
    </row>
    <row r="702" spans="2:15">
      <c r="B702" t="s">
        <v>1762</v>
      </c>
      <c r="C702" t="s">
        <v>51</v>
      </c>
      <c r="D702" t="s">
        <v>1995</v>
      </c>
      <c r="E702" t="s">
        <v>187</v>
      </c>
      <c r="F702" t="s">
        <v>10</v>
      </c>
      <c r="G702" t="s">
        <v>1995</v>
      </c>
      <c r="H702" t="s">
        <v>188</v>
      </c>
      <c r="I702" t="s">
        <v>32</v>
      </c>
      <c r="J702">
        <v>0</v>
      </c>
      <c r="K702">
        <v>1</v>
      </c>
      <c r="L702" s="4">
        <v>3.5000000000000001E-3</v>
      </c>
      <c r="M702">
        <v>0.02</v>
      </c>
      <c r="N702" s="4">
        <v>3.5000000000000001E-3</v>
      </c>
      <c r="O702" s="4">
        <v>0.02</v>
      </c>
    </row>
    <row r="703" spans="2:15">
      <c r="B703" t="s">
        <v>1762</v>
      </c>
      <c r="C703" t="s">
        <v>51</v>
      </c>
      <c r="D703" t="s">
        <v>1996</v>
      </c>
      <c r="E703" t="s">
        <v>334</v>
      </c>
      <c r="F703" t="s">
        <v>10</v>
      </c>
      <c r="G703" t="s">
        <v>1996</v>
      </c>
      <c r="H703" t="s">
        <v>335</v>
      </c>
      <c r="I703" t="s">
        <v>32</v>
      </c>
      <c r="J703">
        <v>0</v>
      </c>
      <c r="K703">
        <v>1383</v>
      </c>
      <c r="L703" s="4">
        <v>3.5000000000000001E-3</v>
      </c>
      <c r="M703">
        <v>0.02</v>
      </c>
      <c r="N703" s="4">
        <v>4.8405000000000005</v>
      </c>
      <c r="O703" s="4">
        <v>27.66</v>
      </c>
    </row>
    <row r="704" spans="2:15">
      <c r="B704" t="s">
        <v>1762</v>
      </c>
      <c r="C704" t="s">
        <v>51</v>
      </c>
      <c r="D704" t="s">
        <v>1997</v>
      </c>
      <c r="E704" t="s">
        <v>179</v>
      </c>
      <c r="F704" t="s">
        <v>10</v>
      </c>
      <c r="G704" t="s">
        <v>1997</v>
      </c>
      <c r="H704" t="s">
        <v>180</v>
      </c>
      <c r="I704" t="s">
        <v>32</v>
      </c>
      <c r="J704">
        <v>0</v>
      </c>
      <c r="K704">
        <v>79</v>
      </c>
      <c r="L704" s="4">
        <v>3.5000000000000001E-3</v>
      </c>
      <c r="M704">
        <v>0.02</v>
      </c>
      <c r="N704" s="4">
        <v>0.27650000000000002</v>
      </c>
      <c r="O704" s="4">
        <v>1.58</v>
      </c>
    </row>
    <row r="705" spans="2:15">
      <c r="B705" t="s">
        <v>1762</v>
      </c>
      <c r="C705" t="s">
        <v>51</v>
      </c>
      <c r="D705" t="s">
        <v>1998</v>
      </c>
      <c r="E705" t="s">
        <v>338</v>
      </c>
      <c r="F705" t="s">
        <v>10</v>
      </c>
      <c r="G705" t="s">
        <v>1998</v>
      </c>
      <c r="H705" t="s">
        <v>339</v>
      </c>
      <c r="I705" t="s">
        <v>32</v>
      </c>
      <c r="J705">
        <v>0</v>
      </c>
      <c r="K705">
        <v>101</v>
      </c>
      <c r="L705" s="4">
        <v>3.5000000000000001E-3</v>
      </c>
      <c r="M705">
        <v>0.02</v>
      </c>
      <c r="N705" s="4">
        <v>0.35349999999999998</v>
      </c>
      <c r="O705" s="4">
        <v>2.02</v>
      </c>
    </row>
    <row r="706" spans="2:15">
      <c r="B706" t="s">
        <v>1762</v>
      </c>
      <c r="C706" t="s">
        <v>51</v>
      </c>
      <c r="D706" t="s">
        <v>1999</v>
      </c>
      <c r="E706" t="s">
        <v>2000</v>
      </c>
      <c r="F706" t="s">
        <v>10</v>
      </c>
      <c r="G706" t="s">
        <v>1999</v>
      </c>
      <c r="H706" t="s">
        <v>2001</v>
      </c>
      <c r="I706" t="s">
        <v>32</v>
      </c>
      <c r="J706">
        <v>0</v>
      </c>
      <c r="K706">
        <v>427</v>
      </c>
      <c r="L706" s="4">
        <v>3.5000000000000001E-3</v>
      </c>
      <c r="M706">
        <v>0.02</v>
      </c>
      <c r="N706" s="4">
        <v>1.4944999999999999</v>
      </c>
      <c r="O706" s="4">
        <v>8.5400000000000009</v>
      </c>
    </row>
    <row r="707" spans="2:15">
      <c r="B707" t="s">
        <v>1762</v>
      </c>
      <c r="C707" t="s">
        <v>51</v>
      </c>
      <c r="D707" t="s">
        <v>2002</v>
      </c>
      <c r="E707" t="s">
        <v>2003</v>
      </c>
      <c r="F707" t="s">
        <v>10</v>
      </c>
      <c r="G707" t="s">
        <v>2002</v>
      </c>
      <c r="H707" t="s">
        <v>2004</v>
      </c>
      <c r="I707" t="s">
        <v>32</v>
      </c>
      <c r="J707">
        <v>0</v>
      </c>
      <c r="K707">
        <v>316</v>
      </c>
      <c r="L707" s="4">
        <v>3.5000000000000001E-3</v>
      </c>
      <c r="M707">
        <v>0.02</v>
      </c>
      <c r="N707" s="4">
        <v>1.1060000000000001</v>
      </c>
      <c r="O707" s="4">
        <v>6.32</v>
      </c>
    </row>
    <row r="708" spans="2:15">
      <c r="B708" t="s">
        <v>1762</v>
      </c>
      <c r="C708" t="s">
        <v>51</v>
      </c>
      <c r="D708" t="s">
        <v>2005</v>
      </c>
      <c r="E708" t="s">
        <v>336</v>
      </c>
      <c r="F708" t="s">
        <v>10</v>
      </c>
      <c r="G708" t="s">
        <v>2005</v>
      </c>
      <c r="H708" t="s">
        <v>337</v>
      </c>
      <c r="I708" t="s">
        <v>32</v>
      </c>
      <c r="J708">
        <v>0</v>
      </c>
      <c r="K708">
        <v>3144</v>
      </c>
      <c r="L708" s="4">
        <v>3.5000000000000001E-3</v>
      </c>
      <c r="M708">
        <v>0.02</v>
      </c>
      <c r="N708" s="4">
        <v>11.004</v>
      </c>
      <c r="O708" s="4">
        <v>62.88</v>
      </c>
    </row>
    <row r="709" spans="2:15">
      <c r="B709" t="s">
        <v>1762</v>
      </c>
      <c r="C709" t="s">
        <v>51</v>
      </c>
      <c r="D709" t="s">
        <v>2006</v>
      </c>
      <c r="E709" t="s">
        <v>103</v>
      </c>
      <c r="F709" t="s">
        <v>10</v>
      </c>
      <c r="G709" t="s">
        <v>2006</v>
      </c>
      <c r="H709" t="s">
        <v>104</v>
      </c>
      <c r="I709" t="s">
        <v>32</v>
      </c>
      <c r="J709">
        <v>0</v>
      </c>
      <c r="K709">
        <v>952</v>
      </c>
      <c r="L709" s="4">
        <v>3.5000000000000001E-3</v>
      </c>
      <c r="M709">
        <v>0.02</v>
      </c>
      <c r="N709" s="4">
        <v>3.3319999999999999</v>
      </c>
      <c r="O709" s="4">
        <v>19.04</v>
      </c>
    </row>
    <row r="710" spans="2:15">
      <c r="B710" t="s">
        <v>1762</v>
      </c>
      <c r="C710" t="s">
        <v>51</v>
      </c>
      <c r="D710" t="s">
        <v>2007</v>
      </c>
      <c r="E710" t="s">
        <v>340</v>
      </c>
      <c r="F710" t="s">
        <v>10</v>
      </c>
      <c r="G710" t="s">
        <v>2007</v>
      </c>
      <c r="H710" t="s">
        <v>341</v>
      </c>
      <c r="I710" t="s">
        <v>32</v>
      </c>
      <c r="J710">
        <v>0</v>
      </c>
      <c r="K710">
        <v>247</v>
      </c>
      <c r="L710" s="4">
        <v>3.5000000000000001E-3</v>
      </c>
      <c r="M710">
        <v>0.02</v>
      </c>
      <c r="N710" s="4">
        <v>0.86450000000000005</v>
      </c>
      <c r="O710" s="4">
        <v>4.9400000000000004</v>
      </c>
    </row>
    <row r="711" spans="2:15">
      <c r="N711" s="5"/>
      <c r="O711" s="5"/>
    </row>
    <row r="712" spans="2:15">
      <c r="L712" s="4"/>
      <c r="N712" s="4"/>
      <c r="O712" s="4"/>
    </row>
    <row r="713" spans="2:15">
      <c r="L713" s="4"/>
      <c r="N713" s="4"/>
      <c r="O713" s="4"/>
    </row>
    <row r="714" spans="2:15">
      <c r="L714" s="4"/>
      <c r="N714" s="4"/>
      <c r="O714" s="4"/>
    </row>
    <row r="715" spans="2:15">
      <c r="L715" s="4"/>
      <c r="N715" s="4"/>
      <c r="O715" s="4"/>
    </row>
    <row r="716" spans="2:15">
      <c r="L716" s="4"/>
      <c r="N716" s="4"/>
      <c r="O716" s="4"/>
    </row>
    <row r="717" spans="2:15">
      <c r="L717" s="4"/>
      <c r="N717" s="4"/>
      <c r="O717" s="4"/>
    </row>
    <row r="718" spans="2:15">
      <c r="L718" s="4"/>
      <c r="N718" s="4"/>
      <c r="O718" s="4"/>
    </row>
    <row r="719" spans="2:15">
      <c r="L719" s="4"/>
      <c r="N719" s="4"/>
      <c r="O719" s="4"/>
    </row>
    <row r="720" spans="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N1225" s="5"/>
      <c r="O1225" s="5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</sheetData>
  <autoFilter ref="A19:O1224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2019-11-11T17:57:59Z</dcterms:modified>
</cp:coreProperties>
</file>